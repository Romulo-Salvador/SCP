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DD97A8EA-9A9A-E61F-A557-7D5A7D7259CE}"/>
  <workbookPr codeName="ThisWorkbook"/>
  <mc:AlternateContent xmlns:mc="http://schemas.openxmlformats.org/markup-compatibility/2006">
    <mc:Choice Requires="x15">
      <x15ac:absPath xmlns:x15ac="http://schemas.microsoft.com/office/spreadsheetml/2010/11/ac" url="C:\Users\c35940\Downloads\"/>
    </mc:Choice>
  </mc:AlternateContent>
  <xr:revisionPtr revIDLastSave="0" documentId="8_{65D3BF6C-967A-4B4F-944E-29CEB0202C95}" xr6:coauthVersionLast="47" xr6:coauthVersionMax="47" xr10:uidLastSave="{00000000-0000-0000-0000-000000000000}"/>
  <bookViews>
    <workbookView xWindow="28690" yWindow="-110" windowWidth="25420" windowHeight="15250" xr2:uid="{C03484F3-28FB-4DC4-866B-988BFD75025D}"/>
  </bookViews>
  <sheets>
    <sheet name="RESUMEN" sheetId="11" r:id="rId1"/>
    <sheet name="TarifarioBD" sheetId="6" r:id="rId2"/>
    <sheet name="Prima_Des" sheetId="2" state="hidden" r:id="rId3"/>
    <sheet name="Prima_Des_Dev" sheetId="10" state="hidden" r:id="rId4"/>
    <sheet name="Feriados" sheetId="9" r:id="rId5"/>
    <sheet name="CostoCapBD" sheetId="7" r:id="rId6"/>
  </sheets>
  <definedNames>
    <definedName name="_xlnm._FilterDatabase" localSheetId="1" hidden="1">TarifarioBD!$G$1:$I$4</definedName>
    <definedName name="COD_EMPLEADO" localSheetId="0">RESUMEN!$K$16:$K$17</definedName>
    <definedName name="COD_EMPLEADO">#REF!</definedName>
    <definedName name="seguro" localSheetId="2">TarifarioBD!$A$1:$D$29</definedName>
    <definedName name="seguro" localSheetId="3">TarifarioBD!$A$1:$D$29</definedName>
    <definedName name="_xlnm.Print_Titles" localSheetId="0">RESUMEN!#REF!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40" i="11" l="1"/>
  <c r="Y21" i="11"/>
  <c r="C10" i="10"/>
  <c r="C28" i="11" l="1"/>
  <c r="C37" i="11"/>
  <c r="C36" i="11"/>
  <c r="C34" i="11"/>
  <c r="AE29" i="11" a="1"/>
  <c r="AE29" i="11" s="1"/>
  <c r="B49" i="11" l="1"/>
  <c r="Y18" i="11"/>
  <c r="E48" i="11" s="1"/>
  <c r="D48" i="11" s="1"/>
  <c r="C48" i="11" s="1"/>
  <c r="Y17" i="11"/>
  <c r="Y20" i="11"/>
  <c r="Y19" i="11"/>
  <c r="Y16" i="11"/>
  <c r="L48" i="11" s="1"/>
  <c r="Y14" i="11"/>
  <c r="C33" i="11" s="1"/>
  <c r="Y8" i="11"/>
  <c r="Y10" i="11" s="1"/>
  <c r="Y6" i="11"/>
  <c r="Y22" i="11" s="1"/>
  <c r="C35" i="11" s="1"/>
  <c r="AE5" i="11"/>
  <c r="AE4" i="11" a="1"/>
  <c r="AE4" i="11" s="1"/>
  <c r="AE3" i="11"/>
  <c r="K48" i="11" l="1"/>
  <c r="B50" i="11"/>
  <c r="L49" i="11"/>
  <c r="K49" i="11"/>
  <c r="Z49" i="11"/>
  <c r="E49" i="11" s="1"/>
  <c r="F48" i="11"/>
  <c r="Z50" i="11"/>
  <c r="B51" i="11"/>
  <c r="Z51" i="11" l="1"/>
  <c r="D49" i="11"/>
  <c r="C49" i="11" s="1"/>
  <c r="F49" i="11" s="1"/>
  <c r="E50" i="11"/>
  <c r="D50" i="11" s="1"/>
  <c r="C50" i="11" s="1"/>
  <c r="L51" i="11"/>
  <c r="K51" i="11"/>
  <c r="L50" i="11"/>
  <c r="K50" i="11"/>
  <c r="B52" i="11"/>
  <c r="F50" i="11" l="1"/>
  <c r="E51" i="11"/>
  <c r="D51" i="11" s="1"/>
  <c r="C51" i="11" s="1"/>
  <c r="F51" i="11" s="1"/>
  <c r="L52" i="11"/>
  <c r="K52" i="11"/>
  <c r="Z52" i="11"/>
  <c r="B53" i="11"/>
  <c r="C25" i="10"/>
  <c r="C24" i="10"/>
  <c r="C23" i="10"/>
  <c r="C22" i="10"/>
  <c r="C21" i="10"/>
  <c r="C18" i="10"/>
  <c r="C17" i="10"/>
  <c r="C12" i="10"/>
  <c r="C11" i="10"/>
  <c r="C9" i="10"/>
  <c r="C25" i="2"/>
  <c r="C24" i="2"/>
  <c r="C23" i="2"/>
  <c r="C22" i="2"/>
  <c r="C21" i="2"/>
  <c r="C18" i="2"/>
  <c r="C17" i="2"/>
  <c r="C11" i="2"/>
  <c r="C10" i="2"/>
  <c r="C9" i="2"/>
  <c r="C12" i="2"/>
  <c r="AC20" i="11"/>
  <c r="C18" i="11"/>
  <c r="AE15" i="11" a="1"/>
  <c r="AE15" i="11" s="1"/>
  <c r="E52" i="11" l="1"/>
  <c r="D52" i="11" s="1"/>
  <c r="C52" i="11" s="1"/>
  <c r="F52" i="11" s="1"/>
  <c r="L53" i="11"/>
  <c r="K53" i="11"/>
  <c r="Z53" i="11"/>
  <c r="B54" i="11"/>
  <c r="E53" i="11" l="1"/>
  <c r="D53" i="11" s="1"/>
  <c r="C53" i="11" s="1"/>
  <c r="F53" i="11" s="1"/>
  <c r="K54" i="11"/>
  <c r="L54" i="11"/>
  <c r="Z54" i="11"/>
  <c r="B55" i="11"/>
  <c r="B13" i="10"/>
  <c r="C38" i="10"/>
  <c r="F200" i="10"/>
  <c r="C15" i="10"/>
  <c r="C16" i="10" a="1"/>
  <c r="C16" i="10" s="1"/>
  <c r="E54" i="11" l="1"/>
  <c r="D54" i="11" s="1"/>
  <c r="C54" i="11" s="1"/>
  <c r="F54" i="11" s="1"/>
  <c r="K55" i="11"/>
  <c r="L55" i="11"/>
  <c r="Z55" i="11"/>
  <c r="B56" i="11"/>
  <c r="F40" i="10"/>
  <c r="C40" i="10" s="1"/>
  <c r="D40" i="10" s="1"/>
  <c r="E40" i="10" s="1"/>
  <c r="N39" i="10"/>
  <c r="M79" i="10"/>
  <c r="N108" i="10"/>
  <c r="N92" i="10"/>
  <c r="N40" i="10"/>
  <c r="N184" i="10"/>
  <c r="N43" i="10"/>
  <c r="M188" i="10"/>
  <c r="M54" i="10"/>
  <c r="N55" i="10"/>
  <c r="N59" i="10"/>
  <c r="M42" i="10"/>
  <c r="M58" i="10"/>
  <c r="M95" i="10"/>
  <c r="F120" i="10"/>
  <c r="M127" i="10"/>
  <c r="N140" i="10"/>
  <c r="F152" i="10"/>
  <c r="M46" i="10"/>
  <c r="M62" i="10"/>
  <c r="N188" i="10"/>
  <c r="N47" i="10"/>
  <c r="N63" i="10"/>
  <c r="M192" i="10"/>
  <c r="M38" i="10"/>
  <c r="M50" i="10"/>
  <c r="N68" i="10"/>
  <c r="M111" i="10"/>
  <c r="N124" i="10"/>
  <c r="F136" i="10"/>
  <c r="M143" i="10"/>
  <c r="N156" i="10"/>
  <c r="F196" i="10"/>
  <c r="N265" i="10"/>
  <c r="F39" i="10"/>
  <c r="C39" i="10" s="1"/>
  <c r="D39" i="10" s="1"/>
  <c r="E39" i="10" s="1"/>
  <c r="N51" i="10"/>
  <c r="N76" i="10"/>
  <c r="I38" i="10"/>
  <c r="F43" i="10"/>
  <c r="C43" i="10" s="1"/>
  <c r="D43" i="10" s="1"/>
  <c r="E43" i="10" s="1"/>
  <c r="H14" i="10"/>
  <c r="N396" i="10"/>
  <c r="F396" i="10"/>
  <c r="C396" i="10" s="1"/>
  <c r="D396" i="10" s="1"/>
  <c r="N392" i="10"/>
  <c r="F392" i="10"/>
  <c r="C392" i="10" s="1"/>
  <c r="D392" i="10" s="1"/>
  <c r="N388" i="10"/>
  <c r="F388" i="10"/>
  <c r="C388" i="10" s="1"/>
  <c r="D388" i="10" s="1"/>
  <c r="N384" i="10"/>
  <c r="F384" i="10"/>
  <c r="C384" i="10" s="1"/>
  <c r="N380" i="10"/>
  <c r="F380" i="10"/>
  <c r="C380" i="10" s="1"/>
  <c r="D380" i="10" s="1"/>
  <c r="N376" i="10"/>
  <c r="F376" i="10"/>
  <c r="C376" i="10" s="1"/>
  <c r="N372" i="10"/>
  <c r="F372" i="10"/>
  <c r="C372" i="10" s="1"/>
  <c r="D372" i="10" s="1"/>
  <c r="N368" i="10"/>
  <c r="F368" i="10"/>
  <c r="C368" i="10" s="1"/>
  <c r="D368" i="10" s="1"/>
  <c r="M396" i="10"/>
  <c r="M392" i="10"/>
  <c r="M388" i="10"/>
  <c r="C387" i="10"/>
  <c r="D387" i="10" s="1"/>
  <c r="M384" i="10"/>
  <c r="M380" i="10"/>
  <c r="M376" i="10"/>
  <c r="C375" i="10"/>
  <c r="D375" i="10" s="1"/>
  <c r="M372" i="10"/>
  <c r="N397" i="10"/>
  <c r="F397" i="10"/>
  <c r="N393" i="10"/>
  <c r="F393" i="10"/>
  <c r="C393" i="10" s="1"/>
  <c r="D393" i="10" s="1"/>
  <c r="N389" i="10"/>
  <c r="F389" i="10"/>
  <c r="N385" i="10"/>
  <c r="F385" i="10"/>
  <c r="C385" i="10" s="1"/>
  <c r="D384" i="10"/>
  <c r="N381" i="10"/>
  <c r="F381" i="10"/>
  <c r="C381" i="10" s="1"/>
  <c r="D381" i="10" s="1"/>
  <c r="N377" i="10"/>
  <c r="F377" i="10"/>
  <c r="C377" i="10" s="1"/>
  <c r="D377" i="10" s="1"/>
  <c r="D376" i="10"/>
  <c r="N373" i="10"/>
  <c r="F373" i="10"/>
  <c r="C373" i="10" s="1"/>
  <c r="D373" i="10" s="1"/>
  <c r="N369" i="10"/>
  <c r="F369" i="10"/>
  <c r="C369" i="10" s="1"/>
  <c r="D369" i="10" s="1"/>
  <c r="M397" i="10"/>
  <c r="M393" i="10"/>
  <c r="M389" i="10"/>
  <c r="M385" i="10"/>
  <c r="M381" i="10"/>
  <c r="M377" i="10"/>
  <c r="M373" i="10"/>
  <c r="M369" i="10"/>
  <c r="N394" i="10"/>
  <c r="F394" i="10"/>
  <c r="N390" i="10"/>
  <c r="F390" i="10"/>
  <c r="C390" i="10" s="1"/>
  <c r="D390" i="10" s="1"/>
  <c r="N386" i="10"/>
  <c r="F386" i="10"/>
  <c r="C386" i="10" s="1"/>
  <c r="D385" i="10"/>
  <c r="N382" i="10"/>
  <c r="F382" i="10"/>
  <c r="N378" i="10"/>
  <c r="F378" i="10"/>
  <c r="N374" i="10"/>
  <c r="F374" i="10"/>
  <c r="N370" i="10"/>
  <c r="F370" i="10"/>
  <c r="C397" i="10"/>
  <c r="D397" i="10" s="1"/>
  <c r="M394" i="10"/>
  <c r="M390" i="10"/>
  <c r="C389" i="10"/>
  <c r="D389" i="10" s="1"/>
  <c r="M386" i="10"/>
  <c r="M382" i="10"/>
  <c r="M378" i="10"/>
  <c r="M374" i="10"/>
  <c r="M370" i="10"/>
  <c r="N387" i="10"/>
  <c r="D386" i="10"/>
  <c r="F383" i="10"/>
  <c r="C383" i="10" s="1"/>
  <c r="D383" i="10" s="1"/>
  <c r="N371" i="10"/>
  <c r="M368" i="10"/>
  <c r="M363" i="10"/>
  <c r="M359" i="10"/>
  <c r="M355" i="10"/>
  <c r="M351" i="10"/>
  <c r="M347" i="10"/>
  <c r="M387" i="10"/>
  <c r="M371" i="10"/>
  <c r="N367" i="10"/>
  <c r="N364" i="10"/>
  <c r="F364" i="10"/>
  <c r="C364" i="10" s="1"/>
  <c r="D364" i="10" s="1"/>
  <c r="N360" i="10"/>
  <c r="F360" i="10"/>
  <c r="N356" i="10"/>
  <c r="F356" i="10"/>
  <c r="C356" i="10" s="1"/>
  <c r="D356" i="10" s="1"/>
  <c r="N352" i="10"/>
  <c r="F352" i="10"/>
  <c r="N348" i="10"/>
  <c r="F348" i="10"/>
  <c r="D347" i="10"/>
  <c r="N391" i="10"/>
  <c r="F387" i="10"/>
  <c r="N375" i="10"/>
  <c r="F371" i="10"/>
  <c r="C371" i="10" s="1"/>
  <c r="D371" i="10" s="1"/>
  <c r="M367" i="10"/>
  <c r="C367" i="10"/>
  <c r="D367" i="10" s="1"/>
  <c r="M364" i="10"/>
  <c r="M360" i="10"/>
  <c r="M356" i="10"/>
  <c r="M352" i="10"/>
  <c r="M348" i="10"/>
  <c r="M391" i="10"/>
  <c r="M375" i="10"/>
  <c r="C374" i="10"/>
  <c r="D374" i="10" s="1"/>
  <c r="C370" i="10"/>
  <c r="D370" i="10" s="1"/>
  <c r="N365" i="10"/>
  <c r="F365" i="10"/>
  <c r="N361" i="10"/>
  <c r="F361" i="10"/>
  <c r="N357" i="10"/>
  <c r="F357" i="10"/>
  <c r="N353" i="10"/>
  <c r="F353" i="10"/>
  <c r="N349" i="10"/>
  <c r="F349" i="10"/>
  <c r="D348" i="10"/>
  <c r="N395" i="10"/>
  <c r="D394" i="10"/>
  <c r="F391" i="10"/>
  <c r="C391" i="10" s="1"/>
  <c r="D391" i="10" s="1"/>
  <c r="N379" i="10"/>
  <c r="F375" i="10"/>
  <c r="M365" i="10"/>
  <c r="M361" i="10"/>
  <c r="C360" i="10"/>
  <c r="D360" i="10" s="1"/>
  <c r="M357" i="10"/>
  <c r="M353" i="10"/>
  <c r="C352" i="10"/>
  <c r="D352" i="10" s="1"/>
  <c r="M349" i="10"/>
  <c r="C348" i="10"/>
  <c r="M345" i="10"/>
  <c r="M395" i="10"/>
  <c r="C394" i="10"/>
  <c r="M379" i="10"/>
  <c r="C378" i="10"/>
  <c r="D378" i="10" s="1"/>
  <c r="N366" i="10"/>
  <c r="F366" i="10"/>
  <c r="C366" i="10" s="1"/>
  <c r="D365" i="10"/>
  <c r="N362" i="10"/>
  <c r="F362" i="10"/>
  <c r="C362" i="10" s="1"/>
  <c r="N358" i="10"/>
  <c r="F358" i="10"/>
  <c r="C358" i="10" s="1"/>
  <c r="N354" i="10"/>
  <c r="F354" i="10"/>
  <c r="C354" i="10" s="1"/>
  <c r="D354" i="10" s="1"/>
  <c r="N350" i="10"/>
  <c r="F350" i="10"/>
  <c r="C350" i="10" s="1"/>
  <c r="N346" i="10"/>
  <c r="F346" i="10"/>
  <c r="C346" i="10" s="1"/>
  <c r="D346" i="10" s="1"/>
  <c r="E346" i="10" s="1"/>
  <c r="F379" i="10"/>
  <c r="C379" i="10" s="1"/>
  <c r="D379" i="10" s="1"/>
  <c r="M366" i="10"/>
  <c r="C365" i="10"/>
  <c r="M350" i="10"/>
  <c r="C349" i="10"/>
  <c r="D349" i="10" s="1"/>
  <c r="M341" i="10"/>
  <c r="M337" i="10"/>
  <c r="M333" i="10"/>
  <c r="M329" i="10"/>
  <c r="M325" i="10"/>
  <c r="M321" i="10"/>
  <c r="N363" i="10"/>
  <c r="D362" i="10"/>
  <c r="F359" i="10"/>
  <c r="C359" i="10" s="1"/>
  <c r="D359" i="10" s="1"/>
  <c r="N347" i="10"/>
  <c r="F345" i="10"/>
  <c r="C345" i="10" s="1"/>
  <c r="D345" i="10" s="1"/>
  <c r="N342" i="10"/>
  <c r="F342" i="10"/>
  <c r="C342" i="10" s="1"/>
  <c r="D342" i="10" s="1"/>
  <c r="N338" i="10"/>
  <c r="F338" i="10"/>
  <c r="N334" i="10"/>
  <c r="F334" i="10"/>
  <c r="C334" i="10" s="1"/>
  <c r="D334" i="10" s="1"/>
  <c r="N330" i="10"/>
  <c r="F330" i="10"/>
  <c r="N326" i="10"/>
  <c r="F326" i="10"/>
  <c r="C326" i="10" s="1"/>
  <c r="D326" i="10" s="1"/>
  <c r="D325" i="10"/>
  <c r="N322" i="10"/>
  <c r="F395" i="10"/>
  <c r="C395" i="10" s="1"/>
  <c r="D395" i="10" s="1"/>
  <c r="N383" i="10"/>
  <c r="M354" i="10"/>
  <c r="C353" i="10"/>
  <c r="D353" i="10" s="1"/>
  <c r="M342" i="10"/>
  <c r="M338" i="10"/>
  <c r="C337" i="10"/>
  <c r="D337" i="10" s="1"/>
  <c r="M334" i="10"/>
  <c r="M330" i="10"/>
  <c r="C329" i="10"/>
  <c r="D329" i="10" s="1"/>
  <c r="M326" i="10"/>
  <c r="M322" i="10"/>
  <c r="M383" i="10"/>
  <c r="D366" i="10"/>
  <c r="F363" i="10"/>
  <c r="C363" i="10" s="1"/>
  <c r="D363" i="10" s="1"/>
  <c r="N351" i="10"/>
  <c r="D350" i="10"/>
  <c r="F347" i="10"/>
  <c r="C347" i="10" s="1"/>
  <c r="N343" i="10"/>
  <c r="F343" i="10"/>
  <c r="N339" i="10"/>
  <c r="F339" i="10"/>
  <c r="D338" i="10"/>
  <c r="N335" i="10"/>
  <c r="F335" i="10"/>
  <c r="C335" i="10" s="1"/>
  <c r="D335" i="10" s="1"/>
  <c r="D382" i="10"/>
  <c r="M358" i="10"/>
  <c r="C357" i="10"/>
  <c r="D357" i="10" s="1"/>
  <c r="M343" i="10"/>
  <c r="M339" i="10"/>
  <c r="C338" i="10"/>
  <c r="M335" i="10"/>
  <c r="M331" i="10"/>
  <c r="C330" i="10"/>
  <c r="D330" i="10" s="1"/>
  <c r="M327" i="10"/>
  <c r="M323" i="10"/>
  <c r="C382" i="10"/>
  <c r="F367" i="10"/>
  <c r="N355" i="10"/>
  <c r="F351" i="10"/>
  <c r="C351" i="10" s="1"/>
  <c r="D351" i="10" s="1"/>
  <c r="N344" i="10"/>
  <c r="F344" i="10"/>
  <c r="C344" i="10" s="1"/>
  <c r="N340" i="10"/>
  <c r="F340" i="10"/>
  <c r="C340" i="10" s="1"/>
  <c r="D340" i="10" s="1"/>
  <c r="D339" i="10"/>
  <c r="N336" i="10"/>
  <c r="F336" i="10"/>
  <c r="C336" i="10" s="1"/>
  <c r="N332" i="10"/>
  <c r="F332" i="10"/>
  <c r="C332" i="10" s="1"/>
  <c r="D332" i="10" s="1"/>
  <c r="N328" i="10"/>
  <c r="F328" i="10"/>
  <c r="C328" i="10" s="1"/>
  <c r="N324" i="10"/>
  <c r="F324" i="10"/>
  <c r="C324" i="10" s="1"/>
  <c r="D324" i="10" s="1"/>
  <c r="M362" i="10"/>
  <c r="N345" i="10"/>
  <c r="M336" i="10"/>
  <c r="F329" i="10"/>
  <c r="F327" i="10"/>
  <c r="C327" i="10" s="1"/>
  <c r="D327" i="10" s="1"/>
  <c r="N321" i="10"/>
  <c r="M318" i="10"/>
  <c r="M314" i="10"/>
  <c r="M310" i="10"/>
  <c r="M306" i="10"/>
  <c r="M302" i="10"/>
  <c r="M298" i="10"/>
  <c r="M294" i="10"/>
  <c r="D328" i="10"/>
  <c r="F325" i="10"/>
  <c r="C325" i="10" s="1"/>
  <c r="F323" i="10"/>
  <c r="N319" i="10"/>
  <c r="F319" i="10"/>
  <c r="N315" i="10"/>
  <c r="F315" i="10"/>
  <c r="N311" i="10"/>
  <c r="F311" i="10"/>
  <c r="N307" i="10"/>
  <c r="F307" i="10"/>
  <c r="D306" i="10"/>
  <c r="N303" i="10"/>
  <c r="F303" i="10"/>
  <c r="N299" i="10"/>
  <c r="F299" i="10"/>
  <c r="N295" i="10"/>
  <c r="F295" i="10"/>
  <c r="C361" i="10"/>
  <c r="D361" i="10" s="1"/>
  <c r="M340" i="10"/>
  <c r="C339" i="10"/>
  <c r="M319" i="10"/>
  <c r="M315" i="10"/>
  <c r="M311" i="10"/>
  <c r="M307" i="10"/>
  <c r="C306" i="10"/>
  <c r="M303" i="10"/>
  <c r="M299" i="10"/>
  <c r="M295" i="10"/>
  <c r="F355" i="10"/>
  <c r="C355" i="10" s="1"/>
  <c r="D355" i="10" s="1"/>
  <c r="N337" i="10"/>
  <c r="D336" i="10"/>
  <c r="C323" i="10"/>
  <c r="D323" i="10" s="1"/>
  <c r="N320" i="10"/>
  <c r="F320" i="10"/>
  <c r="N316" i="10"/>
  <c r="F316" i="10"/>
  <c r="D315" i="10"/>
  <c r="N312" i="10"/>
  <c r="F312" i="10"/>
  <c r="C312" i="10" s="1"/>
  <c r="N308" i="10"/>
  <c r="F308" i="10"/>
  <c r="N304" i="10"/>
  <c r="F304" i="10"/>
  <c r="N300" i="10"/>
  <c r="M344" i="10"/>
  <c r="C343" i="10"/>
  <c r="D343" i="10" s="1"/>
  <c r="N333" i="10"/>
  <c r="M332" i="10"/>
  <c r="N331" i="10"/>
  <c r="M320" i="10"/>
  <c r="C319" i="10"/>
  <c r="D319" i="10" s="1"/>
  <c r="M316" i="10"/>
  <c r="C315" i="10"/>
  <c r="M312" i="10"/>
  <c r="C311" i="10"/>
  <c r="D311" i="10" s="1"/>
  <c r="M308" i="10"/>
  <c r="C307" i="10"/>
  <c r="D307" i="10" s="1"/>
  <c r="M304" i="10"/>
  <c r="C303" i="10"/>
  <c r="D303" i="10" s="1"/>
  <c r="M300" i="10"/>
  <c r="C299" i="10"/>
  <c r="D299" i="10" s="1"/>
  <c r="N359" i="10"/>
  <c r="N341" i="10"/>
  <c r="F337" i="10"/>
  <c r="N329" i="10"/>
  <c r="M328" i="10"/>
  <c r="N327" i="10"/>
  <c r="F322" i="10"/>
  <c r="N317" i="10"/>
  <c r="F317" i="10"/>
  <c r="C317" i="10" s="1"/>
  <c r="D317" i="10" s="1"/>
  <c r="D316" i="10"/>
  <c r="N313" i="10"/>
  <c r="F313" i="10"/>
  <c r="C313" i="10" s="1"/>
  <c r="D313" i="10" s="1"/>
  <c r="D312" i="10"/>
  <c r="N309" i="10"/>
  <c r="F309" i="10"/>
  <c r="C309" i="10" s="1"/>
  <c r="D309" i="10" s="1"/>
  <c r="N305" i="10"/>
  <c r="F305" i="10"/>
  <c r="C305" i="10" s="1"/>
  <c r="N301" i="10"/>
  <c r="F301" i="10"/>
  <c r="C301" i="10" s="1"/>
  <c r="D301" i="10" s="1"/>
  <c r="N297" i="10"/>
  <c r="F297" i="10"/>
  <c r="C297" i="10" s="1"/>
  <c r="M346" i="10"/>
  <c r="M313" i="10"/>
  <c r="N298" i="10"/>
  <c r="M297" i="10"/>
  <c r="N296" i="10"/>
  <c r="M293" i="10"/>
  <c r="N291" i="10"/>
  <c r="F291" i="10"/>
  <c r="N287" i="10"/>
  <c r="F287" i="10"/>
  <c r="N283" i="10"/>
  <c r="F283" i="10"/>
  <c r="C283" i="10" s="1"/>
  <c r="D283" i="10" s="1"/>
  <c r="N279" i="10"/>
  <c r="F279" i="10"/>
  <c r="N275" i="10"/>
  <c r="F275" i="10"/>
  <c r="N271" i="10"/>
  <c r="F271" i="10"/>
  <c r="N267" i="10"/>
  <c r="F267" i="10"/>
  <c r="N263" i="10"/>
  <c r="F263" i="10"/>
  <c r="N259" i="10"/>
  <c r="F259" i="10"/>
  <c r="D258" i="10"/>
  <c r="N255" i="10"/>
  <c r="F255" i="10"/>
  <c r="N251" i="10"/>
  <c r="F251" i="10"/>
  <c r="N247" i="10"/>
  <c r="F247" i="10"/>
  <c r="N243" i="10"/>
  <c r="F243" i="10"/>
  <c r="N310" i="10"/>
  <c r="F306" i="10"/>
  <c r="M296" i="10"/>
  <c r="C295" i="10"/>
  <c r="D295" i="10" s="1"/>
  <c r="M291" i="10"/>
  <c r="M287" i="10"/>
  <c r="M283" i="10"/>
  <c r="M279" i="10"/>
  <c r="M275" i="10"/>
  <c r="M271" i="10"/>
  <c r="M267" i="10"/>
  <c r="M263" i="10"/>
  <c r="C262" i="10"/>
  <c r="D262" i="10" s="1"/>
  <c r="M259" i="10"/>
  <c r="C258" i="10"/>
  <c r="M255" i="10"/>
  <c r="M251" i="10"/>
  <c r="M247" i="10"/>
  <c r="M243" i="10"/>
  <c r="N325" i="10"/>
  <c r="M317" i="10"/>
  <c r="C316" i="10"/>
  <c r="M301" i="10"/>
  <c r="F300" i="10"/>
  <c r="C300" i="10" s="1"/>
  <c r="D300" i="10" s="1"/>
  <c r="N292" i="10"/>
  <c r="F292" i="10"/>
  <c r="C292" i="10" s="1"/>
  <c r="D292" i="10" s="1"/>
  <c r="D291" i="10"/>
  <c r="N288" i="10"/>
  <c r="F288" i="10"/>
  <c r="N284" i="10"/>
  <c r="F284" i="10"/>
  <c r="N280" i="10"/>
  <c r="F280" i="10"/>
  <c r="D279" i="10"/>
  <c r="N276" i="10"/>
  <c r="F276" i="10"/>
  <c r="N272" i="10"/>
  <c r="F272" i="10"/>
  <c r="D271" i="10"/>
  <c r="N268" i="10"/>
  <c r="F268" i="10"/>
  <c r="N264" i="10"/>
  <c r="F264" i="10"/>
  <c r="D263" i="10"/>
  <c r="N260" i="10"/>
  <c r="F260" i="10"/>
  <c r="C260" i="10" s="1"/>
  <c r="D260" i="10" s="1"/>
  <c r="N256" i="10"/>
  <c r="F256" i="10"/>
  <c r="D255" i="10"/>
  <c r="N252" i="10"/>
  <c r="F252" i="10"/>
  <c r="C252" i="10" s="1"/>
  <c r="N248" i="10"/>
  <c r="F248" i="10"/>
  <c r="D247" i="10"/>
  <c r="N244" i="10"/>
  <c r="F244" i="10"/>
  <c r="C244" i="10" s="1"/>
  <c r="D244" i="10" s="1"/>
  <c r="D344" i="10"/>
  <c r="F333" i="10"/>
  <c r="C333" i="10" s="1"/>
  <c r="D333" i="10" s="1"/>
  <c r="C322" i="10"/>
  <c r="D322" i="10" s="1"/>
  <c r="N314" i="10"/>
  <c r="F310" i="10"/>
  <c r="C310" i="10" s="1"/>
  <c r="D310" i="10" s="1"/>
  <c r="F298" i="10"/>
  <c r="C298" i="10" s="1"/>
  <c r="D298" i="10" s="1"/>
  <c r="M292" i="10"/>
  <c r="C291" i="10"/>
  <c r="M288" i="10"/>
  <c r="C287" i="10"/>
  <c r="D287" i="10" s="1"/>
  <c r="M284" i="10"/>
  <c r="M280" i="10"/>
  <c r="C279" i="10"/>
  <c r="M276" i="10"/>
  <c r="C275" i="10"/>
  <c r="D275" i="10" s="1"/>
  <c r="M272" i="10"/>
  <c r="C271" i="10"/>
  <c r="M268" i="10"/>
  <c r="C267" i="10"/>
  <c r="D267" i="10" s="1"/>
  <c r="M264" i="10"/>
  <c r="C263" i="10"/>
  <c r="M260" i="10"/>
  <c r="C259" i="10"/>
  <c r="D259" i="10" s="1"/>
  <c r="M256" i="10"/>
  <c r="C255" i="10"/>
  <c r="M252" i="10"/>
  <c r="C251" i="10"/>
  <c r="D251" i="10" s="1"/>
  <c r="M248" i="10"/>
  <c r="C247" i="10"/>
  <c r="M244" i="10"/>
  <c r="C243" i="10"/>
  <c r="D243" i="10" s="1"/>
  <c r="D358" i="10"/>
  <c r="N318" i="10"/>
  <c r="F314" i="10"/>
  <c r="C314" i="10" s="1"/>
  <c r="D314" i="10" s="1"/>
  <c r="N302" i="10"/>
  <c r="F294" i="10"/>
  <c r="M289" i="10"/>
  <c r="C288" i="10"/>
  <c r="D288" i="10" s="1"/>
  <c r="M285" i="10"/>
  <c r="C284" i="10"/>
  <c r="D284" i="10" s="1"/>
  <c r="M281" i="10"/>
  <c r="C280" i="10"/>
  <c r="M277" i="10"/>
  <c r="C276" i="10"/>
  <c r="N323" i="10"/>
  <c r="D297" i="10"/>
  <c r="N290" i="10"/>
  <c r="N289" i="10"/>
  <c r="F274" i="10"/>
  <c r="C274" i="10" s="1"/>
  <c r="D274" i="10" s="1"/>
  <c r="N270" i="10"/>
  <c r="F266" i="10"/>
  <c r="C266" i="10" s="1"/>
  <c r="D266" i="10" s="1"/>
  <c r="N262" i="10"/>
  <c r="F258" i="10"/>
  <c r="N254" i="10"/>
  <c r="F250" i="10"/>
  <c r="C250" i="10" s="1"/>
  <c r="D250" i="10" s="1"/>
  <c r="N246" i="10"/>
  <c r="N240" i="10"/>
  <c r="F240" i="10"/>
  <c r="N236" i="10"/>
  <c r="F236" i="10"/>
  <c r="N232" i="10"/>
  <c r="F232" i="10"/>
  <c r="N228" i="10"/>
  <c r="F228" i="10"/>
  <c r="N224" i="10"/>
  <c r="F224" i="10"/>
  <c r="N220" i="10"/>
  <c r="F220" i="10"/>
  <c r="C220" i="10" s="1"/>
  <c r="D220" i="10" s="1"/>
  <c r="N216" i="10"/>
  <c r="F216" i="10"/>
  <c r="N212" i="10"/>
  <c r="F212" i="10"/>
  <c r="N208" i="10"/>
  <c r="F208" i="10"/>
  <c r="C208" i="10" s="1"/>
  <c r="D208" i="10" s="1"/>
  <c r="F318" i="10"/>
  <c r="C318" i="10" s="1"/>
  <c r="D318" i="10" s="1"/>
  <c r="N306" i="10"/>
  <c r="M286" i="10"/>
  <c r="N282" i="10"/>
  <c r="N281" i="10"/>
  <c r="F273" i="10"/>
  <c r="N269" i="10"/>
  <c r="D268" i="10"/>
  <c r="F265" i="10"/>
  <c r="N261" i="10"/>
  <c r="F257" i="10"/>
  <c r="N253" i="10"/>
  <c r="D252" i="10"/>
  <c r="F249" i="10"/>
  <c r="N245" i="10"/>
  <c r="N241" i="10"/>
  <c r="F241" i="10"/>
  <c r="D240" i="10"/>
  <c r="N237" i="10"/>
  <c r="F237" i="10"/>
  <c r="C237" i="10" s="1"/>
  <c r="N233" i="10"/>
  <c r="F233" i="10"/>
  <c r="N229" i="10"/>
  <c r="F229" i="10"/>
  <c r="N225" i="10"/>
  <c r="F225" i="10"/>
  <c r="N221" i="10"/>
  <c r="F221" i="10"/>
  <c r="N217" i="10"/>
  <c r="F217" i="10"/>
  <c r="N213" i="10"/>
  <c r="F213" i="10"/>
  <c r="N209" i="10"/>
  <c r="F209" i="10"/>
  <c r="N205" i="10"/>
  <c r="F205" i="10"/>
  <c r="F331" i="10"/>
  <c r="C331" i="10" s="1"/>
  <c r="D331" i="10" s="1"/>
  <c r="M309" i="10"/>
  <c r="M305" i="10"/>
  <c r="F302" i="10"/>
  <c r="C302" i="10" s="1"/>
  <c r="D302" i="10" s="1"/>
  <c r="F296" i="10"/>
  <c r="N294" i="10"/>
  <c r="F293" i="10"/>
  <c r="C293" i="10" s="1"/>
  <c r="D293" i="10" s="1"/>
  <c r="F290" i="10"/>
  <c r="C290" i="10" s="1"/>
  <c r="D290" i="10" s="1"/>
  <c r="F289" i="10"/>
  <c r="C289" i="10" s="1"/>
  <c r="D289" i="10" s="1"/>
  <c r="M282" i="10"/>
  <c r="N278" i="10"/>
  <c r="N277" i="10"/>
  <c r="M269" i="10"/>
  <c r="C268" i="10"/>
  <c r="M261" i="10"/>
  <c r="M253" i="10"/>
  <c r="M245" i="10"/>
  <c r="M241" i="10"/>
  <c r="C240" i="10"/>
  <c r="M237" i="10"/>
  <c r="C236" i="10"/>
  <c r="D236" i="10" s="1"/>
  <c r="M233" i="10"/>
  <c r="C232" i="10"/>
  <c r="D232" i="10" s="1"/>
  <c r="M229" i="10"/>
  <c r="C228" i="10"/>
  <c r="D228" i="10" s="1"/>
  <c r="M225" i="10"/>
  <c r="C224" i="10"/>
  <c r="D224" i="10" s="1"/>
  <c r="M221" i="10"/>
  <c r="M217" i="10"/>
  <c r="C216" i="10"/>
  <c r="D216" i="10" s="1"/>
  <c r="M213" i="10"/>
  <c r="C212" i="10"/>
  <c r="D212" i="10" s="1"/>
  <c r="M209" i="10"/>
  <c r="M205" i="10"/>
  <c r="F321" i="10"/>
  <c r="C321" i="10" s="1"/>
  <c r="D321" i="10" s="1"/>
  <c r="C296" i="10"/>
  <c r="D296" i="10" s="1"/>
  <c r="F286" i="10"/>
  <c r="C286" i="10" s="1"/>
  <c r="D286" i="10" s="1"/>
  <c r="F285" i="10"/>
  <c r="M278" i="10"/>
  <c r="N274" i="10"/>
  <c r="F270" i="10"/>
  <c r="C270" i="10" s="1"/>
  <c r="D270" i="10" s="1"/>
  <c r="N266" i="10"/>
  <c r="F262" i="10"/>
  <c r="N258" i="10"/>
  <c r="F254" i="10"/>
  <c r="C254" i="10" s="1"/>
  <c r="D254" i="10" s="1"/>
  <c r="N250" i="10"/>
  <c r="F246" i="10"/>
  <c r="C246" i="10" s="1"/>
  <c r="D246" i="10" s="1"/>
  <c r="N242" i="10"/>
  <c r="F242" i="10"/>
  <c r="D241" i="10"/>
  <c r="N238" i="10"/>
  <c r="F238" i="10"/>
  <c r="D237" i="10"/>
  <c r="N234" i="10"/>
  <c r="F234" i="10"/>
  <c r="N230" i="10"/>
  <c r="F230" i="10"/>
  <c r="N226" i="10"/>
  <c r="F226" i="10"/>
  <c r="N222" i="10"/>
  <c r="F222" i="10"/>
  <c r="C222" i="10" s="1"/>
  <c r="D221" i="10"/>
  <c r="N218" i="10"/>
  <c r="F218" i="10"/>
  <c r="N214" i="10"/>
  <c r="F214" i="10"/>
  <c r="C214" i="10" s="1"/>
  <c r="N210" i="10"/>
  <c r="F210" i="10"/>
  <c r="F341" i="10"/>
  <c r="C341" i="10" s="1"/>
  <c r="D341" i="10" s="1"/>
  <c r="C320" i="10"/>
  <c r="D320" i="10" s="1"/>
  <c r="D305" i="10"/>
  <c r="C294" i="10"/>
  <c r="D294" i="10" s="1"/>
  <c r="F282" i="10"/>
  <c r="C282" i="10" s="1"/>
  <c r="D282" i="10" s="1"/>
  <c r="F281" i="10"/>
  <c r="C281" i="10" s="1"/>
  <c r="D281" i="10" s="1"/>
  <c r="M274" i="10"/>
  <c r="C273" i="10"/>
  <c r="D273" i="10" s="1"/>
  <c r="M266" i="10"/>
  <c r="C265" i="10"/>
  <c r="D265" i="10" s="1"/>
  <c r="M258" i="10"/>
  <c r="C257" i="10"/>
  <c r="D257" i="10" s="1"/>
  <c r="M250" i="10"/>
  <c r="C249" i="10"/>
  <c r="D249" i="10" s="1"/>
  <c r="M242" i="10"/>
  <c r="C241" i="10"/>
  <c r="M238" i="10"/>
  <c r="M234" i="10"/>
  <c r="C308" i="10"/>
  <c r="D308" i="10" s="1"/>
  <c r="F269" i="10"/>
  <c r="M265" i="10"/>
  <c r="N257" i="10"/>
  <c r="C248" i="10"/>
  <c r="M240" i="10"/>
  <c r="M239" i="10"/>
  <c r="N235" i="10"/>
  <c r="N231" i="10"/>
  <c r="F227" i="10"/>
  <c r="N223" i="10"/>
  <c r="D222" i="10"/>
  <c r="F219" i="10"/>
  <c r="C219" i="10" s="1"/>
  <c r="D219" i="10" s="1"/>
  <c r="N215" i="10"/>
  <c r="D214" i="10"/>
  <c r="F211" i="10"/>
  <c r="N201" i="10"/>
  <c r="F201" i="10"/>
  <c r="N197" i="10"/>
  <c r="F197" i="10"/>
  <c r="D196" i="10"/>
  <c r="N193" i="10"/>
  <c r="F193" i="10"/>
  <c r="D192" i="10"/>
  <c r="N189" i="10"/>
  <c r="F189" i="10"/>
  <c r="N185" i="10"/>
  <c r="F185" i="10"/>
  <c r="N181" i="10"/>
  <c r="F181" i="10"/>
  <c r="N177" i="10"/>
  <c r="F177" i="10"/>
  <c r="N173" i="10"/>
  <c r="F173" i="10"/>
  <c r="N169" i="10"/>
  <c r="F169" i="10"/>
  <c r="N165" i="10"/>
  <c r="F165" i="10"/>
  <c r="N161" i="10"/>
  <c r="F161" i="10"/>
  <c r="N157" i="10"/>
  <c r="F157" i="10"/>
  <c r="C157" i="10" s="1"/>
  <c r="D157" i="10" s="1"/>
  <c r="N293" i="10"/>
  <c r="N285" i="10"/>
  <c r="D280" i="10"/>
  <c r="F261" i="10"/>
  <c r="M257" i="10"/>
  <c r="N249" i="10"/>
  <c r="M236" i="10"/>
  <c r="M235" i="10"/>
  <c r="M231" i="10"/>
  <c r="C230" i="10"/>
  <c r="D230" i="10" s="1"/>
  <c r="M223" i="10"/>
  <c r="M215" i="10"/>
  <c r="N207" i="10"/>
  <c r="M201" i="10"/>
  <c r="C200" i="10"/>
  <c r="D200" i="10" s="1"/>
  <c r="M197" i="10"/>
  <c r="C196" i="10"/>
  <c r="M193" i="10"/>
  <c r="M189" i="10"/>
  <c r="M185" i="10"/>
  <c r="M181" i="10"/>
  <c r="C180" i="10"/>
  <c r="D180" i="10" s="1"/>
  <c r="M177" i="10"/>
  <c r="M173" i="10"/>
  <c r="M169" i="10"/>
  <c r="M165" i="10"/>
  <c r="M290" i="10"/>
  <c r="C285" i="10"/>
  <c r="D285" i="10" s="1"/>
  <c r="F277" i="10"/>
  <c r="C277" i="10" s="1"/>
  <c r="D277" i="10" s="1"/>
  <c r="C269" i="10"/>
  <c r="D269" i="10" s="1"/>
  <c r="F253" i="10"/>
  <c r="M249" i="10"/>
  <c r="D242" i="10"/>
  <c r="F239" i="10"/>
  <c r="M228" i="10"/>
  <c r="C227" i="10"/>
  <c r="D227" i="10" s="1"/>
  <c r="M220" i="10"/>
  <c r="M212" i="10"/>
  <c r="C211" i="10"/>
  <c r="D211" i="10" s="1"/>
  <c r="M207" i="10"/>
  <c r="N202" i="10"/>
  <c r="F202" i="10"/>
  <c r="C202" i="10" s="1"/>
  <c r="D201" i="10"/>
  <c r="N198" i="10"/>
  <c r="F198" i="10"/>
  <c r="N194" i="10"/>
  <c r="F194" i="10"/>
  <c r="C194" i="10" s="1"/>
  <c r="D194" i="10" s="1"/>
  <c r="N190" i="10"/>
  <c r="F190" i="10"/>
  <c r="D189" i="10"/>
  <c r="N186" i="10"/>
  <c r="F186" i="10"/>
  <c r="C186" i="10" s="1"/>
  <c r="N182" i="10"/>
  <c r="F182" i="10"/>
  <c r="C182" i="10" s="1"/>
  <c r="D182" i="10" s="1"/>
  <c r="N178" i="10"/>
  <c r="F178" i="10"/>
  <c r="C178" i="10" s="1"/>
  <c r="N174" i="10"/>
  <c r="F174" i="10"/>
  <c r="C174" i="10" s="1"/>
  <c r="D174" i="10" s="1"/>
  <c r="D173" i="10"/>
  <c r="N170" i="10"/>
  <c r="F170" i="10"/>
  <c r="D169" i="10"/>
  <c r="N166" i="10"/>
  <c r="F166" i="10"/>
  <c r="C304" i="10"/>
  <c r="D304" i="10" s="1"/>
  <c r="C261" i="10"/>
  <c r="D261" i="10" s="1"/>
  <c r="F245" i="10"/>
  <c r="C242" i="10"/>
  <c r="F235" i="10"/>
  <c r="C235" i="10" s="1"/>
  <c r="D235" i="10" s="1"/>
  <c r="M230" i="10"/>
  <c r="C229" i="10"/>
  <c r="D229" i="10" s="1"/>
  <c r="M222" i="10"/>
  <c r="C221" i="10"/>
  <c r="M214" i="10"/>
  <c r="C213" i="10"/>
  <c r="D213" i="10" s="1"/>
  <c r="F206" i="10"/>
  <c r="M202" i="10"/>
  <c r="C201" i="10"/>
  <c r="M198" i="10"/>
  <c r="C197" i="10"/>
  <c r="D197" i="10" s="1"/>
  <c r="M194" i="10"/>
  <c r="C193" i="10"/>
  <c r="D193" i="10" s="1"/>
  <c r="M190" i="10"/>
  <c r="C189" i="10"/>
  <c r="M186" i="10"/>
  <c r="C185" i="10"/>
  <c r="D185" i="10" s="1"/>
  <c r="M182" i="10"/>
  <c r="C181" i="10"/>
  <c r="D181" i="10" s="1"/>
  <c r="M178" i="10"/>
  <c r="C177" i="10"/>
  <c r="D177" i="10" s="1"/>
  <c r="M174" i="10"/>
  <c r="C173" i="10"/>
  <c r="M170" i="10"/>
  <c r="C169" i="10"/>
  <c r="M166" i="10"/>
  <c r="C165" i="10"/>
  <c r="M162" i="10"/>
  <c r="C161" i="10"/>
  <c r="M158" i="10"/>
  <c r="M324" i="10"/>
  <c r="C272" i="10"/>
  <c r="M262" i="10"/>
  <c r="C245" i="10"/>
  <c r="D245" i="10" s="1"/>
  <c r="C234" i="10"/>
  <c r="M227" i="10"/>
  <c r="C226" i="10"/>
  <c r="M219" i="10"/>
  <c r="C218" i="10"/>
  <c r="M211" i="10"/>
  <c r="C210" i="10"/>
  <c r="D210" i="10" s="1"/>
  <c r="M203" i="10"/>
  <c r="M199" i="10"/>
  <c r="C198" i="10"/>
  <c r="M195" i="10"/>
  <c r="M191" i="10"/>
  <c r="C190" i="10"/>
  <c r="D190" i="10" s="1"/>
  <c r="M187" i="10"/>
  <c r="M183" i="10"/>
  <c r="M179" i="10"/>
  <c r="M175" i="10"/>
  <c r="M171" i="10"/>
  <c r="N286" i="10"/>
  <c r="D276" i="10"/>
  <c r="N273" i="10"/>
  <c r="C264" i="10"/>
  <c r="D264" i="10" s="1"/>
  <c r="D272" i="10"/>
  <c r="C233" i="10"/>
  <c r="D233" i="10" s="1"/>
  <c r="F223" i="10"/>
  <c r="N211" i="10"/>
  <c r="F192" i="10"/>
  <c r="C192" i="10" s="1"/>
  <c r="F191" i="10"/>
  <c r="M184" i="10"/>
  <c r="N180" i="10"/>
  <c r="N179" i="10"/>
  <c r="C171" i="10"/>
  <c r="F164" i="10"/>
  <c r="F163" i="10"/>
  <c r="M156" i="10"/>
  <c r="M152" i="10"/>
  <c r="C151" i="10"/>
  <c r="M148" i="10"/>
  <c r="M144" i="10"/>
  <c r="M140" i="10"/>
  <c r="M136" i="10"/>
  <c r="M132" i="10"/>
  <c r="M128" i="10"/>
  <c r="M124" i="10"/>
  <c r="M120" i="10"/>
  <c r="M116" i="10"/>
  <c r="M112" i="10"/>
  <c r="M108" i="10"/>
  <c r="M104" i="10"/>
  <c r="M100" i="10"/>
  <c r="M96" i="10"/>
  <c r="M92" i="10"/>
  <c r="M88" i="10"/>
  <c r="M84" i="10"/>
  <c r="M80" i="10"/>
  <c r="M76" i="10"/>
  <c r="M72" i="10"/>
  <c r="M68" i="10"/>
  <c r="C253" i="10"/>
  <c r="D253" i="10" s="1"/>
  <c r="D248" i="10"/>
  <c r="C225" i="10"/>
  <c r="D225" i="10" s="1"/>
  <c r="C223" i="10"/>
  <c r="D223" i="10" s="1"/>
  <c r="F215" i="10"/>
  <c r="C206" i="10"/>
  <c r="D206" i="10" s="1"/>
  <c r="F188" i="10"/>
  <c r="C188" i="10" s="1"/>
  <c r="D188" i="10" s="1"/>
  <c r="F187" i="10"/>
  <c r="M180" i="10"/>
  <c r="N176" i="10"/>
  <c r="N175" i="10"/>
  <c r="F167" i="10"/>
  <c r="F162" i="10"/>
  <c r="C162" i="10" s="1"/>
  <c r="D162" i="10" s="1"/>
  <c r="N153" i="10"/>
  <c r="F153" i="10"/>
  <c r="N149" i="10"/>
  <c r="F149" i="10"/>
  <c r="N145" i="10"/>
  <c r="F145" i="10"/>
  <c r="N141" i="10"/>
  <c r="F141" i="10"/>
  <c r="N137" i="10"/>
  <c r="F137" i="10"/>
  <c r="N133" i="10"/>
  <c r="F133" i="10"/>
  <c r="N129" i="10"/>
  <c r="F129" i="10"/>
  <c r="N125" i="10"/>
  <c r="F125" i="10"/>
  <c r="N121" i="10"/>
  <c r="F121" i="10"/>
  <c r="D120" i="10"/>
  <c r="N117" i="10"/>
  <c r="F117" i="10"/>
  <c r="N113" i="10"/>
  <c r="F113" i="10"/>
  <c r="N109" i="10"/>
  <c r="F109" i="10"/>
  <c r="C109" i="10" s="1"/>
  <c r="D109" i="10" s="1"/>
  <c r="E109" i="10" s="1"/>
  <c r="N105" i="10"/>
  <c r="F105" i="10"/>
  <c r="C105" i="10" s="1"/>
  <c r="D105" i="10" s="1"/>
  <c r="E105" i="10" s="1"/>
  <c r="N101" i="10"/>
  <c r="F101" i="10"/>
  <c r="C101" i="10" s="1"/>
  <c r="D101" i="10" s="1"/>
  <c r="E101" i="10" s="1"/>
  <c r="N97" i="10"/>
  <c r="F97" i="10"/>
  <c r="C97" i="10" s="1"/>
  <c r="D97" i="10" s="1"/>
  <c r="E97" i="10" s="1"/>
  <c r="N93" i="10"/>
  <c r="F93" i="10"/>
  <c r="C93" i="10" s="1"/>
  <c r="D93" i="10" s="1"/>
  <c r="E93" i="10" s="1"/>
  <c r="N89" i="10"/>
  <c r="F89" i="10"/>
  <c r="C89" i="10" s="1"/>
  <c r="D89" i="10" s="1"/>
  <c r="E89" i="10" s="1"/>
  <c r="N85" i="10"/>
  <c r="F85" i="10"/>
  <c r="C85" i="10" s="1"/>
  <c r="D85" i="10" s="1"/>
  <c r="E85" i="10" s="1"/>
  <c r="N81" i="10"/>
  <c r="F81" i="10"/>
  <c r="C81" i="10" s="1"/>
  <c r="D81" i="10" s="1"/>
  <c r="E81" i="10" s="1"/>
  <c r="N77" i="10"/>
  <c r="F77" i="10"/>
  <c r="C77" i="10" s="1"/>
  <c r="D77" i="10" s="1"/>
  <c r="E77" i="10" s="1"/>
  <c r="N73" i="10"/>
  <c r="F73" i="10"/>
  <c r="C73" i="10" s="1"/>
  <c r="D73" i="10" s="1"/>
  <c r="E73" i="10" s="1"/>
  <c r="N69" i="10"/>
  <c r="F69" i="10"/>
  <c r="C69" i="10" s="1"/>
  <c r="D69" i="10" s="1"/>
  <c r="E69" i="10" s="1"/>
  <c r="N65" i="10"/>
  <c r="F65" i="10"/>
  <c r="C65" i="10" s="1"/>
  <c r="D65" i="10" s="1"/>
  <c r="E65" i="10" s="1"/>
  <c r="M270" i="10"/>
  <c r="M232" i="10"/>
  <c r="C217" i="10"/>
  <c r="D217" i="10" s="1"/>
  <c r="C215" i="10"/>
  <c r="D215" i="10" s="1"/>
  <c r="N204" i="10"/>
  <c r="N203" i="10"/>
  <c r="C191" i="10"/>
  <c r="D191" i="10" s="1"/>
  <c r="D186" i="10"/>
  <c r="F184" i="10"/>
  <c r="C184" i="10" s="1"/>
  <c r="D184" i="10" s="1"/>
  <c r="F183" i="10"/>
  <c r="C183" i="10" s="1"/>
  <c r="M176" i="10"/>
  <c r="N172" i="10"/>
  <c r="N171" i="10"/>
  <c r="C170" i="10"/>
  <c r="D170" i="10" s="1"/>
  <c r="D165" i="10"/>
  <c r="N164" i="10"/>
  <c r="C164" i="10"/>
  <c r="D164" i="10" s="1"/>
  <c r="N163" i="10"/>
  <c r="F160" i="10"/>
  <c r="F159" i="10"/>
  <c r="M153" i="10"/>
  <c r="C152" i="10"/>
  <c r="D152" i="10" s="1"/>
  <c r="M149" i="10"/>
  <c r="M145" i="10"/>
  <c r="M141" i="10"/>
  <c r="M137" i="10"/>
  <c r="C136" i="10"/>
  <c r="D136" i="10" s="1"/>
  <c r="M133" i="10"/>
  <c r="M129" i="10"/>
  <c r="M125" i="10"/>
  <c r="M121" i="10"/>
  <c r="C120" i="10"/>
  <c r="M117" i="10"/>
  <c r="M113" i="10"/>
  <c r="C112" i="10"/>
  <c r="D112" i="10" s="1"/>
  <c r="M109" i="10"/>
  <c r="M105" i="10"/>
  <c r="M101" i="10"/>
  <c r="M97" i="10"/>
  <c r="M93" i="10"/>
  <c r="M89" i="10"/>
  <c r="M85" i="10"/>
  <c r="M81" i="10"/>
  <c r="M77" i="10"/>
  <c r="M73" i="10"/>
  <c r="M69" i="10"/>
  <c r="F278" i="10"/>
  <c r="C278" i="10" s="1"/>
  <c r="D278" i="10" s="1"/>
  <c r="N239" i="10"/>
  <c r="D234" i="10"/>
  <c r="M226" i="10"/>
  <c r="M224" i="10"/>
  <c r="C209" i="10"/>
  <c r="D209" i="10" s="1"/>
  <c r="F207" i="10"/>
  <c r="C207" i="10" s="1"/>
  <c r="D207" i="10" s="1"/>
  <c r="M204" i="10"/>
  <c r="N200" i="10"/>
  <c r="N199" i="10"/>
  <c r="C187" i="10"/>
  <c r="D187" i="10" s="1"/>
  <c r="D183" i="10"/>
  <c r="F180" i="10"/>
  <c r="F179" i="10"/>
  <c r="M172" i="10"/>
  <c r="N168" i="10"/>
  <c r="D167" i="10"/>
  <c r="M164" i="10"/>
  <c r="M163" i="10"/>
  <c r="C163" i="10"/>
  <c r="D163" i="10" s="1"/>
  <c r="N162" i="10"/>
  <c r="D161" i="10"/>
  <c r="F158" i="10"/>
  <c r="C158" i="10" s="1"/>
  <c r="D158" i="10" s="1"/>
  <c r="N154" i="10"/>
  <c r="F154" i="10"/>
  <c r="N150" i="10"/>
  <c r="F150" i="10"/>
  <c r="N146" i="10"/>
  <c r="F146" i="10"/>
  <c r="N142" i="10"/>
  <c r="F142" i="10"/>
  <c r="C142" i="10" s="1"/>
  <c r="D142" i="10" s="1"/>
  <c r="N138" i="10"/>
  <c r="F138" i="10"/>
  <c r="N134" i="10"/>
  <c r="F134" i="10"/>
  <c r="N130" i="10"/>
  <c r="F130" i="10"/>
  <c r="N126" i="10"/>
  <c r="F126" i="10"/>
  <c r="C126" i="10" s="1"/>
  <c r="D126" i="10" s="1"/>
  <c r="N122" i="10"/>
  <c r="F122" i="10"/>
  <c r="C122" i="10" s="1"/>
  <c r="N118" i="10"/>
  <c r="F118" i="10"/>
  <c r="N114" i="10"/>
  <c r="F114" i="10"/>
  <c r="N110" i="10"/>
  <c r="F110" i="10"/>
  <c r="C110" i="10" s="1"/>
  <c r="D110" i="10" s="1"/>
  <c r="N106" i="10"/>
  <c r="F106" i="10"/>
  <c r="C106" i="10" s="1"/>
  <c r="D106" i="10" s="1"/>
  <c r="E106" i="10" s="1"/>
  <c r="N102" i="10"/>
  <c r="F102" i="10"/>
  <c r="C102" i="10" s="1"/>
  <c r="D102" i="10" s="1"/>
  <c r="E102" i="10" s="1"/>
  <c r="N98" i="10"/>
  <c r="F98" i="10"/>
  <c r="C98" i="10" s="1"/>
  <c r="D98" i="10" s="1"/>
  <c r="E98" i="10" s="1"/>
  <c r="N94" i="10"/>
  <c r="F94" i="10"/>
  <c r="C94" i="10" s="1"/>
  <c r="D94" i="10" s="1"/>
  <c r="E94" i="10" s="1"/>
  <c r="N90" i="10"/>
  <c r="F90" i="10"/>
  <c r="C90" i="10" s="1"/>
  <c r="D90" i="10" s="1"/>
  <c r="E90" i="10" s="1"/>
  <c r="N86" i="10"/>
  <c r="F86" i="10"/>
  <c r="C86" i="10" s="1"/>
  <c r="D86" i="10" s="1"/>
  <c r="E86" i="10" s="1"/>
  <c r="N82" i="10"/>
  <c r="F82" i="10"/>
  <c r="C82" i="10" s="1"/>
  <c r="D82" i="10" s="1"/>
  <c r="E82" i="10" s="1"/>
  <c r="N78" i="10"/>
  <c r="F78" i="10"/>
  <c r="C78" i="10" s="1"/>
  <c r="D78" i="10" s="1"/>
  <c r="E78" i="10" s="1"/>
  <c r="N74" i="10"/>
  <c r="F74" i="10"/>
  <c r="C74" i="10" s="1"/>
  <c r="D74" i="10" s="1"/>
  <c r="E74" i="10" s="1"/>
  <c r="N70" i="10"/>
  <c r="F70" i="10"/>
  <c r="C70" i="10" s="1"/>
  <c r="D70" i="10" s="1"/>
  <c r="E70" i="10" s="1"/>
  <c r="M246" i="10"/>
  <c r="C239" i="10"/>
  <c r="D239" i="10" s="1"/>
  <c r="D226" i="10"/>
  <c r="M218" i="10"/>
  <c r="M216" i="10"/>
  <c r="M200" i="10"/>
  <c r="N196" i="10"/>
  <c r="N195" i="10"/>
  <c r="D178" i="10"/>
  <c r="F176" i="10"/>
  <c r="C176" i="10" s="1"/>
  <c r="D176" i="10" s="1"/>
  <c r="F175" i="10"/>
  <c r="C175" i="10" s="1"/>
  <c r="D175" i="10" s="1"/>
  <c r="M168" i="10"/>
  <c r="C167" i="10"/>
  <c r="M161" i="10"/>
  <c r="N160" i="10"/>
  <c r="C160" i="10"/>
  <c r="D160" i="10" s="1"/>
  <c r="N159" i="10"/>
  <c r="D159" i="10"/>
  <c r="M154" i="10"/>
  <c r="C153" i="10"/>
  <c r="D153" i="10" s="1"/>
  <c r="M150" i="10"/>
  <c r="C149" i="10"/>
  <c r="D149" i="10" s="1"/>
  <c r="M146" i="10"/>
  <c r="C145" i="10"/>
  <c r="D145" i="10" s="1"/>
  <c r="M142" i="10"/>
  <c r="C141" i="10"/>
  <c r="D141" i="10" s="1"/>
  <c r="M138" i="10"/>
  <c r="C137" i="10"/>
  <c r="D137" i="10" s="1"/>
  <c r="M134" i="10"/>
  <c r="C133" i="10"/>
  <c r="D133" i="10" s="1"/>
  <c r="M130" i="10"/>
  <c r="C129" i="10"/>
  <c r="D129" i="10" s="1"/>
  <c r="M126" i="10"/>
  <c r="C125" i="10"/>
  <c r="D125" i="10" s="1"/>
  <c r="M122" i="10"/>
  <c r="C121" i="10"/>
  <c r="D121" i="10" s="1"/>
  <c r="M118" i="10"/>
  <c r="C117" i="10"/>
  <c r="D117" i="10" s="1"/>
  <c r="M114" i="10"/>
  <c r="C113" i="10"/>
  <c r="D113" i="10" s="1"/>
  <c r="M110" i="10"/>
  <c r="M106" i="10"/>
  <c r="M102" i="10"/>
  <c r="M98" i="10"/>
  <c r="M94" i="10"/>
  <c r="M90" i="10"/>
  <c r="M86" i="10"/>
  <c r="M82" i="10"/>
  <c r="M78" i="10"/>
  <c r="M74" i="10"/>
  <c r="M70" i="10"/>
  <c r="C256" i="10"/>
  <c r="D256" i="10" s="1"/>
  <c r="D218" i="10"/>
  <c r="M210" i="10"/>
  <c r="M208" i="10"/>
  <c r="F204" i="10"/>
  <c r="C204" i="10" s="1"/>
  <c r="D204" i="10" s="1"/>
  <c r="F203" i="10"/>
  <c r="C203" i="10" s="1"/>
  <c r="D203" i="10" s="1"/>
  <c r="M196" i="10"/>
  <c r="N192" i="10"/>
  <c r="N191" i="10"/>
  <c r="C179" i="10"/>
  <c r="D179" i="10" s="1"/>
  <c r="F172" i="10"/>
  <c r="C172" i="10" s="1"/>
  <c r="D172" i="10" s="1"/>
  <c r="F171" i="10"/>
  <c r="N167" i="10"/>
  <c r="M160" i="10"/>
  <c r="M159" i="10"/>
  <c r="C159" i="10"/>
  <c r="N158" i="10"/>
  <c r="N155" i="10"/>
  <c r="F155" i="10"/>
  <c r="C155" i="10" s="1"/>
  <c r="D155" i="10" s="1"/>
  <c r="D154" i="10"/>
  <c r="N151" i="10"/>
  <c r="F151" i="10"/>
  <c r="D150" i="10"/>
  <c r="N147" i="10"/>
  <c r="F147" i="10"/>
  <c r="C147" i="10" s="1"/>
  <c r="D146" i="10"/>
  <c r="N143" i="10"/>
  <c r="F143" i="10"/>
  <c r="C143" i="10" s="1"/>
  <c r="N139" i="10"/>
  <c r="F139" i="10"/>
  <c r="C139" i="10" s="1"/>
  <c r="D139" i="10" s="1"/>
  <c r="D138" i="10"/>
  <c r="N135" i="10"/>
  <c r="F135" i="10"/>
  <c r="C135" i="10" s="1"/>
  <c r="D135" i="10" s="1"/>
  <c r="N131" i="10"/>
  <c r="F131" i="10"/>
  <c r="C131" i="10" s="1"/>
  <c r="D131" i="10" s="1"/>
  <c r="N127" i="10"/>
  <c r="F127" i="10"/>
  <c r="C127" i="10" s="1"/>
  <c r="N123" i="10"/>
  <c r="F123" i="10"/>
  <c r="C123" i="10" s="1"/>
  <c r="D123" i="10" s="1"/>
  <c r="D122" i="10"/>
  <c r="N119" i="10"/>
  <c r="F119" i="10"/>
  <c r="C119" i="10" s="1"/>
  <c r="N115" i="10"/>
  <c r="F115" i="10"/>
  <c r="C115" i="10" s="1"/>
  <c r="D115" i="10" s="1"/>
  <c r="D114" i="10"/>
  <c r="N111" i="10"/>
  <c r="F111" i="10"/>
  <c r="C111" i="10" s="1"/>
  <c r="N107" i="10"/>
  <c r="F107" i="10"/>
  <c r="C107" i="10" s="1"/>
  <c r="D107" i="10" s="1"/>
  <c r="E107" i="10" s="1"/>
  <c r="N103" i="10"/>
  <c r="F103" i="10"/>
  <c r="C103" i="10" s="1"/>
  <c r="D103" i="10" s="1"/>
  <c r="E103" i="10" s="1"/>
  <c r="N99" i="10"/>
  <c r="F99" i="10"/>
  <c r="C99" i="10" s="1"/>
  <c r="D99" i="10" s="1"/>
  <c r="E99" i="10" s="1"/>
  <c r="N95" i="10"/>
  <c r="F95" i="10"/>
  <c r="C95" i="10" s="1"/>
  <c r="D95" i="10" s="1"/>
  <c r="E95" i="10" s="1"/>
  <c r="N91" i="10"/>
  <c r="F91" i="10"/>
  <c r="C91" i="10" s="1"/>
  <c r="D91" i="10" s="1"/>
  <c r="E91" i="10" s="1"/>
  <c r="N87" i="10"/>
  <c r="F87" i="10"/>
  <c r="C87" i="10" s="1"/>
  <c r="D87" i="10" s="1"/>
  <c r="E87" i="10" s="1"/>
  <c r="N83" i="10"/>
  <c r="F83" i="10"/>
  <c r="C83" i="10" s="1"/>
  <c r="D83" i="10" s="1"/>
  <c r="E83" i="10" s="1"/>
  <c r="N79" i="10"/>
  <c r="F79" i="10"/>
  <c r="C79" i="10" s="1"/>
  <c r="D79" i="10" s="1"/>
  <c r="E79" i="10" s="1"/>
  <c r="N75" i="10"/>
  <c r="F75" i="10"/>
  <c r="C75" i="10" s="1"/>
  <c r="D75" i="10" s="1"/>
  <c r="E75" i="10" s="1"/>
  <c r="N71" i="10"/>
  <c r="F71" i="10"/>
  <c r="C71" i="10" s="1"/>
  <c r="D71" i="10" s="1"/>
  <c r="E71" i="10" s="1"/>
  <c r="N67" i="10"/>
  <c r="F67" i="10"/>
  <c r="C67" i="10" s="1"/>
  <c r="D67" i="10" s="1"/>
  <c r="E67" i="10" s="1"/>
  <c r="N38" i="10"/>
  <c r="F42" i="10"/>
  <c r="C42" i="10" s="1"/>
  <c r="D42" i="10" s="1"/>
  <c r="E42" i="10" s="1"/>
  <c r="N42" i="10"/>
  <c r="F46" i="10"/>
  <c r="C46" i="10" s="1"/>
  <c r="D46" i="10" s="1"/>
  <c r="E46" i="10" s="1"/>
  <c r="N46" i="10"/>
  <c r="F50" i="10"/>
  <c r="C50" i="10" s="1"/>
  <c r="D50" i="10" s="1"/>
  <c r="E50" i="10" s="1"/>
  <c r="N50" i="10"/>
  <c r="F54" i="10"/>
  <c r="C54" i="10" s="1"/>
  <c r="D54" i="10" s="1"/>
  <c r="E54" i="10" s="1"/>
  <c r="N54" i="10"/>
  <c r="F58" i="10"/>
  <c r="C58" i="10" s="1"/>
  <c r="D58" i="10" s="1"/>
  <c r="E58" i="10" s="1"/>
  <c r="N58" i="10"/>
  <c r="F62" i="10"/>
  <c r="C62" i="10" s="1"/>
  <c r="D62" i="10" s="1"/>
  <c r="E62" i="10" s="1"/>
  <c r="N62" i="10"/>
  <c r="N72" i="10"/>
  <c r="F84" i="10"/>
  <c r="C84" i="10" s="1"/>
  <c r="D84" i="10" s="1"/>
  <c r="E84" i="10" s="1"/>
  <c r="N88" i="10"/>
  <c r="F100" i="10"/>
  <c r="C100" i="10" s="1"/>
  <c r="D100" i="10" s="1"/>
  <c r="E100" i="10" s="1"/>
  <c r="N104" i="10"/>
  <c r="F116" i="10"/>
  <c r="C116" i="10" s="1"/>
  <c r="D116" i="10" s="1"/>
  <c r="D119" i="10"/>
  <c r="N120" i="10"/>
  <c r="F132" i="10"/>
  <c r="C132" i="10" s="1"/>
  <c r="D132" i="10" s="1"/>
  <c r="N136" i="10"/>
  <c r="F148" i="10"/>
  <c r="C148" i="10" s="1"/>
  <c r="D148" i="10" s="1"/>
  <c r="D151" i="10"/>
  <c r="N152" i="10"/>
  <c r="N219" i="10"/>
  <c r="M273" i="10"/>
  <c r="F66" i="10"/>
  <c r="C66" i="10" s="1"/>
  <c r="D66" i="10" s="1"/>
  <c r="E66" i="10" s="1"/>
  <c r="M41" i="10"/>
  <c r="M45" i="10"/>
  <c r="M49" i="10"/>
  <c r="M53" i="10"/>
  <c r="M57" i="10"/>
  <c r="M61" i="10"/>
  <c r="M75" i="10"/>
  <c r="M91" i="10"/>
  <c r="M107" i="10"/>
  <c r="M123" i="10"/>
  <c r="C138" i="10"/>
  <c r="M139" i="10"/>
  <c r="C154" i="10"/>
  <c r="M155" i="10"/>
  <c r="M167" i="10"/>
  <c r="C205" i="10"/>
  <c r="D205" i="10" s="1"/>
  <c r="N227" i="10"/>
  <c r="F51" i="10"/>
  <c r="C51" i="10" s="1"/>
  <c r="D51" i="10" s="1"/>
  <c r="E51" i="10" s="1"/>
  <c r="F55" i="10"/>
  <c r="C55" i="10" s="1"/>
  <c r="D55" i="10" s="1"/>
  <c r="E55" i="10" s="1"/>
  <c r="F104" i="10"/>
  <c r="C104" i="10" s="1"/>
  <c r="D104" i="10" s="1"/>
  <c r="E104" i="10" s="1"/>
  <c r="F41" i="10"/>
  <c r="C41" i="10" s="1"/>
  <c r="D41" i="10" s="1"/>
  <c r="E41" i="10" s="1"/>
  <c r="N41" i="10"/>
  <c r="F45" i="10"/>
  <c r="C45" i="10" s="1"/>
  <c r="D45" i="10" s="1"/>
  <c r="E45" i="10" s="1"/>
  <c r="N45" i="10"/>
  <c r="F49" i="10"/>
  <c r="C49" i="10" s="1"/>
  <c r="D49" i="10" s="1"/>
  <c r="E49" i="10" s="1"/>
  <c r="N49" i="10"/>
  <c r="F53" i="10"/>
  <c r="C53" i="10" s="1"/>
  <c r="D53" i="10" s="1"/>
  <c r="E53" i="10" s="1"/>
  <c r="N53" i="10"/>
  <c r="F57" i="10"/>
  <c r="C57" i="10" s="1"/>
  <c r="D57" i="10" s="1"/>
  <c r="E57" i="10" s="1"/>
  <c r="N57" i="10"/>
  <c r="F61" i="10"/>
  <c r="C61" i="10" s="1"/>
  <c r="D61" i="10" s="1"/>
  <c r="E61" i="10" s="1"/>
  <c r="N61" i="10"/>
  <c r="F80" i="10"/>
  <c r="C80" i="10" s="1"/>
  <c r="D80" i="10" s="1"/>
  <c r="E80" i="10" s="1"/>
  <c r="N84" i="10"/>
  <c r="F96" i="10"/>
  <c r="C96" i="10" s="1"/>
  <c r="D96" i="10" s="1"/>
  <c r="E96" i="10" s="1"/>
  <c r="N100" i="10"/>
  <c r="F112" i="10"/>
  <c r="N116" i="10"/>
  <c r="F128" i="10"/>
  <c r="C128" i="10" s="1"/>
  <c r="D128" i="10" s="1"/>
  <c r="N132" i="10"/>
  <c r="F144" i="10"/>
  <c r="C144" i="10" s="1"/>
  <c r="D144" i="10" s="1"/>
  <c r="D147" i="10"/>
  <c r="N148" i="10"/>
  <c r="F168" i="10"/>
  <c r="C168" i="10" s="1"/>
  <c r="D168" i="10" s="1"/>
  <c r="D171" i="10"/>
  <c r="D198" i="10"/>
  <c r="M206" i="10"/>
  <c r="C238" i="10"/>
  <c r="D238" i="10" s="1"/>
  <c r="M254" i="10"/>
  <c r="F47" i="10"/>
  <c r="C47" i="10" s="1"/>
  <c r="D47" i="10" s="1"/>
  <c r="E47" i="10" s="1"/>
  <c r="F88" i="10"/>
  <c r="C88" i="10" s="1"/>
  <c r="D88" i="10" s="1"/>
  <c r="E88" i="10" s="1"/>
  <c r="M40" i="10"/>
  <c r="M44" i="10"/>
  <c r="M48" i="10"/>
  <c r="M52" i="10"/>
  <c r="M56" i="10"/>
  <c r="M60" i="10"/>
  <c r="M64" i="10"/>
  <c r="F68" i="10"/>
  <c r="C68" i="10" s="1"/>
  <c r="D68" i="10" s="1"/>
  <c r="E68" i="10" s="1"/>
  <c r="M71" i="10"/>
  <c r="M87" i="10"/>
  <c r="M103" i="10"/>
  <c r="C118" i="10"/>
  <c r="D118" i="10" s="1"/>
  <c r="M119" i="10"/>
  <c r="C134" i="10"/>
  <c r="D134" i="10" s="1"/>
  <c r="M135" i="10"/>
  <c r="C150" i="10"/>
  <c r="M151" i="10"/>
  <c r="M157" i="10"/>
  <c r="D202" i="10"/>
  <c r="N206" i="10"/>
  <c r="F72" i="10"/>
  <c r="C72" i="10" s="1"/>
  <c r="D72" i="10" s="1"/>
  <c r="E72" i="10" s="1"/>
  <c r="F44" i="10"/>
  <c r="C44" i="10" s="1"/>
  <c r="D44" i="10" s="1"/>
  <c r="E44" i="10" s="1"/>
  <c r="N44" i="10"/>
  <c r="F48" i="10"/>
  <c r="C48" i="10" s="1"/>
  <c r="D48" i="10" s="1"/>
  <c r="E48" i="10" s="1"/>
  <c r="N48" i="10"/>
  <c r="F52" i="10"/>
  <c r="C52" i="10" s="1"/>
  <c r="D52" i="10" s="1"/>
  <c r="E52" i="10" s="1"/>
  <c r="N52" i="10"/>
  <c r="F56" i="10"/>
  <c r="C56" i="10" s="1"/>
  <c r="D56" i="10" s="1"/>
  <c r="E56" i="10" s="1"/>
  <c r="N56" i="10"/>
  <c r="F60" i="10"/>
  <c r="C60" i="10" s="1"/>
  <c r="D60" i="10" s="1"/>
  <c r="E60" i="10" s="1"/>
  <c r="N60" i="10"/>
  <c r="F64" i="10"/>
  <c r="C64" i="10" s="1"/>
  <c r="D64" i="10" s="1"/>
  <c r="E64" i="10" s="1"/>
  <c r="N64" i="10"/>
  <c r="M65" i="10"/>
  <c r="M66" i="10"/>
  <c r="M67" i="10"/>
  <c r="F76" i="10"/>
  <c r="C76" i="10" s="1"/>
  <c r="D76" i="10" s="1"/>
  <c r="E76" i="10" s="1"/>
  <c r="N80" i="10"/>
  <c r="F92" i="10"/>
  <c r="C92" i="10" s="1"/>
  <c r="D92" i="10" s="1"/>
  <c r="E92" i="10" s="1"/>
  <c r="N96" i="10"/>
  <c r="F108" i="10"/>
  <c r="C108" i="10" s="1"/>
  <c r="D108" i="10" s="1"/>
  <c r="E108" i="10" s="1"/>
  <c r="D111" i="10"/>
  <c r="N112" i="10"/>
  <c r="F124" i="10"/>
  <c r="C124" i="10" s="1"/>
  <c r="D124" i="10" s="1"/>
  <c r="D127" i="10"/>
  <c r="N128" i="10"/>
  <c r="F140" i="10"/>
  <c r="C140" i="10" s="1"/>
  <c r="D140" i="10" s="1"/>
  <c r="D143" i="10"/>
  <c r="N144" i="10"/>
  <c r="F156" i="10"/>
  <c r="C156" i="10" s="1"/>
  <c r="D156" i="10" s="1"/>
  <c r="N183" i="10"/>
  <c r="F195" i="10"/>
  <c r="C195" i="10" s="1"/>
  <c r="D195" i="10" s="1"/>
  <c r="D199" i="10"/>
  <c r="F231" i="10"/>
  <c r="C231" i="10" s="1"/>
  <c r="D231" i="10" s="1"/>
  <c r="F59" i="10"/>
  <c r="C59" i="10" s="1"/>
  <c r="D59" i="10" s="1"/>
  <c r="E59" i="10" s="1"/>
  <c r="F63" i="10"/>
  <c r="C63" i="10" s="1"/>
  <c r="D63" i="10" s="1"/>
  <c r="E63" i="10" s="1"/>
  <c r="D38" i="10"/>
  <c r="E38" i="10" s="1"/>
  <c r="M39" i="10"/>
  <c r="M43" i="10"/>
  <c r="M47" i="10"/>
  <c r="M51" i="10"/>
  <c r="M55" i="10"/>
  <c r="M59" i="10"/>
  <c r="M63" i="10"/>
  <c r="N66" i="10"/>
  <c r="M83" i="10"/>
  <c r="M99" i="10"/>
  <c r="C114" i="10"/>
  <c r="M115" i="10"/>
  <c r="C130" i="10"/>
  <c r="D130" i="10" s="1"/>
  <c r="M131" i="10"/>
  <c r="C146" i="10"/>
  <c r="M147" i="10"/>
  <c r="C166" i="10"/>
  <c r="D166" i="10" s="1"/>
  <c r="N187" i="10"/>
  <c r="F199" i="10"/>
  <c r="C199" i="10" s="1"/>
  <c r="E272" i="10" l="1"/>
  <c r="E55" i="11"/>
  <c r="D55" i="11" s="1"/>
  <c r="C55" i="11" s="1"/>
  <c r="F55" i="11" s="1"/>
  <c r="L56" i="11"/>
  <c r="K56" i="11"/>
  <c r="Z56" i="11"/>
  <c r="B57" i="11"/>
  <c r="E126" i="10"/>
  <c r="E284" i="10"/>
  <c r="E277" i="10"/>
  <c r="E330" i="10"/>
  <c r="E293" i="10"/>
  <c r="E328" i="10"/>
  <c r="E110" i="10"/>
  <c r="E202" i="10"/>
  <c r="E198" i="10"/>
  <c r="E276" i="10"/>
  <c r="E199" i="10"/>
  <c r="E171" i="10"/>
  <c r="E292" i="10"/>
  <c r="E326" i="10"/>
  <c r="E264" i="10"/>
  <c r="E222" i="10"/>
  <c r="E303" i="10"/>
  <c r="E319" i="10"/>
  <c r="E360" i="10"/>
  <c r="E374" i="10"/>
  <c r="E172" i="10"/>
  <c r="E188" i="10"/>
  <c r="E204" i="10"/>
  <c r="E254" i="10"/>
  <c r="E270" i="10"/>
  <c r="E286" i="10"/>
  <c r="E131" i="10"/>
  <c r="E255" i="10"/>
  <c r="E271" i="10"/>
  <c r="E287" i="10"/>
  <c r="E115" i="10"/>
  <c r="E139" i="10"/>
  <c r="E165" i="10"/>
  <c r="E182" i="10"/>
  <c r="E186" i="10"/>
  <c r="E280" i="10"/>
  <c r="E218" i="10"/>
  <c r="G42" i="10"/>
  <c r="E312" i="10"/>
  <c r="E335" i="10"/>
  <c r="E355" i="10"/>
  <c r="E380" i="10"/>
  <c r="E396" i="10"/>
  <c r="E281" i="10"/>
  <c r="E181" i="10"/>
  <c r="E197" i="10"/>
  <c r="E317" i="10"/>
  <c r="E336" i="10"/>
  <c r="G103" i="10"/>
  <c r="E301" i="10"/>
  <c r="E127" i="10"/>
  <c r="G74" i="10"/>
  <c r="E340" i="10"/>
  <c r="E143" i="10"/>
  <c r="E305" i="10"/>
  <c r="E175" i="10"/>
  <c r="E155" i="10"/>
  <c r="E296" i="10"/>
  <c r="E375" i="10"/>
  <c r="E391" i="10"/>
  <c r="E210" i="10"/>
  <c r="G50" i="10"/>
  <c r="E242" i="10"/>
  <c r="E207" i="10"/>
  <c r="E298" i="10"/>
  <c r="E314" i="10"/>
  <c r="E111" i="10"/>
  <c r="E315" i="10"/>
  <c r="E324" i="10"/>
  <c r="E331" i="10"/>
  <c r="E354" i="10"/>
  <c r="E158" i="10"/>
  <c r="E373" i="10"/>
  <c r="E389" i="10"/>
  <c r="G54" i="10"/>
  <c r="E157" i="10"/>
  <c r="E337" i="10"/>
  <c r="E349" i="10"/>
  <c r="E365" i="10"/>
  <c r="E203" i="10"/>
  <c r="E153" i="10"/>
  <c r="E191" i="10"/>
  <c r="E219" i="10"/>
  <c r="E310" i="10"/>
  <c r="E333" i="10"/>
  <c r="E311" i="10"/>
  <c r="E366" i="10"/>
  <c r="E249" i="10"/>
  <c r="E370" i="10"/>
  <c r="E350" i="10"/>
  <c r="E142" i="10"/>
  <c r="E120" i="10"/>
  <c r="E136" i="10"/>
  <c r="E152" i="10"/>
  <c r="E285" i="10"/>
  <c r="E229" i="10"/>
  <c r="E257" i="10"/>
  <c r="E235" i="10"/>
  <c r="E269" i="10"/>
  <c r="E294" i="10"/>
  <c r="E382" i="10"/>
  <c r="E362" i="10"/>
  <c r="E361" i="10"/>
  <c r="E174" i="10"/>
  <c r="E156" i="10"/>
  <c r="E138" i="10"/>
  <c r="E313" i="10"/>
  <c r="E140" i="10"/>
  <c r="E151" i="10"/>
  <c r="E166" i="10"/>
  <c r="E226" i="10"/>
  <c r="E125" i="10"/>
  <c r="E141" i="10"/>
  <c r="E248" i="10"/>
  <c r="E334" i="10"/>
  <c r="E124" i="10"/>
  <c r="E122" i="10"/>
  <c r="E154" i="10"/>
  <c r="E190" i="10"/>
  <c r="E123" i="10"/>
  <c r="E297" i="10"/>
  <c r="E299" i="10"/>
  <c r="G55" i="10"/>
  <c r="G62" i="10"/>
  <c r="G102" i="10"/>
  <c r="G99" i="10"/>
  <c r="G108" i="10"/>
  <c r="G52" i="10"/>
  <c r="G59" i="10"/>
  <c r="G88" i="10"/>
  <c r="G75" i="10"/>
  <c r="G91" i="10"/>
  <c r="G73" i="10"/>
  <c r="G78" i="10"/>
  <c r="G94" i="10"/>
  <c r="G100" i="10"/>
  <c r="G56" i="10"/>
  <c r="G60" i="10"/>
  <c r="G89" i="10"/>
  <c r="G86" i="10"/>
  <c r="G47" i="10"/>
  <c r="G61" i="10"/>
  <c r="G45" i="10"/>
  <c r="G90" i="10"/>
  <c r="G107" i="10"/>
  <c r="G83" i="10"/>
  <c r="G92" i="10"/>
  <c r="G84" i="10"/>
  <c r="G53" i="10"/>
  <c r="G79" i="10"/>
  <c r="G95" i="10"/>
  <c r="G101" i="10"/>
  <c r="G82" i="10"/>
  <c r="G98" i="10"/>
  <c r="G80" i="10"/>
  <c r="G70" i="10"/>
  <c r="G51" i="10"/>
  <c r="G57" i="10"/>
  <c r="G41" i="10"/>
  <c r="G49" i="10"/>
  <c r="G48" i="10"/>
  <c r="G77" i="10"/>
  <c r="G93" i="10"/>
  <c r="G109" i="10"/>
  <c r="G43" i="10"/>
  <c r="G72" i="10"/>
  <c r="G69" i="10"/>
  <c r="G76" i="10"/>
  <c r="G68" i="10"/>
  <c r="G64" i="10"/>
  <c r="G85" i="10"/>
  <c r="G105" i="10"/>
  <c r="G67" i="10"/>
  <c r="G66" i="10"/>
  <c r="G96" i="10"/>
  <c r="G104" i="10"/>
  <c r="G44" i="10"/>
  <c r="G65" i="10"/>
  <c r="G81" i="10"/>
  <c r="G97" i="10"/>
  <c r="G71" i="10"/>
  <c r="E217" i="10"/>
  <c r="E233" i="10"/>
  <c r="E265" i="10"/>
  <c r="E208" i="10"/>
  <c r="E224" i="10"/>
  <c r="E240" i="10"/>
  <c r="E268" i="10"/>
  <c r="E223" i="10"/>
  <c r="E239" i="10"/>
  <c r="E245" i="10"/>
  <c r="E309" i="10"/>
  <c r="E377" i="10"/>
  <c r="E393" i="10"/>
  <c r="G38" i="10"/>
  <c r="E118" i="10"/>
  <c r="E134" i="10"/>
  <c r="E150" i="10"/>
  <c r="E159" i="10"/>
  <c r="E183" i="10"/>
  <c r="G106" i="10"/>
  <c r="E206" i="10"/>
  <c r="E205" i="10"/>
  <c r="E168" i="10"/>
  <c r="E184" i="10"/>
  <c r="E200" i="10"/>
  <c r="E214" i="10"/>
  <c r="E251" i="10"/>
  <c r="E267" i="10"/>
  <c r="E283" i="10"/>
  <c r="E250" i="10"/>
  <c r="E266" i="10"/>
  <c r="E282" i="10"/>
  <c r="E308" i="10"/>
  <c r="E394" i="10"/>
  <c r="E356" i="10"/>
  <c r="E351" i="10"/>
  <c r="E367" i="10"/>
  <c r="E386" i="10"/>
  <c r="E376" i="10"/>
  <c r="E392" i="10"/>
  <c r="E371" i="10"/>
  <c r="E387" i="10"/>
  <c r="E137" i="10"/>
  <c r="E213" i="10"/>
  <c r="E260" i="10"/>
  <c r="E345" i="10"/>
  <c r="G346" i="10" s="1"/>
  <c r="C19" i="10"/>
  <c r="G58" i="10"/>
  <c r="E114" i="10"/>
  <c r="E130" i="10"/>
  <c r="E146" i="10"/>
  <c r="E178" i="10"/>
  <c r="E162" i="10"/>
  <c r="E194" i="10"/>
  <c r="E238" i="10"/>
  <c r="E164" i="10"/>
  <c r="E180" i="10"/>
  <c r="E196" i="10"/>
  <c r="E288" i="10"/>
  <c r="E247" i="10"/>
  <c r="E263" i="10"/>
  <c r="E279" i="10"/>
  <c r="E246" i="10"/>
  <c r="E262" i="10"/>
  <c r="E278" i="10"/>
  <c r="E304" i="10"/>
  <c r="E320" i="10"/>
  <c r="E327" i="10"/>
  <c r="E343" i="10"/>
  <c r="E378" i="10"/>
  <c r="E352" i="10"/>
  <c r="E347" i="10"/>
  <c r="E363" i="10"/>
  <c r="E372" i="10"/>
  <c r="E388" i="10"/>
  <c r="E383" i="10"/>
  <c r="E193" i="10"/>
  <c r="E147" i="10"/>
  <c r="E119" i="10"/>
  <c r="E179" i="10"/>
  <c r="E256" i="10"/>
  <c r="E117" i="10"/>
  <c r="E133" i="10"/>
  <c r="E149" i="10"/>
  <c r="E161" i="10"/>
  <c r="E234" i="10"/>
  <c r="E187" i="10"/>
  <c r="E116" i="10"/>
  <c r="E132" i="10"/>
  <c r="E148" i="10"/>
  <c r="E195" i="10"/>
  <c r="E173" i="10"/>
  <c r="E189" i="10"/>
  <c r="E209" i="10"/>
  <c r="E225" i="10"/>
  <c r="E241" i="10"/>
  <c r="E289" i="10"/>
  <c r="E216" i="10"/>
  <c r="E232" i="10"/>
  <c r="E252" i="10"/>
  <c r="E215" i="10"/>
  <c r="E231" i="10"/>
  <c r="E261" i="10"/>
  <c r="E344" i="10"/>
  <c r="E306" i="10"/>
  <c r="E321" i="10"/>
  <c r="E329" i="10"/>
  <c r="E357" i="10"/>
  <c r="E369" i="10"/>
  <c r="E385" i="10"/>
  <c r="G63" i="10"/>
  <c r="E338" i="10"/>
  <c r="E121" i="10"/>
  <c r="E177" i="10"/>
  <c r="E220" i="10"/>
  <c r="G40" i="10"/>
  <c r="G46" i="10"/>
  <c r="G87" i="10"/>
  <c r="E167" i="10"/>
  <c r="E163" i="10"/>
  <c r="E160" i="10"/>
  <c r="E176" i="10"/>
  <c r="E192" i="10"/>
  <c r="E230" i="10"/>
  <c r="E243" i="10"/>
  <c r="E259" i="10"/>
  <c r="E275" i="10"/>
  <c r="E291" i="10"/>
  <c r="E258" i="10"/>
  <c r="E274" i="10"/>
  <c r="E290" i="10"/>
  <c r="E295" i="10"/>
  <c r="E300" i="10"/>
  <c r="E316" i="10"/>
  <c r="E307" i="10"/>
  <c r="E332" i="10"/>
  <c r="E323" i="10"/>
  <c r="E339" i="10"/>
  <c r="E342" i="10"/>
  <c r="E348" i="10"/>
  <c r="E364" i="10"/>
  <c r="E390" i="10"/>
  <c r="E359" i="10"/>
  <c r="E368" i="10"/>
  <c r="E384" i="10"/>
  <c r="E379" i="10"/>
  <c r="E395" i="10"/>
  <c r="E236" i="10"/>
  <c r="G39" i="10"/>
  <c r="E135" i="10"/>
  <c r="E113" i="10"/>
  <c r="E129" i="10"/>
  <c r="E145" i="10"/>
  <c r="E112" i="10"/>
  <c r="E128" i="10"/>
  <c r="E144" i="10"/>
  <c r="E170" i="10"/>
  <c r="E169" i="10"/>
  <c r="E185" i="10"/>
  <c r="E201" i="10"/>
  <c r="E221" i="10"/>
  <c r="E237" i="10"/>
  <c r="E273" i="10"/>
  <c r="E212" i="10"/>
  <c r="E228" i="10"/>
  <c r="E244" i="10"/>
  <c r="E211" i="10"/>
  <c r="E227" i="10"/>
  <c r="E253" i="10"/>
  <c r="E358" i="10"/>
  <c r="E322" i="10"/>
  <c r="E302" i="10"/>
  <c r="E318" i="10"/>
  <c r="E325" i="10"/>
  <c r="E341" i="10"/>
  <c r="E353" i="10"/>
  <c r="E381" i="10"/>
  <c r="E397" i="10"/>
  <c r="G238" i="10" l="1"/>
  <c r="G214" i="10"/>
  <c r="G129" i="10"/>
  <c r="G348" i="10"/>
  <c r="G344" i="10"/>
  <c r="G148" i="10"/>
  <c r="G362" i="10"/>
  <c r="G179" i="10"/>
  <c r="G137" i="10"/>
  <c r="G382" i="10"/>
  <c r="G203" i="10"/>
  <c r="G315" i="10"/>
  <c r="G201" i="10"/>
  <c r="G274" i="10"/>
  <c r="G365" i="10"/>
  <c r="G336" i="10"/>
  <c r="G331" i="10"/>
  <c r="G185" i="10"/>
  <c r="G379" i="10"/>
  <c r="G258" i="10"/>
  <c r="G363" i="10"/>
  <c r="G356" i="10"/>
  <c r="G283" i="10"/>
  <c r="G349" i="10"/>
  <c r="G290" i="10"/>
  <c r="G322" i="10"/>
  <c r="G169" i="10"/>
  <c r="G121" i="10"/>
  <c r="G347" i="10"/>
  <c r="G394" i="10"/>
  <c r="G150" i="10"/>
  <c r="G140" i="10"/>
  <c r="G370" i="10"/>
  <c r="G135" i="10"/>
  <c r="G291" i="10"/>
  <c r="G385" i="10"/>
  <c r="G147" i="10"/>
  <c r="G352" i="10"/>
  <c r="G162" i="10"/>
  <c r="G134" i="10"/>
  <c r="G124" i="10"/>
  <c r="G249" i="10"/>
  <c r="G292" i="10"/>
  <c r="G126" i="10"/>
  <c r="G339" i="10"/>
  <c r="G275" i="10"/>
  <c r="G369" i="10"/>
  <c r="G306" i="10"/>
  <c r="G189" i="10"/>
  <c r="G196" i="10"/>
  <c r="G118" i="10"/>
  <c r="G239" i="10"/>
  <c r="G254" i="10"/>
  <c r="G171" i="10"/>
  <c r="G335" i="10"/>
  <c r="G381" i="10"/>
  <c r="G144" i="10"/>
  <c r="G323" i="10"/>
  <c r="G259" i="10"/>
  <c r="G173" i="10"/>
  <c r="G180" i="10"/>
  <c r="G371" i="10"/>
  <c r="G223" i="10"/>
  <c r="G138" i="10"/>
  <c r="G229" i="10"/>
  <c r="G204" i="10"/>
  <c r="G199" i="10"/>
  <c r="G128" i="10"/>
  <c r="G332" i="10"/>
  <c r="G243" i="10"/>
  <c r="G164" i="10"/>
  <c r="G206" i="10"/>
  <c r="G285" i="10"/>
  <c r="G188" i="10"/>
  <c r="G112" i="10"/>
  <c r="G391" i="10"/>
  <c r="G115" i="10"/>
  <c r="G324" i="10"/>
  <c r="G113" i="10"/>
  <c r="G114" i="10"/>
  <c r="G375" i="10"/>
  <c r="G200" i="10"/>
  <c r="G299" i="10"/>
  <c r="G156" i="10"/>
  <c r="G294" i="10"/>
  <c r="G337" i="10"/>
  <c r="G317" i="10"/>
  <c r="G312" i="10"/>
  <c r="G172" i="10"/>
  <c r="G276" i="10"/>
  <c r="G383" i="10"/>
  <c r="G116" i="10"/>
  <c r="G327" i="10"/>
  <c r="G260" i="10"/>
  <c r="G376" i="10"/>
  <c r="G282" i="10"/>
  <c r="G251" i="10"/>
  <c r="G184" i="10"/>
  <c r="G205" i="10"/>
  <c r="G183" i="10"/>
  <c r="G297" i="10"/>
  <c r="G334" i="10"/>
  <c r="G366" i="10"/>
  <c r="G111" i="10"/>
  <c r="G155" i="10"/>
  <c r="G197" i="10"/>
  <c r="G287" i="10"/>
  <c r="G374" i="10"/>
  <c r="G198" i="10"/>
  <c r="G132" i="10"/>
  <c r="G343" i="10"/>
  <c r="G384" i="10"/>
  <c r="G338" i="10"/>
  <c r="G357" i="10"/>
  <c r="G261" i="10"/>
  <c r="G195" i="10"/>
  <c r="G234" i="10"/>
  <c r="G194" i="10"/>
  <c r="G266" i="10"/>
  <c r="G168" i="10"/>
  <c r="G309" i="10"/>
  <c r="G123" i="10"/>
  <c r="G248" i="10"/>
  <c r="G311" i="10"/>
  <c r="G157" i="10"/>
  <c r="G314" i="10"/>
  <c r="G296" i="10"/>
  <c r="G175" i="10"/>
  <c r="G181" i="10"/>
  <c r="G271" i="10"/>
  <c r="G360" i="10"/>
  <c r="G202" i="10"/>
  <c r="G378" i="10"/>
  <c r="G163" i="10"/>
  <c r="G220" i="10"/>
  <c r="G321" i="10"/>
  <c r="G231" i="10"/>
  <c r="G250" i="10"/>
  <c r="G393" i="10"/>
  <c r="G268" i="10"/>
  <c r="G190" i="10"/>
  <c r="G141" i="10"/>
  <c r="G313" i="10"/>
  <c r="G174" i="10"/>
  <c r="G152" i="10"/>
  <c r="G333" i="10"/>
  <c r="G298" i="10"/>
  <c r="G305" i="10"/>
  <c r="G281" i="10"/>
  <c r="G218" i="10"/>
  <c r="G255" i="10"/>
  <c r="G319" i="10"/>
  <c r="G110" i="10"/>
  <c r="G392" i="10"/>
  <c r="G368" i="10"/>
  <c r="G307" i="10"/>
  <c r="G227" i="10"/>
  <c r="G316" i="10"/>
  <c r="G230" i="10"/>
  <c r="G167" i="10"/>
  <c r="G215" i="10"/>
  <c r="G289" i="10"/>
  <c r="G187" i="10"/>
  <c r="G161" i="10"/>
  <c r="G320" i="10"/>
  <c r="G288" i="10"/>
  <c r="G213" i="10"/>
  <c r="G386" i="10"/>
  <c r="G377" i="10"/>
  <c r="G240" i="10"/>
  <c r="G125" i="10"/>
  <c r="G136" i="10"/>
  <c r="G310" i="10"/>
  <c r="G207" i="10"/>
  <c r="G143" i="10"/>
  <c r="G396" i="10"/>
  <c r="G280" i="10"/>
  <c r="G303" i="10"/>
  <c r="G328" i="10"/>
  <c r="G308" i="10"/>
  <c r="G211" i="10"/>
  <c r="G300" i="10"/>
  <c r="G192" i="10"/>
  <c r="G241" i="10"/>
  <c r="G149" i="10"/>
  <c r="G193" i="10"/>
  <c r="G388" i="10"/>
  <c r="G304" i="10"/>
  <c r="G279" i="10"/>
  <c r="G345" i="10"/>
  <c r="G224" i="10"/>
  <c r="G265" i="10"/>
  <c r="G226" i="10"/>
  <c r="G120" i="10"/>
  <c r="G219" i="10"/>
  <c r="G389" i="10"/>
  <c r="G340" i="10"/>
  <c r="G380" i="10"/>
  <c r="G186" i="10"/>
  <c r="G222" i="10"/>
  <c r="G293" i="10"/>
  <c r="G267" i="10"/>
  <c r="G236" i="10"/>
  <c r="G252" i="10"/>
  <c r="G225" i="10"/>
  <c r="G133" i="10"/>
  <c r="G119" i="10"/>
  <c r="G372" i="10"/>
  <c r="G278" i="10"/>
  <c r="G263" i="10"/>
  <c r="G178" i="10"/>
  <c r="G208" i="10"/>
  <c r="G233" i="10"/>
  <c r="G166" i="10"/>
  <c r="G269" i="10"/>
  <c r="G142" i="10"/>
  <c r="G191" i="10"/>
  <c r="G373" i="10"/>
  <c r="G242" i="10"/>
  <c r="G182" i="10"/>
  <c r="G131" i="10"/>
  <c r="G264" i="10"/>
  <c r="G330" i="10"/>
  <c r="G272" i="10"/>
  <c r="G358" i="10"/>
  <c r="G367" i="10"/>
  <c r="G217" i="10"/>
  <c r="G154" i="10"/>
  <c r="G151" i="10"/>
  <c r="G235" i="10"/>
  <c r="G350" i="10"/>
  <c r="G158" i="10"/>
  <c r="G127" i="10"/>
  <c r="G165" i="10"/>
  <c r="G286" i="10"/>
  <c r="G326" i="10"/>
  <c r="G277" i="10"/>
  <c r="G353" i="10"/>
  <c r="G253" i="10"/>
  <c r="G341" i="10"/>
  <c r="G318" i="10"/>
  <c r="G325" i="10"/>
  <c r="G302" i="10"/>
  <c r="G273" i="10"/>
  <c r="G244" i="10"/>
  <c r="G237" i="10"/>
  <c r="G359" i="10"/>
  <c r="G176" i="10"/>
  <c r="G329" i="10"/>
  <c r="G228" i="10"/>
  <c r="G221" i="10"/>
  <c r="G390" i="10"/>
  <c r="G342" i="10"/>
  <c r="G160" i="10"/>
  <c r="G232" i="10"/>
  <c r="G209" i="10"/>
  <c r="G117" i="10"/>
  <c r="G262" i="10"/>
  <c r="G247" i="10"/>
  <c r="G146" i="10"/>
  <c r="G397" i="10"/>
  <c r="G212" i="10"/>
  <c r="G170" i="10"/>
  <c r="G145" i="10"/>
  <c r="G395" i="10"/>
  <c r="G364" i="10"/>
  <c r="G295" i="10"/>
  <c r="G177" i="10"/>
  <c r="G216" i="10"/>
  <c r="G256" i="10"/>
  <c r="G246" i="10"/>
  <c r="G130" i="10"/>
  <c r="G387" i="10"/>
  <c r="G351" i="10"/>
  <c r="G159" i="10"/>
  <c r="G245" i="10"/>
  <c r="G122" i="10"/>
  <c r="G361" i="10"/>
  <c r="G257" i="10"/>
  <c r="G153" i="10"/>
  <c r="G354" i="10"/>
  <c r="G210" i="10"/>
  <c r="G301" i="10"/>
  <c r="G355" i="10"/>
  <c r="G139" i="10"/>
  <c r="G270" i="10"/>
  <c r="G284" i="10"/>
  <c r="E56" i="11"/>
  <c r="D56" i="11" s="1"/>
  <c r="C56" i="11" s="1"/>
  <c r="F56" i="11" s="1"/>
  <c r="L57" i="11"/>
  <c r="K57" i="11"/>
  <c r="Z57" i="11"/>
  <c r="B58" i="11"/>
  <c r="C20" i="10"/>
  <c r="C13" i="10" s="1" a="1"/>
  <c r="C13" i="10" s="1"/>
  <c r="H38" i="10"/>
  <c r="U38" i="10" s="1"/>
  <c r="V38" i="10" s="1"/>
  <c r="K38" i="10"/>
  <c r="E57" i="11" l="1"/>
  <c r="D57" i="11" s="1"/>
  <c r="C57" i="11" s="1"/>
  <c r="F57" i="11" s="1"/>
  <c r="K58" i="11"/>
  <c r="L58" i="11"/>
  <c r="Z58" i="11"/>
  <c r="B59" i="11"/>
  <c r="L38" i="10"/>
  <c r="Y38" i="10" s="1"/>
  <c r="C26" i="10"/>
  <c r="H39" i="10"/>
  <c r="U39" i="10" s="1"/>
  <c r="V39" i="10" s="1"/>
  <c r="B13" i="2"/>
  <c r="C15" i="2"/>
  <c r="R38" i="10" l="1"/>
  <c r="E58" i="11"/>
  <c r="D58" i="11" s="1"/>
  <c r="C58" i="11" s="1"/>
  <c r="F58" i="11" s="1"/>
  <c r="K59" i="11"/>
  <c r="L59" i="11"/>
  <c r="Z59" i="11"/>
  <c r="B60" i="11"/>
  <c r="X38" i="10"/>
  <c r="Q38" i="10"/>
  <c r="R39" i="10"/>
  <c r="Q39" i="10"/>
  <c r="H40" i="10"/>
  <c r="Q40" i="10" s="1"/>
  <c r="F111" i="2"/>
  <c r="C111" i="2" s="1"/>
  <c r="F115" i="2"/>
  <c r="F119" i="2"/>
  <c r="F123" i="2"/>
  <c r="F127" i="2"/>
  <c r="F131" i="2"/>
  <c r="F135" i="2"/>
  <c r="F139" i="2"/>
  <c r="F143" i="2"/>
  <c r="F147" i="2"/>
  <c r="F151" i="2"/>
  <c r="F155" i="2"/>
  <c r="C155" i="2" s="1"/>
  <c r="F159" i="2"/>
  <c r="C159" i="2" s="1"/>
  <c r="F163" i="2"/>
  <c r="F167" i="2"/>
  <c r="F171" i="2"/>
  <c r="F175" i="2"/>
  <c r="F179" i="2"/>
  <c r="F183" i="2"/>
  <c r="F187" i="2"/>
  <c r="F191" i="2"/>
  <c r="F195" i="2"/>
  <c r="F199" i="2"/>
  <c r="F203" i="2"/>
  <c r="C203" i="2" s="1"/>
  <c r="F207" i="2"/>
  <c r="C207" i="2" s="1"/>
  <c r="F211" i="2"/>
  <c r="F215" i="2"/>
  <c r="F219" i="2"/>
  <c r="F223" i="2"/>
  <c r="F227" i="2"/>
  <c r="F231" i="2"/>
  <c r="F235" i="2"/>
  <c r="F239" i="2"/>
  <c r="F243" i="2"/>
  <c r="F247" i="2"/>
  <c r="F251" i="2"/>
  <c r="C251" i="2" s="1"/>
  <c r="F255" i="2"/>
  <c r="C255" i="2" s="1"/>
  <c r="F259" i="2"/>
  <c r="F263" i="2"/>
  <c r="F267" i="2"/>
  <c r="F271" i="2"/>
  <c r="F275" i="2"/>
  <c r="F279" i="2"/>
  <c r="F283" i="2"/>
  <c r="F287" i="2"/>
  <c r="F291" i="2"/>
  <c r="F295" i="2"/>
  <c r="F299" i="2"/>
  <c r="C299" i="2" s="1"/>
  <c r="F303" i="2"/>
  <c r="C303" i="2" s="1"/>
  <c r="F307" i="2"/>
  <c r="F311" i="2"/>
  <c r="F315" i="2"/>
  <c r="F319" i="2"/>
  <c r="F323" i="2"/>
  <c r="F327" i="2"/>
  <c r="F331" i="2"/>
  <c r="F335" i="2"/>
  <c r="F339" i="2"/>
  <c r="F343" i="2"/>
  <c r="F347" i="2"/>
  <c r="C347" i="2" s="1"/>
  <c r="F351" i="2"/>
  <c r="C351" i="2" s="1"/>
  <c r="F355" i="2"/>
  <c r="F359" i="2"/>
  <c r="F363" i="2"/>
  <c r="F371" i="2"/>
  <c r="F383" i="2"/>
  <c r="F112" i="2"/>
  <c r="F116" i="2"/>
  <c r="F120" i="2"/>
  <c r="F124" i="2"/>
  <c r="F128" i="2"/>
  <c r="F132" i="2"/>
  <c r="C132" i="2" s="1"/>
  <c r="F136" i="2"/>
  <c r="C136" i="2" s="1"/>
  <c r="F140" i="2"/>
  <c r="F144" i="2"/>
  <c r="F148" i="2"/>
  <c r="F152" i="2"/>
  <c r="F156" i="2"/>
  <c r="F160" i="2"/>
  <c r="F164" i="2"/>
  <c r="F168" i="2"/>
  <c r="F172" i="2"/>
  <c r="F176" i="2"/>
  <c r="F180" i="2"/>
  <c r="C180" i="2" s="1"/>
  <c r="F184" i="2"/>
  <c r="C184" i="2" s="1"/>
  <c r="F188" i="2"/>
  <c r="F192" i="2"/>
  <c r="F196" i="2"/>
  <c r="F200" i="2"/>
  <c r="F204" i="2"/>
  <c r="F208" i="2"/>
  <c r="F212" i="2"/>
  <c r="F216" i="2"/>
  <c r="F220" i="2"/>
  <c r="F224" i="2"/>
  <c r="F228" i="2"/>
  <c r="C228" i="2" s="1"/>
  <c r="F232" i="2"/>
  <c r="C232" i="2" s="1"/>
  <c r="F236" i="2"/>
  <c r="F240" i="2"/>
  <c r="F244" i="2"/>
  <c r="F248" i="2"/>
  <c r="F252" i="2"/>
  <c r="F256" i="2"/>
  <c r="F260" i="2"/>
  <c r="F264" i="2"/>
  <c r="F268" i="2"/>
  <c r="F272" i="2"/>
  <c r="F276" i="2"/>
  <c r="C276" i="2" s="1"/>
  <c r="F280" i="2"/>
  <c r="C280" i="2" s="1"/>
  <c r="F284" i="2"/>
  <c r="F288" i="2"/>
  <c r="F292" i="2"/>
  <c r="F296" i="2"/>
  <c r="F300" i="2"/>
  <c r="F304" i="2"/>
  <c r="F308" i="2"/>
  <c r="F312" i="2"/>
  <c r="F316" i="2"/>
  <c r="F320" i="2"/>
  <c r="F324" i="2"/>
  <c r="C324" i="2" s="1"/>
  <c r="F328" i="2"/>
  <c r="C328" i="2" s="1"/>
  <c r="F332" i="2"/>
  <c r="F336" i="2"/>
  <c r="F340" i="2"/>
  <c r="F344" i="2"/>
  <c r="C344" i="2" s="1"/>
  <c r="F348" i="2"/>
  <c r="F352" i="2"/>
  <c r="F356" i="2"/>
  <c r="F360" i="2"/>
  <c r="F364" i="2"/>
  <c r="F368" i="2"/>
  <c r="F372" i="2"/>
  <c r="C372" i="2" s="1"/>
  <c r="F376" i="2"/>
  <c r="C376" i="2" s="1"/>
  <c r="F380" i="2"/>
  <c r="F388" i="2"/>
  <c r="F113" i="2"/>
  <c r="F117" i="2"/>
  <c r="F121" i="2"/>
  <c r="F125" i="2"/>
  <c r="F129" i="2"/>
  <c r="F133" i="2"/>
  <c r="F137" i="2"/>
  <c r="C137" i="2" s="1"/>
  <c r="F141" i="2"/>
  <c r="F145" i="2"/>
  <c r="F149" i="2"/>
  <c r="C149" i="2" s="1"/>
  <c r="F153" i="2"/>
  <c r="F157" i="2"/>
  <c r="F161" i="2"/>
  <c r="F165" i="2"/>
  <c r="F169" i="2"/>
  <c r="F173" i="2"/>
  <c r="F177" i="2"/>
  <c r="F181" i="2"/>
  <c r="F185" i="2"/>
  <c r="C185" i="2" s="1"/>
  <c r="F189" i="2"/>
  <c r="F193" i="2"/>
  <c r="F197" i="2"/>
  <c r="C197" i="2" s="1"/>
  <c r="F201" i="2"/>
  <c r="F205" i="2"/>
  <c r="F209" i="2"/>
  <c r="F213" i="2"/>
  <c r="F217" i="2"/>
  <c r="F221" i="2"/>
  <c r="F225" i="2"/>
  <c r="F229" i="2"/>
  <c r="F233" i="2"/>
  <c r="C233" i="2" s="1"/>
  <c r="F237" i="2"/>
  <c r="F241" i="2"/>
  <c r="F245" i="2"/>
  <c r="C245" i="2" s="1"/>
  <c r="F249" i="2"/>
  <c r="F253" i="2"/>
  <c r="F257" i="2"/>
  <c r="F261" i="2"/>
  <c r="F265" i="2"/>
  <c r="F269" i="2"/>
  <c r="F273" i="2"/>
  <c r="F277" i="2"/>
  <c r="F281" i="2"/>
  <c r="C281" i="2" s="1"/>
  <c r="F285" i="2"/>
  <c r="F289" i="2"/>
  <c r="F293" i="2"/>
  <c r="C293" i="2" s="1"/>
  <c r="F297" i="2"/>
  <c r="F301" i="2"/>
  <c r="F305" i="2"/>
  <c r="F309" i="2"/>
  <c r="F313" i="2"/>
  <c r="F317" i="2"/>
  <c r="F321" i="2"/>
  <c r="F325" i="2"/>
  <c r="F329" i="2"/>
  <c r="C329" i="2" s="1"/>
  <c r="F333" i="2"/>
  <c r="F337" i="2"/>
  <c r="F341" i="2"/>
  <c r="C341" i="2" s="1"/>
  <c r="F345" i="2"/>
  <c r="F349" i="2"/>
  <c r="F353" i="2"/>
  <c r="F357" i="2"/>
  <c r="F361" i="2"/>
  <c r="F365" i="2"/>
  <c r="F369" i="2"/>
  <c r="F373" i="2"/>
  <c r="F377" i="2"/>
  <c r="F381" i="2"/>
  <c r="F385" i="2"/>
  <c r="C385" i="2" s="1"/>
  <c r="F389" i="2"/>
  <c r="C389" i="2" s="1"/>
  <c r="F393" i="2"/>
  <c r="F397" i="2"/>
  <c r="F367" i="2"/>
  <c r="F375" i="2"/>
  <c r="C375" i="2" s="1"/>
  <c r="F379" i="2"/>
  <c r="F387" i="2"/>
  <c r="F391" i="2"/>
  <c r="F395" i="2"/>
  <c r="F384" i="2"/>
  <c r="F114" i="2"/>
  <c r="F118" i="2"/>
  <c r="C118" i="2" s="1"/>
  <c r="F122" i="2"/>
  <c r="C122" i="2" s="1"/>
  <c r="F126" i="2"/>
  <c r="F130" i="2"/>
  <c r="F134" i="2"/>
  <c r="C134" i="2" s="1"/>
  <c r="F138" i="2"/>
  <c r="F142" i="2"/>
  <c r="F146" i="2"/>
  <c r="F150" i="2"/>
  <c r="F154" i="2"/>
  <c r="F158" i="2"/>
  <c r="F162" i="2"/>
  <c r="F166" i="2"/>
  <c r="C166" i="2" s="1"/>
  <c r="F170" i="2"/>
  <c r="C170" i="2" s="1"/>
  <c r="F174" i="2"/>
  <c r="F178" i="2"/>
  <c r="F182" i="2"/>
  <c r="C182" i="2" s="1"/>
  <c r="F186" i="2"/>
  <c r="F190" i="2"/>
  <c r="F194" i="2"/>
  <c r="F198" i="2"/>
  <c r="F202" i="2"/>
  <c r="F206" i="2"/>
  <c r="F210" i="2"/>
  <c r="F214" i="2"/>
  <c r="C214" i="2" s="1"/>
  <c r="F218" i="2"/>
  <c r="C218" i="2" s="1"/>
  <c r="F222" i="2"/>
  <c r="F226" i="2"/>
  <c r="F230" i="2"/>
  <c r="C230" i="2" s="1"/>
  <c r="F234" i="2"/>
  <c r="F238" i="2"/>
  <c r="F242" i="2"/>
  <c r="F246" i="2"/>
  <c r="F250" i="2"/>
  <c r="F254" i="2"/>
  <c r="F258" i="2"/>
  <c r="F262" i="2"/>
  <c r="C262" i="2" s="1"/>
  <c r="F266" i="2"/>
  <c r="C266" i="2" s="1"/>
  <c r="F270" i="2"/>
  <c r="F274" i="2"/>
  <c r="F278" i="2"/>
  <c r="C278" i="2" s="1"/>
  <c r="F282" i="2"/>
  <c r="F286" i="2"/>
  <c r="F290" i="2"/>
  <c r="F294" i="2"/>
  <c r="F298" i="2"/>
  <c r="F302" i="2"/>
  <c r="F306" i="2"/>
  <c r="F310" i="2"/>
  <c r="C310" i="2" s="1"/>
  <c r="F314" i="2"/>
  <c r="C314" i="2" s="1"/>
  <c r="F318" i="2"/>
  <c r="F322" i="2"/>
  <c r="F326" i="2"/>
  <c r="C326" i="2" s="1"/>
  <c r="F330" i="2"/>
  <c r="F334" i="2"/>
  <c r="F338" i="2"/>
  <c r="F342" i="2"/>
  <c r="F346" i="2"/>
  <c r="F350" i="2"/>
  <c r="F354" i="2"/>
  <c r="F358" i="2"/>
  <c r="C358" i="2" s="1"/>
  <c r="F362" i="2"/>
  <c r="C362" i="2" s="1"/>
  <c r="F366" i="2"/>
  <c r="F370" i="2"/>
  <c r="F374" i="2"/>
  <c r="C374" i="2" s="1"/>
  <c r="F378" i="2"/>
  <c r="F382" i="2"/>
  <c r="F386" i="2"/>
  <c r="F390" i="2"/>
  <c r="F394" i="2"/>
  <c r="F392" i="2"/>
  <c r="F396" i="2"/>
  <c r="C112" i="2"/>
  <c r="C116" i="2"/>
  <c r="C120" i="2"/>
  <c r="C124" i="2"/>
  <c r="C128" i="2"/>
  <c r="C140" i="2"/>
  <c r="C144" i="2"/>
  <c r="C148" i="2"/>
  <c r="C152" i="2"/>
  <c r="C156" i="2"/>
  <c r="C160" i="2"/>
  <c r="C164" i="2"/>
  <c r="C168" i="2"/>
  <c r="C172" i="2"/>
  <c r="C176" i="2"/>
  <c r="C188" i="2"/>
  <c r="C192" i="2"/>
  <c r="C196" i="2"/>
  <c r="C200" i="2"/>
  <c r="C204" i="2"/>
  <c r="C208" i="2"/>
  <c r="C212" i="2"/>
  <c r="C216" i="2"/>
  <c r="C220" i="2"/>
  <c r="C224" i="2"/>
  <c r="C236" i="2"/>
  <c r="C240" i="2"/>
  <c r="C244" i="2"/>
  <c r="C248" i="2"/>
  <c r="C252" i="2"/>
  <c r="C256" i="2"/>
  <c r="C260" i="2"/>
  <c r="C264" i="2"/>
  <c r="C268" i="2"/>
  <c r="C272" i="2"/>
  <c r="C284" i="2"/>
  <c r="C288" i="2"/>
  <c r="C292" i="2"/>
  <c r="C296" i="2"/>
  <c r="C300" i="2"/>
  <c r="C304" i="2"/>
  <c r="C308" i="2"/>
  <c r="C312" i="2"/>
  <c r="C316" i="2"/>
  <c r="C320" i="2"/>
  <c r="C332" i="2"/>
  <c r="C336" i="2"/>
  <c r="C340" i="2"/>
  <c r="C348" i="2"/>
  <c r="C352" i="2"/>
  <c r="C356" i="2"/>
  <c r="C360" i="2"/>
  <c r="C364" i="2"/>
  <c r="C113" i="2"/>
  <c r="C117" i="2"/>
  <c r="C121" i="2"/>
  <c r="C125" i="2"/>
  <c r="C129" i="2"/>
  <c r="C133" i="2"/>
  <c r="C141" i="2"/>
  <c r="C145" i="2"/>
  <c r="C153" i="2"/>
  <c r="C157" i="2"/>
  <c r="C161" i="2"/>
  <c r="C165" i="2"/>
  <c r="C169" i="2"/>
  <c r="C173" i="2"/>
  <c r="C177" i="2"/>
  <c r="C181" i="2"/>
  <c r="C189" i="2"/>
  <c r="C193" i="2"/>
  <c r="C201" i="2"/>
  <c r="C205" i="2"/>
  <c r="C209" i="2"/>
  <c r="C213" i="2"/>
  <c r="C217" i="2"/>
  <c r="C221" i="2"/>
  <c r="C225" i="2"/>
  <c r="C229" i="2"/>
  <c r="C237" i="2"/>
  <c r="C241" i="2"/>
  <c r="C249" i="2"/>
  <c r="C253" i="2"/>
  <c r="C257" i="2"/>
  <c r="C261" i="2"/>
  <c r="C265" i="2"/>
  <c r="C269" i="2"/>
  <c r="C273" i="2"/>
  <c r="C277" i="2"/>
  <c r="C285" i="2"/>
  <c r="C289" i="2"/>
  <c r="C297" i="2"/>
  <c r="C301" i="2"/>
  <c r="C305" i="2"/>
  <c r="C309" i="2"/>
  <c r="C313" i="2"/>
  <c r="C317" i="2"/>
  <c r="C321" i="2"/>
  <c r="C325" i="2"/>
  <c r="C333" i="2"/>
  <c r="C337" i="2"/>
  <c r="C345" i="2"/>
  <c r="C349" i="2"/>
  <c r="C353" i="2"/>
  <c r="C357" i="2"/>
  <c r="C361" i="2"/>
  <c r="C114" i="2"/>
  <c r="C126" i="2"/>
  <c r="C130" i="2"/>
  <c r="C138" i="2"/>
  <c r="C142" i="2"/>
  <c r="C146" i="2"/>
  <c r="C150" i="2"/>
  <c r="C154" i="2"/>
  <c r="C158" i="2"/>
  <c r="C162" i="2"/>
  <c r="C174" i="2"/>
  <c r="C178" i="2"/>
  <c r="C186" i="2"/>
  <c r="C190" i="2"/>
  <c r="C194" i="2"/>
  <c r="C198" i="2"/>
  <c r="C202" i="2"/>
  <c r="C206" i="2"/>
  <c r="C210" i="2"/>
  <c r="C222" i="2"/>
  <c r="C226" i="2"/>
  <c r="C234" i="2"/>
  <c r="C238" i="2"/>
  <c r="C242" i="2"/>
  <c r="C246" i="2"/>
  <c r="C250" i="2"/>
  <c r="C254" i="2"/>
  <c r="C258" i="2"/>
  <c r="C270" i="2"/>
  <c r="C274" i="2"/>
  <c r="C282" i="2"/>
  <c r="C286" i="2"/>
  <c r="C290" i="2"/>
  <c r="C294" i="2"/>
  <c r="C298" i="2"/>
  <c r="C302" i="2"/>
  <c r="C306" i="2"/>
  <c r="C318" i="2"/>
  <c r="C322" i="2"/>
  <c r="C330" i="2"/>
  <c r="C334" i="2"/>
  <c r="C338" i="2"/>
  <c r="C342" i="2"/>
  <c r="C346" i="2"/>
  <c r="C350" i="2"/>
  <c r="C354" i="2"/>
  <c r="C366" i="2"/>
  <c r="C370" i="2"/>
  <c r="C378" i="2"/>
  <c r="C382" i="2"/>
  <c r="C386" i="2"/>
  <c r="C390" i="2"/>
  <c r="C394" i="2"/>
  <c r="C115" i="2"/>
  <c r="C119" i="2"/>
  <c r="C123" i="2"/>
  <c r="C127" i="2"/>
  <c r="C131" i="2"/>
  <c r="C135" i="2"/>
  <c r="C139" i="2"/>
  <c r="C143" i="2"/>
  <c r="C147" i="2"/>
  <c r="C151" i="2"/>
  <c r="C163" i="2"/>
  <c r="C167" i="2"/>
  <c r="C171" i="2"/>
  <c r="C175" i="2"/>
  <c r="C179" i="2"/>
  <c r="C183" i="2"/>
  <c r="C187" i="2"/>
  <c r="C191" i="2"/>
  <c r="C195" i="2"/>
  <c r="C199" i="2"/>
  <c r="C211" i="2"/>
  <c r="C215" i="2"/>
  <c r="C219" i="2"/>
  <c r="C223" i="2"/>
  <c r="C227" i="2"/>
  <c r="C231" i="2"/>
  <c r="C235" i="2"/>
  <c r="C239" i="2"/>
  <c r="C243" i="2"/>
  <c r="C247" i="2"/>
  <c r="C259" i="2"/>
  <c r="C263" i="2"/>
  <c r="C267" i="2"/>
  <c r="C271" i="2"/>
  <c r="C275" i="2"/>
  <c r="C279" i="2"/>
  <c r="C283" i="2"/>
  <c r="C287" i="2"/>
  <c r="C291" i="2"/>
  <c r="C295" i="2"/>
  <c r="C307" i="2"/>
  <c r="C311" i="2"/>
  <c r="C315" i="2"/>
  <c r="C319" i="2"/>
  <c r="C323" i="2"/>
  <c r="C327" i="2"/>
  <c r="C331" i="2"/>
  <c r="C335" i="2"/>
  <c r="C339" i="2"/>
  <c r="C343" i="2"/>
  <c r="C355" i="2"/>
  <c r="C359" i="2"/>
  <c r="C363" i="2"/>
  <c r="C367" i="2"/>
  <c r="C371" i="2"/>
  <c r="C379" i="2"/>
  <c r="C383" i="2"/>
  <c r="C387" i="2"/>
  <c r="C391" i="2"/>
  <c r="C395" i="2"/>
  <c r="C365" i="2"/>
  <c r="C373" i="2"/>
  <c r="C381" i="2"/>
  <c r="C397" i="2"/>
  <c r="C368" i="2"/>
  <c r="C384" i="2"/>
  <c r="C392" i="2"/>
  <c r="C369" i="2"/>
  <c r="C377" i="2"/>
  <c r="C393" i="2"/>
  <c r="C380" i="2"/>
  <c r="C388" i="2"/>
  <c r="C396" i="2"/>
  <c r="C16" i="2" a="1"/>
  <c r="C16" i="2" s="1"/>
  <c r="C38" i="2"/>
  <c r="F49" i="2" s="1"/>
  <c r="E59" i="11" l="1"/>
  <c r="D59" i="11" s="1"/>
  <c r="C59" i="11" s="1"/>
  <c r="F59" i="11" s="1"/>
  <c r="L60" i="11"/>
  <c r="K60" i="11"/>
  <c r="Z60" i="11"/>
  <c r="E60" i="11" s="1"/>
  <c r="D60" i="11" s="1"/>
  <c r="B61" i="11"/>
  <c r="R40" i="10"/>
  <c r="H41" i="10"/>
  <c r="U41" i="10" s="1"/>
  <c r="V41" i="10" s="1"/>
  <c r="U40" i="10"/>
  <c r="V40" i="10" s="1"/>
  <c r="F105" i="2"/>
  <c r="C105" i="2" s="1"/>
  <c r="F101" i="2"/>
  <c r="C101" i="2" s="1"/>
  <c r="F107" i="2"/>
  <c r="C107" i="2" s="1"/>
  <c r="F106" i="2"/>
  <c r="C106" i="2" s="1"/>
  <c r="F93" i="2"/>
  <c r="C93" i="2" s="1"/>
  <c r="F104" i="2"/>
  <c r="C104" i="2" s="1"/>
  <c r="F103" i="2"/>
  <c r="C103" i="2" s="1"/>
  <c r="F102" i="2"/>
  <c r="C102" i="2" s="1"/>
  <c r="F89" i="2"/>
  <c r="C89" i="2" s="1"/>
  <c r="F100" i="2"/>
  <c r="C100" i="2" s="1"/>
  <c r="F99" i="2"/>
  <c r="C99" i="2" s="1"/>
  <c r="F110" i="2"/>
  <c r="C110" i="2" s="1"/>
  <c r="F97" i="2"/>
  <c r="C97" i="2" s="1"/>
  <c r="F98" i="2"/>
  <c r="C98" i="2" s="1"/>
  <c r="F96" i="2"/>
  <c r="C96" i="2" s="1"/>
  <c r="F95" i="2"/>
  <c r="C95" i="2" s="1"/>
  <c r="F94" i="2"/>
  <c r="C94" i="2" s="1"/>
  <c r="F92" i="2"/>
  <c r="C92" i="2" s="1"/>
  <c r="F91" i="2"/>
  <c r="C91" i="2" s="1"/>
  <c r="F108" i="2"/>
  <c r="C108" i="2" s="1"/>
  <c r="F90" i="2"/>
  <c r="C90" i="2" s="1"/>
  <c r="F109" i="2"/>
  <c r="C109" i="2" s="1"/>
  <c r="F88" i="2"/>
  <c r="C88" i="2" s="1"/>
  <c r="F87" i="2"/>
  <c r="C87" i="2" s="1"/>
  <c r="F48" i="2"/>
  <c r="C48" i="2" s="1"/>
  <c r="F42" i="2"/>
  <c r="C42" i="2" s="1"/>
  <c r="F41" i="2"/>
  <c r="C41" i="2" s="1"/>
  <c r="F44" i="2"/>
  <c r="C44" i="2" s="1"/>
  <c r="F43" i="2"/>
  <c r="C43" i="2" s="1"/>
  <c r="F39" i="2"/>
  <c r="C39" i="2" s="1"/>
  <c r="F50" i="2"/>
  <c r="C50" i="2" s="1"/>
  <c r="F46" i="2"/>
  <c r="C46" i="2" s="1"/>
  <c r="F47" i="2"/>
  <c r="C47" i="2" s="1"/>
  <c r="F40" i="2"/>
  <c r="C40" i="2" s="1"/>
  <c r="F45" i="2"/>
  <c r="C45" i="2" s="1"/>
  <c r="F52" i="2"/>
  <c r="C52" i="2" s="1"/>
  <c r="F56" i="2"/>
  <c r="C56" i="2" s="1"/>
  <c r="F60" i="2"/>
  <c r="C60" i="2" s="1"/>
  <c r="F64" i="2"/>
  <c r="C64" i="2" s="1"/>
  <c r="F68" i="2"/>
  <c r="C68" i="2" s="1"/>
  <c r="F72" i="2"/>
  <c r="C72" i="2" s="1"/>
  <c r="F76" i="2"/>
  <c r="C76" i="2" s="1"/>
  <c r="F80" i="2"/>
  <c r="C80" i="2" s="1"/>
  <c r="F84" i="2"/>
  <c r="C84" i="2" s="1"/>
  <c r="C49" i="2"/>
  <c r="F53" i="2"/>
  <c r="C53" i="2" s="1"/>
  <c r="F57" i="2"/>
  <c r="C57" i="2" s="1"/>
  <c r="F61" i="2"/>
  <c r="C61" i="2" s="1"/>
  <c r="F65" i="2"/>
  <c r="C65" i="2" s="1"/>
  <c r="F69" i="2"/>
  <c r="C69" i="2" s="1"/>
  <c r="F73" i="2"/>
  <c r="C73" i="2" s="1"/>
  <c r="F77" i="2"/>
  <c r="C77" i="2" s="1"/>
  <c r="F81" i="2"/>
  <c r="C81" i="2" s="1"/>
  <c r="F85" i="2"/>
  <c r="C85" i="2" s="1"/>
  <c r="F54" i="2"/>
  <c r="C54" i="2" s="1"/>
  <c r="F58" i="2"/>
  <c r="C58" i="2" s="1"/>
  <c r="F62" i="2"/>
  <c r="C62" i="2" s="1"/>
  <c r="F66" i="2"/>
  <c r="C66" i="2" s="1"/>
  <c r="F70" i="2"/>
  <c r="C70" i="2" s="1"/>
  <c r="F74" i="2"/>
  <c r="C74" i="2" s="1"/>
  <c r="F78" i="2"/>
  <c r="C78" i="2" s="1"/>
  <c r="F82" i="2"/>
  <c r="C82" i="2" s="1"/>
  <c r="F86" i="2"/>
  <c r="C86" i="2" s="1"/>
  <c r="F51" i="2"/>
  <c r="C51" i="2" s="1"/>
  <c r="F55" i="2"/>
  <c r="C55" i="2" s="1"/>
  <c r="F59" i="2"/>
  <c r="C59" i="2" s="1"/>
  <c r="F63" i="2"/>
  <c r="C63" i="2" s="1"/>
  <c r="F67" i="2"/>
  <c r="C67" i="2" s="1"/>
  <c r="F71" i="2"/>
  <c r="C71" i="2" s="1"/>
  <c r="F75" i="2"/>
  <c r="C75" i="2" s="1"/>
  <c r="F79" i="2"/>
  <c r="C79" i="2" s="1"/>
  <c r="F83" i="2"/>
  <c r="C83" i="2" s="1"/>
  <c r="L61" i="11" l="1"/>
  <c r="K61" i="11"/>
  <c r="Z61" i="11"/>
  <c r="E61" i="11" s="1"/>
  <c r="D61" i="11" s="1"/>
  <c r="C60" i="11"/>
  <c r="B62" i="11"/>
  <c r="R41" i="10"/>
  <c r="H42" i="10"/>
  <c r="U42" i="10" s="1"/>
  <c r="V42" i="10" s="1"/>
  <c r="Q41" i="10"/>
  <c r="H14" i="2"/>
  <c r="F60" i="11" l="1"/>
  <c r="L62" i="11"/>
  <c r="K62" i="11"/>
  <c r="Z62" i="11"/>
  <c r="E62" i="11" s="1"/>
  <c r="D62" i="11" s="1"/>
  <c r="C61" i="11"/>
  <c r="B63" i="11"/>
  <c r="H43" i="10"/>
  <c r="U43" i="10" s="1"/>
  <c r="V43" i="10" s="1"/>
  <c r="Q42" i="10"/>
  <c r="R42" i="10"/>
  <c r="N397" i="2"/>
  <c r="M397" i="2"/>
  <c r="D397" i="2"/>
  <c r="E397" i="2" s="1"/>
  <c r="N396" i="2"/>
  <c r="M396" i="2"/>
  <c r="D396" i="2"/>
  <c r="E396" i="2" s="1"/>
  <c r="N395" i="2"/>
  <c r="M395" i="2"/>
  <c r="D395" i="2"/>
  <c r="E395" i="2" s="1"/>
  <c r="N394" i="2"/>
  <c r="M394" i="2"/>
  <c r="D394" i="2"/>
  <c r="E394" i="2" s="1"/>
  <c r="N393" i="2"/>
  <c r="M393" i="2"/>
  <c r="D393" i="2"/>
  <c r="E393" i="2" s="1"/>
  <c r="G393" i="2" s="1"/>
  <c r="N392" i="2"/>
  <c r="M392" i="2"/>
  <c r="D392" i="2"/>
  <c r="E392" i="2" s="1"/>
  <c r="N391" i="2"/>
  <c r="M391" i="2"/>
  <c r="D391" i="2"/>
  <c r="E391" i="2" s="1"/>
  <c r="N390" i="2"/>
  <c r="M390" i="2"/>
  <c r="D390" i="2"/>
  <c r="E390" i="2" s="1"/>
  <c r="G390" i="2" s="1"/>
  <c r="N389" i="2"/>
  <c r="M389" i="2"/>
  <c r="D389" i="2"/>
  <c r="E389" i="2" s="1"/>
  <c r="N388" i="2"/>
  <c r="M388" i="2"/>
  <c r="D388" i="2"/>
  <c r="E388" i="2" s="1"/>
  <c r="N387" i="2"/>
  <c r="M387" i="2"/>
  <c r="D387" i="2"/>
  <c r="E387" i="2" s="1"/>
  <c r="N386" i="2"/>
  <c r="M386" i="2"/>
  <c r="D386" i="2"/>
  <c r="E386" i="2" s="1"/>
  <c r="G386" i="2" s="1"/>
  <c r="N385" i="2"/>
  <c r="M385" i="2"/>
  <c r="D385" i="2"/>
  <c r="E385" i="2" s="1"/>
  <c r="N384" i="2"/>
  <c r="M384" i="2"/>
  <c r="D384" i="2"/>
  <c r="E384" i="2" s="1"/>
  <c r="N383" i="2"/>
  <c r="M383" i="2"/>
  <c r="D383" i="2"/>
  <c r="E383" i="2" s="1"/>
  <c r="N382" i="2"/>
  <c r="M382" i="2"/>
  <c r="D382" i="2"/>
  <c r="E382" i="2" s="1"/>
  <c r="G382" i="2" s="1"/>
  <c r="N381" i="2"/>
  <c r="M381" i="2"/>
  <c r="D381" i="2"/>
  <c r="E381" i="2" s="1"/>
  <c r="N380" i="2"/>
  <c r="M380" i="2"/>
  <c r="D380" i="2"/>
  <c r="E380" i="2" s="1"/>
  <c r="N379" i="2"/>
  <c r="M379" i="2"/>
  <c r="D379" i="2"/>
  <c r="E379" i="2" s="1"/>
  <c r="N378" i="2"/>
  <c r="M378" i="2"/>
  <c r="D378" i="2"/>
  <c r="E378" i="2" s="1"/>
  <c r="G378" i="2" s="1"/>
  <c r="N377" i="2"/>
  <c r="M377" i="2"/>
  <c r="D377" i="2"/>
  <c r="E377" i="2" s="1"/>
  <c r="N376" i="2"/>
  <c r="M376" i="2"/>
  <c r="D376" i="2"/>
  <c r="E376" i="2" s="1"/>
  <c r="N375" i="2"/>
  <c r="M375" i="2"/>
  <c r="D375" i="2"/>
  <c r="E375" i="2" s="1"/>
  <c r="N374" i="2"/>
  <c r="M374" i="2"/>
  <c r="D374" i="2"/>
  <c r="E374" i="2" s="1"/>
  <c r="G374" i="2" s="1"/>
  <c r="N373" i="2"/>
  <c r="M373" i="2"/>
  <c r="D373" i="2"/>
  <c r="E373" i="2" s="1"/>
  <c r="N372" i="2"/>
  <c r="M372" i="2"/>
  <c r="D372" i="2"/>
  <c r="E372" i="2" s="1"/>
  <c r="N371" i="2"/>
  <c r="M371" i="2"/>
  <c r="D371" i="2"/>
  <c r="E371" i="2" s="1"/>
  <c r="N370" i="2"/>
  <c r="M370" i="2"/>
  <c r="D370" i="2"/>
  <c r="E370" i="2" s="1"/>
  <c r="G370" i="2" s="1"/>
  <c r="N369" i="2"/>
  <c r="M369" i="2"/>
  <c r="D369" i="2"/>
  <c r="E369" i="2" s="1"/>
  <c r="N368" i="2"/>
  <c r="M368" i="2"/>
  <c r="D368" i="2"/>
  <c r="E368" i="2" s="1"/>
  <c r="N367" i="2"/>
  <c r="M367" i="2"/>
  <c r="D367" i="2"/>
  <c r="E367" i="2" s="1"/>
  <c r="N366" i="2"/>
  <c r="M366" i="2"/>
  <c r="D366" i="2"/>
  <c r="E366" i="2" s="1"/>
  <c r="G366" i="2" s="1"/>
  <c r="N365" i="2"/>
  <c r="M365" i="2"/>
  <c r="D365" i="2"/>
  <c r="E365" i="2" s="1"/>
  <c r="N364" i="2"/>
  <c r="M364" i="2"/>
  <c r="D364" i="2"/>
  <c r="E364" i="2" s="1"/>
  <c r="N363" i="2"/>
  <c r="M363" i="2"/>
  <c r="D363" i="2"/>
  <c r="E363" i="2" s="1"/>
  <c r="N362" i="2"/>
  <c r="M362" i="2"/>
  <c r="D362" i="2"/>
  <c r="E362" i="2" s="1"/>
  <c r="G362" i="2" s="1"/>
  <c r="N361" i="2"/>
  <c r="M361" i="2"/>
  <c r="D361" i="2"/>
  <c r="E361" i="2" s="1"/>
  <c r="N360" i="2"/>
  <c r="M360" i="2"/>
  <c r="D360" i="2"/>
  <c r="E360" i="2" s="1"/>
  <c r="N359" i="2"/>
  <c r="M359" i="2"/>
  <c r="D359" i="2"/>
  <c r="E359" i="2" s="1"/>
  <c r="N358" i="2"/>
  <c r="M358" i="2"/>
  <c r="D358" i="2"/>
  <c r="E358" i="2" s="1"/>
  <c r="G358" i="2" s="1"/>
  <c r="N357" i="2"/>
  <c r="M357" i="2"/>
  <c r="D357" i="2"/>
  <c r="E357" i="2" s="1"/>
  <c r="N356" i="2"/>
  <c r="M356" i="2"/>
  <c r="D356" i="2"/>
  <c r="E356" i="2" s="1"/>
  <c r="N355" i="2"/>
  <c r="M355" i="2"/>
  <c r="D355" i="2"/>
  <c r="E355" i="2" s="1"/>
  <c r="N354" i="2"/>
  <c r="M354" i="2"/>
  <c r="D354" i="2"/>
  <c r="E354" i="2" s="1"/>
  <c r="G354" i="2" s="1"/>
  <c r="N353" i="2"/>
  <c r="M353" i="2"/>
  <c r="D353" i="2"/>
  <c r="E353" i="2" s="1"/>
  <c r="N352" i="2"/>
  <c r="M352" i="2"/>
  <c r="D352" i="2"/>
  <c r="E352" i="2" s="1"/>
  <c r="N351" i="2"/>
  <c r="M351" i="2"/>
  <c r="D351" i="2"/>
  <c r="E351" i="2" s="1"/>
  <c r="N350" i="2"/>
  <c r="M350" i="2"/>
  <c r="D350" i="2"/>
  <c r="E350" i="2" s="1"/>
  <c r="G350" i="2" s="1"/>
  <c r="N349" i="2"/>
  <c r="M349" i="2"/>
  <c r="D349" i="2"/>
  <c r="E349" i="2" s="1"/>
  <c r="N348" i="2"/>
  <c r="M348" i="2"/>
  <c r="D348" i="2"/>
  <c r="E348" i="2" s="1"/>
  <c r="N347" i="2"/>
  <c r="M347" i="2"/>
  <c r="D347" i="2"/>
  <c r="E347" i="2" s="1"/>
  <c r="N346" i="2"/>
  <c r="M346" i="2"/>
  <c r="D346" i="2"/>
  <c r="E346" i="2" s="1"/>
  <c r="G346" i="2" s="1"/>
  <c r="N345" i="2"/>
  <c r="M345" i="2"/>
  <c r="D345" i="2"/>
  <c r="E345" i="2" s="1"/>
  <c r="N344" i="2"/>
  <c r="M344" i="2"/>
  <c r="D344" i="2"/>
  <c r="E344" i="2" s="1"/>
  <c r="N343" i="2"/>
  <c r="M343" i="2"/>
  <c r="D343" i="2"/>
  <c r="E343" i="2" s="1"/>
  <c r="N342" i="2"/>
  <c r="M342" i="2"/>
  <c r="D342" i="2"/>
  <c r="E342" i="2" s="1"/>
  <c r="G342" i="2" s="1"/>
  <c r="N341" i="2"/>
  <c r="M341" i="2"/>
  <c r="D341" i="2"/>
  <c r="E341" i="2" s="1"/>
  <c r="N340" i="2"/>
  <c r="M340" i="2"/>
  <c r="D340" i="2"/>
  <c r="E340" i="2" s="1"/>
  <c r="N339" i="2"/>
  <c r="M339" i="2"/>
  <c r="D339" i="2"/>
  <c r="E339" i="2" s="1"/>
  <c r="N338" i="2"/>
  <c r="M338" i="2"/>
  <c r="D338" i="2"/>
  <c r="E338" i="2" s="1"/>
  <c r="G338" i="2" s="1"/>
  <c r="N337" i="2"/>
  <c r="M337" i="2"/>
  <c r="D337" i="2"/>
  <c r="E337" i="2" s="1"/>
  <c r="N336" i="2"/>
  <c r="M336" i="2"/>
  <c r="D336" i="2"/>
  <c r="E336" i="2" s="1"/>
  <c r="N335" i="2"/>
  <c r="M335" i="2"/>
  <c r="D335" i="2"/>
  <c r="E335" i="2" s="1"/>
  <c r="N334" i="2"/>
  <c r="M334" i="2"/>
  <c r="D334" i="2"/>
  <c r="E334" i="2" s="1"/>
  <c r="G334" i="2" s="1"/>
  <c r="N333" i="2"/>
  <c r="M333" i="2"/>
  <c r="D333" i="2"/>
  <c r="E333" i="2" s="1"/>
  <c r="N332" i="2"/>
  <c r="M332" i="2"/>
  <c r="D332" i="2"/>
  <c r="E332" i="2" s="1"/>
  <c r="N331" i="2"/>
  <c r="M331" i="2"/>
  <c r="D331" i="2"/>
  <c r="E331" i="2" s="1"/>
  <c r="N330" i="2"/>
  <c r="M330" i="2"/>
  <c r="D330" i="2"/>
  <c r="E330" i="2" s="1"/>
  <c r="G330" i="2" s="1"/>
  <c r="N329" i="2"/>
  <c r="M329" i="2"/>
  <c r="D329" i="2"/>
  <c r="E329" i="2" s="1"/>
  <c r="N328" i="2"/>
  <c r="M328" i="2"/>
  <c r="D328" i="2"/>
  <c r="E328" i="2" s="1"/>
  <c r="N327" i="2"/>
  <c r="M327" i="2"/>
  <c r="D327" i="2"/>
  <c r="E327" i="2" s="1"/>
  <c r="N326" i="2"/>
  <c r="M326" i="2"/>
  <c r="D326" i="2"/>
  <c r="E326" i="2" s="1"/>
  <c r="G326" i="2" s="1"/>
  <c r="N325" i="2"/>
  <c r="M325" i="2"/>
  <c r="D325" i="2"/>
  <c r="E325" i="2" s="1"/>
  <c r="N324" i="2"/>
  <c r="M324" i="2"/>
  <c r="D324" i="2"/>
  <c r="E324" i="2" s="1"/>
  <c r="G324" i="2" s="1"/>
  <c r="N323" i="2"/>
  <c r="M323" i="2"/>
  <c r="D323" i="2"/>
  <c r="E323" i="2" s="1"/>
  <c r="N322" i="2"/>
  <c r="M322" i="2"/>
  <c r="D322" i="2"/>
  <c r="E322" i="2" s="1"/>
  <c r="G322" i="2" s="1"/>
  <c r="N321" i="2"/>
  <c r="M321" i="2"/>
  <c r="D321" i="2"/>
  <c r="E321" i="2" s="1"/>
  <c r="N320" i="2"/>
  <c r="M320" i="2"/>
  <c r="D320" i="2"/>
  <c r="E320" i="2" s="1"/>
  <c r="N319" i="2"/>
  <c r="M319" i="2"/>
  <c r="D319" i="2"/>
  <c r="E319" i="2" s="1"/>
  <c r="N318" i="2"/>
  <c r="M318" i="2"/>
  <c r="D318" i="2"/>
  <c r="E318" i="2" s="1"/>
  <c r="G318" i="2" s="1"/>
  <c r="N317" i="2"/>
  <c r="M317" i="2"/>
  <c r="D317" i="2"/>
  <c r="E317" i="2" s="1"/>
  <c r="N316" i="2"/>
  <c r="M316" i="2"/>
  <c r="D316" i="2"/>
  <c r="E316" i="2" s="1"/>
  <c r="G316" i="2" s="1"/>
  <c r="N315" i="2"/>
  <c r="M315" i="2"/>
  <c r="D315" i="2"/>
  <c r="E315" i="2" s="1"/>
  <c r="N314" i="2"/>
  <c r="M314" i="2"/>
  <c r="D314" i="2"/>
  <c r="E314" i="2" s="1"/>
  <c r="G314" i="2" s="1"/>
  <c r="N313" i="2"/>
  <c r="M313" i="2"/>
  <c r="D313" i="2"/>
  <c r="E313" i="2" s="1"/>
  <c r="N312" i="2"/>
  <c r="M312" i="2"/>
  <c r="D312" i="2"/>
  <c r="E312" i="2" s="1"/>
  <c r="N311" i="2"/>
  <c r="M311" i="2"/>
  <c r="D311" i="2"/>
  <c r="E311" i="2" s="1"/>
  <c r="N310" i="2"/>
  <c r="M310" i="2"/>
  <c r="D310" i="2"/>
  <c r="E310" i="2" s="1"/>
  <c r="G310" i="2" s="1"/>
  <c r="N309" i="2"/>
  <c r="M309" i="2"/>
  <c r="D309" i="2"/>
  <c r="E309" i="2" s="1"/>
  <c r="N308" i="2"/>
  <c r="M308" i="2"/>
  <c r="G308" i="2"/>
  <c r="D308" i="2"/>
  <c r="E308" i="2" s="1"/>
  <c r="N307" i="2"/>
  <c r="M307" i="2"/>
  <c r="D307" i="2"/>
  <c r="E307" i="2" s="1"/>
  <c r="N306" i="2"/>
  <c r="M306" i="2"/>
  <c r="D306" i="2"/>
  <c r="E306" i="2" s="1"/>
  <c r="G306" i="2" s="1"/>
  <c r="N305" i="2"/>
  <c r="M305" i="2"/>
  <c r="D305" i="2"/>
  <c r="E305" i="2" s="1"/>
  <c r="N304" i="2"/>
  <c r="M304" i="2"/>
  <c r="D304" i="2"/>
  <c r="E304" i="2" s="1"/>
  <c r="N303" i="2"/>
  <c r="M303" i="2"/>
  <c r="D303" i="2"/>
  <c r="E303" i="2" s="1"/>
  <c r="N302" i="2"/>
  <c r="M302" i="2"/>
  <c r="D302" i="2"/>
  <c r="E302" i="2" s="1"/>
  <c r="G302" i="2" s="1"/>
  <c r="N301" i="2"/>
  <c r="M301" i="2"/>
  <c r="D301" i="2"/>
  <c r="E301" i="2" s="1"/>
  <c r="N300" i="2"/>
  <c r="M300" i="2"/>
  <c r="D300" i="2"/>
  <c r="E300" i="2" s="1"/>
  <c r="N299" i="2"/>
  <c r="M299" i="2"/>
  <c r="D299" i="2"/>
  <c r="E299" i="2" s="1"/>
  <c r="N298" i="2"/>
  <c r="M298" i="2"/>
  <c r="D298" i="2"/>
  <c r="E298" i="2" s="1"/>
  <c r="G298" i="2" s="1"/>
  <c r="N297" i="2"/>
  <c r="M297" i="2"/>
  <c r="D297" i="2"/>
  <c r="E297" i="2" s="1"/>
  <c r="N296" i="2"/>
  <c r="M296" i="2"/>
  <c r="D296" i="2"/>
  <c r="E296" i="2" s="1"/>
  <c r="N295" i="2"/>
  <c r="M295" i="2"/>
  <c r="D295" i="2"/>
  <c r="E295" i="2" s="1"/>
  <c r="N294" i="2"/>
  <c r="M294" i="2"/>
  <c r="D294" i="2"/>
  <c r="E294" i="2" s="1"/>
  <c r="G294" i="2" s="1"/>
  <c r="N293" i="2"/>
  <c r="M293" i="2"/>
  <c r="D293" i="2"/>
  <c r="E293" i="2" s="1"/>
  <c r="G293" i="2" s="1"/>
  <c r="N292" i="2"/>
  <c r="M292" i="2"/>
  <c r="D292" i="2"/>
  <c r="E292" i="2" s="1"/>
  <c r="N291" i="2"/>
  <c r="M291" i="2"/>
  <c r="D291" i="2"/>
  <c r="E291" i="2" s="1"/>
  <c r="N290" i="2"/>
  <c r="M290" i="2"/>
  <c r="D290" i="2"/>
  <c r="E290" i="2" s="1"/>
  <c r="G290" i="2" s="1"/>
  <c r="N289" i="2"/>
  <c r="M289" i="2"/>
  <c r="D289" i="2"/>
  <c r="E289" i="2" s="1"/>
  <c r="N288" i="2"/>
  <c r="M288" i="2"/>
  <c r="D288" i="2"/>
  <c r="E288" i="2" s="1"/>
  <c r="N287" i="2"/>
  <c r="M287" i="2"/>
  <c r="D287" i="2"/>
  <c r="E287" i="2" s="1"/>
  <c r="N286" i="2"/>
  <c r="M286" i="2"/>
  <c r="D286" i="2"/>
  <c r="E286" i="2" s="1"/>
  <c r="N285" i="2"/>
  <c r="M285" i="2"/>
  <c r="D285" i="2"/>
  <c r="E285" i="2" s="1"/>
  <c r="N284" i="2"/>
  <c r="M284" i="2"/>
  <c r="D284" i="2"/>
  <c r="E284" i="2" s="1"/>
  <c r="N283" i="2"/>
  <c r="M283" i="2"/>
  <c r="D283" i="2"/>
  <c r="E283" i="2" s="1"/>
  <c r="N282" i="2"/>
  <c r="M282" i="2"/>
  <c r="D282" i="2"/>
  <c r="E282" i="2" s="1"/>
  <c r="G282" i="2" s="1"/>
  <c r="N281" i="2"/>
  <c r="M281" i="2"/>
  <c r="D281" i="2"/>
  <c r="E281" i="2" s="1"/>
  <c r="N280" i="2"/>
  <c r="M280" i="2"/>
  <c r="D280" i="2"/>
  <c r="E280" i="2" s="1"/>
  <c r="N279" i="2"/>
  <c r="M279" i="2"/>
  <c r="D279" i="2"/>
  <c r="E279" i="2" s="1"/>
  <c r="N278" i="2"/>
  <c r="M278" i="2"/>
  <c r="D278" i="2"/>
  <c r="E278" i="2" s="1"/>
  <c r="N277" i="2"/>
  <c r="M277" i="2"/>
  <c r="D277" i="2"/>
  <c r="E277" i="2" s="1"/>
  <c r="N276" i="2"/>
  <c r="M276" i="2"/>
  <c r="D276" i="2"/>
  <c r="E276" i="2" s="1"/>
  <c r="N275" i="2"/>
  <c r="M275" i="2"/>
  <c r="D275" i="2"/>
  <c r="E275" i="2" s="1"/>
  <c r="N274" i="2"/>
  <c r="M274" i="2"/>
  <c r="D274" i="2"/>
  <c r="E274" i="2" s="1"/>
  <c r="G274" i="2" s="1"/>
  <c r="N273" i="2"/>
  <c r="M273" i="2"/>
  <c r="D273" i="2"/>
  <c r="E273" i="2" s="1"/>
  <c r="N272" i="2"/>
  <c r="M272" i="2"/>
  <c r="D272" i="2"/>
  <c r="E272" i="2" s="1"/>
  <c r="N271" i="2"/>
  <c r="M271" i="2"/>
  <c r="D271" i="2"/>
  <c r="E271" i="2" s="1"/>
  <c r="N270" i="2"/>
  <c r="M270" i="2"/>
  <c r="D270" i="2"/>
  <c r="E270" i="2" s="1"/>
  <c r="N269" i="2"/>
  <c r="M269" i="2"/>
  <c r="D269" i="2"/>
  <c r="E269" i="2" s="1"/>
  <c r="N268" i="2"/>
  <c r="M268" i="2"/>
  <c r="D268" i="2"/>
  <c r="E268" i="2" s="1"/>
  <c r="N267" i="2"/>
  <c r="M267" i="2"/>
  <c r="D267" i="2"/>
  <c r="E267" i="2" s="1"/>
  <c r="N266" i="2"/>
  <c r="M266" i="2"/>
  <c r="D266" i="2"/>
  <c r="E266" i="2" s="1"/>
  <c r="G266" i="2" s="1"/>
  <c r="N265" i="2"/>
  <c r="M265" i="2"/>
  <c r="D265" i="2"/>
  <c r="E265" i="2" s="1"/>
  <c r="N264" i="2"/>
  <c r="M264" i="2"/>
  <c r="D264" i="2"/>
  <c r="E264" i="2" s="1"/>
  <c r="N263" i="2"/>
  <c r="M263" i="2"/>
  <c r="D263" i="2"/>
  <c r="E263" i="2" s="1"/>
  <c r="N262" i="2"/>
  <c r="M262" i="2"/>
  <c r="D262" i="2"/>
  <c r="E262" i="2" s="1"/>
  <c r="N261" i="2"/>
  <c r="M261" i="2"/>
  <c r="D261" i="2"/>
  <c r="E261" i="2" s="1"/>
  <c r="N260" i="2"/>
  <c r="M260" i="2"/>
  <c r="D260" i="2"/>
  <c r="E260" i="2" s="1"/>
  <c r="N259" i="2"/>
  <c r="M259" i="2"/>
  <c r="D259" i="2"/>
  <c r="E259" i="2" s="1"/>
  <c r="N258" i="2"/>
  <c r="M258" i="2"/>
  <c r="D258" i="2"/>
  <c r="E258" i="2" s="1"/>
  <c r="G258" i="2" s="1"/>
  <c r="N257" i="2"/>
  <c r="M257" i="2"/>
  <c r="D257" i="2"/>
  <c r="E257" i="2" s="1"/>
  <c r="N256" i="2"/>
  <c r="M256" i="2"/>
  <c r="D256" i="2"/>
  <c r="E256" i="2" s="1"/>
  <c r="N255" i="2"/>
  <c r="M255" i="2"/>
  <c r="D255" i="2"/>
  <c r="E255" i="2" s="1"/>
  <c r="N254" i="2"/>
  <c r="M254" i="2"/>
  <c r="D254" i="2"/>
  <c r="E254" i="2" s="1"/>
  <c r="N253" i="2"/>
  <c r="M253" i="2"/>
  <c r="D253" i="2"/>
  <c r="E253" i="2" s="1"/>
  <c r="N252" i="2"/>
  <c r="M252" i="2"/>
  <c r="D252" i="2"/>
  <c r="E252" i="2" s="1"/>
  <c r="N251" i="2"/>
  <c r="M251" i="2"/>
  <c r="D251" i="2"/>
  <c r="E251" i="2" s="1"/>
  <c r="N250" i="2"/>
  <c r="M250" i="2"/>
  <c r="D250" i="2"/>
  <c r="E250" i="2" s="1"/>
  <c r="G250" i="2" s="1"/>
  <c r="N249" i="2"/>
  <c r="M249" i="2"/>
  <c r="D249" i="2"/>
  <c r="E249" i="2" s="1"/>
  <c r="N248" i="2"/>
  <c r="M248" i="2"/>
  <c r="D248" i="2"/>
  <c r="E248" i="2" s="1"/>
  <c r="N247" i="2"/>
  <c r="M247" i="2"/>
  <c r="D247" i="2"/>
  <c r="E247" i="2" s="1"/>
  <c r="N246" i="2"/>
  <c r="M246" i="2"/>
  <c r="D246" i="2"/>
  <c r="E246" i="2" s="1"/>
  <c r="N245" i="2"/>
  <c r="M245" i="2"/>
  <c r="D245" i="2"/>
  <c r="E245" i="2" s="1"/>
  <c r="N244" i="2"/>
  <c r="M244" i="2"/>
  <c r="D244" i="2"/>
  <c r="E244" i="2" s="1"/>
  <c r="N243" i="2"/>
  <c r="M243" i="2"/>
  <c r="D243" i="2"/>
  <c r="E243" i="2" s="1"/>
  <c r="N242" i="2"/>
  <c r="M242" i="2"/>
  <c r="D242" i="2"/>
  <c r="E242" i="2" s="1"/>
  <c r="G242" i="2" s="1"/>
  <c r="N241" i="2"/>
  <c r="M241" i="2"/>
  <c r="D241" i="2"/>
  <c r="E241" i="2" s="1"/>
  <c r="N240" i="2"/>
  <c r="M240" i="2"/>
  <c r="D240" i="2"/>
  <c r="E240" i="2" s="1"/>
  <c r="N239" i="2"/>
  <c r="M239" i="2"/>
  <c r="D239" i="2"/>
  <c r="E239" i="2" s="1"/>
  <c r="N238" i="2"/>
  <c r="M238" i="2"/>
  <c r="D238" i="2"/>
  <c r="E238" i="2" s="1"/>
  <c r="N237" i="2"/>
  <c r="M237" i="2"/>
  <c r="D237" i="2"/>
  <c r="E237" i="2" s="1"/>
  <c r="N236" i="2"/>
  <c r="M236" i="2"/>
  <c r="D236" i="2"/>
  <c r="E236" i="2" s="1"/>
  <c r="N235" i="2"/>
  <c r="M235" i="2"/>
  <c r="D235" i="2"/>
  <c r="E235" i="2" s="1"/>
  <c r="N234" i="2"/>
  <c r="M234" i="2"/>
  <c r="D234" i="2"/>
  <c r="E234" i="2" s="1"/>
  <c r="G234" i="2" s="1"/>
  <c r="N233" i="2"/>
  <c r="M233" i="2"/>
  <c r="D233" i="2"/>
  <c r="E233" i="2" s="1"/>
  <c r="N232" i="2"/>
  <c r="M232" i="2"/>
  <c r="D232" i="2"/>
  <c r="E232" i="2" s="1"/>
  <c r="N231" i="2"/>
  <c r="M231" i="2"/>
  <c r="D231" i="2"/>
  <c r="E231" i="2" s="1"/>
  <c r="N230" i="2"/>
  <c r="M230" i="2"/>
  <c r="D230" i="2"/>
  <c r="E230" i="2" s="1"/>
  <c r="N229" i="2"/>
  <c r="M229" i="2"/>
  <c r="D229" i="2"/>
  <c r="E229" i="2" s="1"/>
  <c r="N228" i="2"/>
  <c r="M228" i="2"/>
  <c r="G228" i="2"/>
  <c r="D228" i="2"/>
  <c r="E228" i="2" s="1"/>
  <c r="N227" i="2"/>
  <c r="M227" i="2"/>
  <c r="D227" i="2"/>
  <c r="E227" i="2" s="1"/>
  <c r="N226" i="2"/>
  <c r="M226" i="2"/>
  <c r="D226" i="2"/>
  <c r="E226" i="2" s="1"/>
  <c r="N225" i="2"/>
  <c r="M225" i="2"/>
  <c r="D225" i="2"/>
  <c r="E225" i="2" s="1"/>
  <c r="N224" i="2"/>
  <c r="M224" i="2"/>
  <c r="D224" i="2"/>
  <c r="E224" i="2" s="1"/>
  <c r="N223" i="2"/>
  <c r="M223" i="2"/>
  <c r="D223" i="2"/>
  <c r="E223" i="2" s="1"/>
  <c r="N222" i="2"/>
  <c r="M222" i="2"/>
  <c r="D222" i="2"/>
  <c r="E222" i="2" s="1"/>
  <c r="G222" i="2" s="1"/>
  <c r="N221" i="2"/>
  <c r="M221" i="2"/>
  <c r="D221" i="2"/>
  <c r="E221" i="2" s="1"/>
  <c r="N220" i="2"/>
  <c r="M220" i="2"/>
  <c r="G220" i="2"/>
  <c r="D220" i="2"/>
  <c r="E220" i="2" s="1"/>
  <c r="N219" i="2"/>
  <c r="M219" i="2"/>
  <c r="D219" i="2"/>
  <c r="E219" i="2" s="1"/>
  <c r="N218" i="2"/>
  <c r="M218" i="2"/>
  <c r="D218" i="2"/>
  <c r="E218" i="2" s="1"/>
  <c r="N217" i="2"/>
  <c r="M217" i="2"/>
  <c r="D217" i="2"/>
  <c r="E217" i="2" s="1"/>
  <c r="G217" i="2" s="1"/>
  <c r="N216" i="2"/>
  <c r="M216" i="2"/>
  <c r="D216" i="2"/>
  <c r="E216" i="2" s="1"/>
  <c r="N215" i="2"/>
  <c r="M215" i="2"/>
  <c r="D215" i="2"/>
  <c r="E215" i="2" s="1"/>
  <c r="G216" i="2" s="1"/>
  <c r="N214" i="2"/>
  <c r="M214" i="2"/>
  <c r="D214" i="2"/>
  <c r="E214" i="2" s="1"/>
  <c r="G214" i="2" s="1"/>
  <c r="N213" i="2"/>
  <c r="M213" i="2"/>
  <c r="D213" i="2"/>
  <c r="E213" i="2" s="1"/>
  <c r="N212" i="2"/>
  <c r="M212" i="2"/>
  <c r="G212" i="2"/>
  <c r="D212" i="2"/>
  <c r="E212" i="2" s="1"/>
  <c r="N211" i="2"/>
  <c r="M211" i="2"/>
  <c r="G211" i="2"/>
  <c r="D211" i="2"/>
  <c r="E211" i="2" s="1"/>
  <c r="N210" i="2"/>
  <c r="M210" i="2"/>
  <c r="D210" i="2"/>
  <c r="E210" i="2" s="1"/>
  <c r="N209" i="2"/>
  <c r="M209" i="2"/>
  <c r="D209" i="2"/>
  <c r="E209" i="2" s="1"/>
  <c r="G209" i="2" s="1"/>
  <c r="N208" i="2"/>
  <c r="M208" i="2"/>
  <c r="D208" i="2"/>
  <c r="E208" i="2" s="1"/>
  <c r="N207" i="2"/>
  <c r="M207" i="2"/>
  <c r="D207" i="2"/>
  <c r="E207" i="2" s="1"/>
  <c r="G207" i="2" s="1"/>
  <c r="N206" i="2"/>
  <c r="M206" i="2"/>
  <c r="D206" i="2"/>
  <c r="E206" i="2" s="1"/>
  <c r="G206" i="2" s="1"/>
  <c r="N205" i="2"/>
  <c r="M205" i="2"/>
  <c r="D205" i="2"/>
  <c r="E205" i="2" s="1"/>
  <c r="N204" i="2"/>
  <c r="M204" i="2"/>
  <c r="D204" i="2"/>
  <c r="E204" i="2" s="1"/>
  <c r="N203" i="2"/>
  <c r="M203" i="2"/>
  <c r="G203" i="2"/>
  <c r="D203" i="2"/>
  <c r="E203" i="2" s="1"/>
  <c r="N202" i="2"/>
  <c r="M202" i="2"/>
  <c r="D202" i="2"/>
  <c r="E202" i="2" s="1"/>
  <c r="G202" i="2" s="1"/>
  <c r="N201" i="2"/>
  <c r="M201" i="2"/>
  <c r="D201" i="2"/>
  <c r="E201" i="2" s="1"/>
  <c r="G201" i="2" s="1"/>
  <c r="N200" i="2"/>
  <c r="M200" i="2"/>
  <c r="D200" i="2"/>
  <c r="E200" i="2" s="1"/>
  <c r="N199" i="2"/>
  <c r="M199" i="2"/>
  <c r="D199" i="2"/>
  <c r="E199" i="2" s="1"/>
  <c r="G200" i="2" s="1"/>
  <c r="N198" i="2"/>
  <c r="M198" i="2"/>
  <c r="D198" i="2"/>
  <c r="E198" i="2" s="1"/>
  <c r="G198" i="2" s="1"/>
  <c r="N197" i="2"/>
  <c r="M197" i="2"/>
  <c r="D197" i="2"/>
  <c r="E197" i="2" s="1"/>
  <c r="N196" i="2"/>
  <c r="M196" i="2"/>
  <c r="G196" i="2"/>
  <c r="D196" i="2"/>
  <c r="E196" i="2" s="1"/>
  <c r="N195" i="2"/>
  <c r="M195" i="2"/>
  <c r="G195" i="2"/>
  <c r="D195" i="2"/>
  <c r="E195" i="2" s="1"/>
  <c r="N194" i="2"/>
  <c r="M194" i="2"/>
  <c r="D194" i="2"/>
  <c r="E194" i="2" s="1"/>
  <c r="N193" i="2"/>
  <c r="M193" i="2"/>
  <c r="D193" i="2"/>
  <c r="E193" i="2" s="1"/>
  <c r="G193" i="2" s="1"/>
  <c r="N192" i="2"/>
  <c r="M192" i="2"/>
  <c r="D192" i="2"/>
  <c r="E192" i="2" s="1"/>
  <c r="N191" i="2"/>
  <c r="M191" i="2"/>
  <c r="D191" i="2"/>
  <c r="E191" i="2" s="1"/>
  <c r="G192" i="2" s="1"/>
  <c r="N190" i="2"/>
  <c r="M190" i="2"/>
  <c r="D190" i="2"/>
  <c r="E190" i="2" s="1"/>
  <c r="G190" i="2" s="1"/>
  <c r="N189" i="2"/>
  <c r="M189" i="2"/>
  <c r="D189" i="2"/>
  <c r="E189" i="2" s="1"/>
  <c r="N188" i="2"/>
  <c r="M188" i="2"/>
  <c r="D188" i="2"/>
  <c r="E188" i="2" s="1"/>
  <c r="N187" i="2"/>
  <c r="M187" i="2"/>
  <c r="N186" i="2"/>
  <c r="M186" i="2"/>
  <c r="N185" i="2"/>
  <c r="M185" i="2"/>
  <c r="N184" i="2"/>
  <c r="M184" i="2"/>
  <c r="N183" i="2"/>
  <c r="M183" i="2"/>
  <c r="N182" i="2"/>
  <c r="M182" i="2"/>
  <c r="N181" i="2"/>
  <c r="M181" i="2"/>
  <c r="N180" i="2"/>
  <c r="M180" i="2"/>
  <c r="N179" i="2"/>
  <c r="M179" i="2"/>
  <c r="N178" i="2"/>
  <c r="M178" i="2"/>
  <c r="N177" i="2"/>
  <c r="M177" i="2"/>
  <c r="N176" i="2"/>
  <c r="M176" i="2"/>
  <c r="N175" i="2"/>
  <c r="M175" i="2"/>
  <c r="N174" i="2"/>
  <c r="M174" i="2"/>
  <c r="N173" i="2"/>
  <c r="M173" i="2"/>
  <c r="N172" i="2"/>
  <c r="M172" i="2"/>
  <c r="N171" i="2"/>
  <c r="M171" i="2"/>
  <c r="N170" i="2"/>
  <c r="M170" i="2"/>
  <c r="N169" i="2"/>
  <c r="M169" i="2"/>
  <c r="N168" i="2"/>
  <c r="M168" i="2"/>
  <c r="N167" i="2"/>
  <c r="M167" i="2"/>
  <c r="N166" i="2"/>
  <c r="M166" i="2"/>
  <c r="N165" i="2"/>
  <c r="M165" i="2"/>
  <c r="N164" i="2"/>
  <c r="M164" i="2"/>
  <c r="N163" i="2"/>
  <c r="M163" i="2"/>
  <c r="N162" i="2"/>
  <c r="M162" i="2"/>
  <c r="N161" i="2"/>
  <c r="M161" i="2"/>
  <c r="N160" i="2"/>
  <c r="M160" i="2"/>
  <c r="N159" i="2"/>
  <c r="M159" i="2"/>
  <c r="N158" i="2"/>
  <c r="M158" i="2"/>
  <c r="N157" i="2"/>
  <c r="M157" i="2"/>
  <c r="N156" i="2"/>
  <c r="M156" i="2"/>
  <c r="N155" i="2"/>
  <c r="M155" i="2"/>
  <c r="N154" i="2"/>
  <c r="M154" i="2"/>
  <c r="N153" i="2"/>
  <c r="M153" i="2"/>
  <c r="N152" i="2"/>
  <c r="M152" i="2"/>
  <c r="N151" i="2"/>
  <c r="M151" i="2"/>
  <c r="N150" i="2"/>
  <c r="M150" i="2"/>
  <c r="N149" i="2"/>
  <c r="M149" i="2"/>
  <c r="N148" i="2"/>
  <c r="M148" i="2"/>
  <c r="N147" i="2"/>
  <c r="M147" i="2"/>
  <c r="N146" i="2"/>
  <c r="M146" i="2"/>
  <c r="N145" i="2"/>
  <c r="M145" i="2"/>
  <c r="N144" i="2"/>
  <c r="M144" i="2"/>
  <c r="N143" i="2"/>
  <c r="M143" i="2"/>
  <c r="N142" i="2"/>
  <c r="M142" i="2"/>
  <c r="N141" i="2"/>
  <c r="M141" i="2"/>
  <c r="N140" i="2"/>
  <c r="M140" i="2"/>
  <c r="N139" i="2"/>
  <c r="M139" i="2"/>
  <c r="N138" i="2"/>
  <c r="M138" i="2"/>
  <c r="N137" i="2"/>
  <c r="M137" i="2"/>
  <c r="N136" i="2"/>
  <c r="M136" i="2"/>
  <c r="N135" i="2"/>
  <c r="M135" i="2"/>
  <c r="N134" i="2"/>
  <c r="M134" i="2"/>
  <c r="N133" i="2"/>
  <c r="M133" i="2"/>
  <c r="N132" i="2"/>
  <c r="M132" i="2"/>
  <c r="N131" i="2"/>
  <c r="M131" i="2"/>
  <c r="N130" i="2"/>
  <c r="M130" i="2"/>
  <c r="N129" i="2"/>
  <c r="M129" i="2"/>
  <c r="N128" i="2"/>
  <c r="M128" i="2"/>
  <c r="N127" i="2"/>
  <c r="M127" i="2"/>
  <c r="N126" i="2"/>
  <c r="M126" i="2"/>
  <c r="N125" i="2"/>
  <c r="M125" i="2"/>
  <c r="N124" i="2"/>
  <c r="M124" i="2"/>
  <c r="N123" i="2"/>
  <c r="M123" i="2"/>
  <c r="N122" i="2"/>
  <c r="M122" i="2"/>
  <c r="N121" i="2"/>
  <c r="M121" i="2"/>
  <c r="N120" i="2"/>
  <c r="M120" i="2"/>
  <c r="N119" i="2"/>
  <c r="M119" i="2"/>
  <c r="N118" i="2"/>
  <c r="M118" i="2"/>
  <c r="N117" i="2"/>
  <c r="M117" i="2"/>
  <c r="N116" i="2"/>
  <c r="M116" i="2"/>
  <c r="N115" i="2"/>
  <c r="M115" i="2"/>
  <c r="N114" i="2"/>
  <c r="M114" i="2"/>
  <c r="N113" i="2"/>
  <c r="M113" i="2"/>
  <c r="N112" i="2"/>
  <c r="M112" i="2"/>
  <c r="N111" i="2"/>
  <c r="M111" i="2"/>
  <c r="N110" i="2"/>
  <c r="M110" i="2"/>
  <c r="N109" i="2"/>
  <c r="M109" i="2"/>
  <c r="N108" i="2"/>
  <c r="M108" i="2"/>
  <c r="N107" i="2"/>
  <c r="M107" i="2"/>
  <c r="N106" i="2"/>
  <c r="M106" i="2"/>
  <c r="N105" i="2"/>
  <c r="M105" i="2"/>
  <c r="N104" i="2"/>
  <c r="M104" i="2"/>
  <c r="N103" i="2"/>
  <c r="M103" i="2"/>
  <c r="N102" i="2"/>
  <c r="M102" i="2"/>
  <c r="N101" i="2"/>
  <c r="M101" i="2"/>
  <c r="N100" i="2"/>
  <c r="M100" i="2"/>
  <c r="N99" i="2"/>
  <c r="M99" i="2"/>
  <c r="N98" i="2"/>
  <c r="M98" i="2"/>
  <c r="N97" i="2"/>
  <c r="M97" i="2"/>
  <c r="N96" i="2"/>
  <c r="M96" i="2"/>
  <c r="N95" i="2"/>
  <c r="M95" i="2"/>
  <c r="N94" i="2"/>
  <c r="M94" i="2"/>
  <c r="N93" i="2"/>
  <c r="M93" i="2"/>
  <c r="N92" i="2"/>
  <c r="M92" i="2"/>
  <c r="N91" i="2"/>
  <c r="M91" i="2"/>
  <c r="N90" i="2"/>
  <c r="M90" i="2"/>
  <c r="N89" i="2"/>
  <c r="M89" i="2"/>
  <c r="N88" i="2"/>
  <c r="M88" i="2"/>
  <c r="N87" i="2"/>
  <c r="M87" i="2"/>
  <c r="N86" i="2"/>
  <c r="M86" i="2"/>
  <c r="N85" i="2"/>
  <c r="M85" i="2"/>
  <c r="N84" i="2"/>
  <c r="M84" i="2"/>
  <c r="N83" i="2"/>
  <c r="M83" i="2"/>
  <c r="N82" i="2"/>
  <c r="M82" i="2"/>
  <c r="N81" i="2"/>
  <c r="M81" i="2"/>
  <c r="N80" i="2"/>
  <c r="M80" i="2"/>
  <c r="N79" i="2"/>
  <c r="M79" i="2"/>
  <c r="N78" i="2"/>
  <c r="M78" i="2"/>
  <c r="N77" i="2"/>
  <c r="M77" i="2"/>
  <c r="N76" i="2"/>
  <c r="M76" i="2"/>
  <c r="N75" i="2"/>
  <c r="M75" i="2"/>
  <c r="N74" i="2"/>
  <c r="M74" i="2"/>
  <c r="N73" i="2"/>
  <c r="M73" i="2"/>
  <c r="N72" i="2"/>
  <c r="M72" i="2"/>
  <c r="N71" i="2"/>
  <c r="M71" i="2"/>
  <c r="N70" i="2"/>
  <c r="M70" i="2"/>
  <c r="N69" i="2"/>
  <c r="M69" i="2"/>
  <c r="N68" i="2"/>
  <c r="M68" i="2"/>
  <c r="N67" i="2"/>
  <c r="M67" i="2"/>
  <c r="N66" i="2"/>
  <c r="M66" i="2"/>
  <c r="N65" i="2"/>
  <c r="M65" i="2"/>
  <c r="N64" i="2"/>
  <c r="M64" i="2"/>
  <c r="N63" i="2"/>
  <c r="M63" i="2"/>
  <c r="N62" i="2"/>
  <c r="M62" i="2"/>
  <c r="N61" i="2"/>
  <c r="M61" i="2"/>
  <c r="N60" i="2"/>
  <c r="M60" i="2"/>
  <c r="N59" i="2"/>
  <c r="M59" i="2"/>
  <c r="N58" i="2"/>
  <c r="M58" i="2"/>
  <c r="N57" i="2"/>
  <c r="M57" i="2"/>
  <c r="N56" i="2"/>
  <c r="M56" i="2"/>
  <c r="N55" i="2"/>
  <c r="M55" i="2"/>
  <c r="N54" i="2"/>
  <c r="M54" i="2"/>
  <c r="N53" i="2"/>
  <c r="M53" i="2"/>
  <c r="N52" i="2"/>
  <c r="M52" i="2"/>
  <c r="N51" i="2"/>
  <c r="M51" i="2"/>
  <c r="N50" i="2"/>
  <c r="M50" i="2"/>
  <c r="N49" i="2"/>
  <c r="M49" i="2"/>
  <c r="N48" i="2"/>
  <c r="M48" i="2"/>
  <c r="N47" i="2"/>
  <c r="M47" i="2"/>
  <c r="N46" i="2"/>
  <c r="M46" i="2"/>
  <c r="N45" i="2"/>
  <c r="M45" i="2"/>
  <c r="N44" i="2"/>
  <c r="M44" i="2"/>
  <c r="N43" i="2"/>
  <c r="M43" i="2"/>
  <c r="N42" i="2"/>
  <c r="M42" i="2"/>
  <c r="N41" i="2"/>
  <c r="M41" i="2"/>
  <c r="N40" i="2"/>
  <c r="M40" i="2"/>
  <c r="N39" i="2"/>
  <c r="M39" i="2"/>
  <c r="N38" i="2"/>
  <c r="M38" i="2"/>
  <c r="G208" i="2" l="1"/>
  <c r="G229" i="2"/>
  <c r="G231" i="2"/>
  <c r="G238" i="2"/>
  <c r="G247" i="2"/>
  <c r="G254" i="2"/>
  <c r="G263" i="2"/>
  <c r="G270" i="2"/>
  <c r="G279" i="2"/>
  <c r="G286" i="2"/>
  <c r="G313" i="2"/>
  <c r="G321" i="2"/>
  <c r="G329" i="2"/>
  <c r="G337" i="2"/>
  <c r="G345" i="2"/>
  <c r="G353" i="2"/>
  <c r="G361" i="2"/>
  <c r="G369" i="2"/>
  <c r="G377" i="2"/>
  <c r="G385" i="2"/>
  <c r="G252" i="2"/>
  <c r="G245" i="2"/>
  <c r="G261" i="2"/>
  <c r="G284" i="2"/>
  <c r="G332" i="2"/>
  <c r="G340" i="2"/>
  <c r="G348" i="2"/>
  <c r="G356" i="2"/>
  <c r="G364" i="2"/>
  <c r="G372" i="2"/>
  <c r="G204" i="2"/>
  <c r="G224" i="2"/>
  <c r="G243" i="2"/>
  <c r="G259" i="2"/>
  <c r="G275" i="2"/>
  <c r="G291" i="2"/>
  <c r="G191" i="2"/>
  <c r="G226" i="2"/>
  <c r="G241" i="2"/>
  <c r="G257" i="2"/>
  <c r="G273" i="2"/>
  <c r="G289" i="2"/>
  <c r="G296" i="2"/>
  <c r="G301" i="2"/>
  <c r="G277" i="2"/>
  <c r="G194" i="2"/>
  <c r="G197" i="2"/>
  <c r="G210" i="2"/>
  <c r="G213" i="2"/>
  <c r="G219" i="2"/>
  <c r="G230" i="2"/>
  <c r="G232" i="2"/>
  <c r="G248" i="2"/>
  <c r="G264" i="2"/>
  <c r="G280" i="2"/>
  <c r="G396" i="2"/>
  <c r="G221" i="2"/>
  <c r="G239" i="2"/>
  <c r="G246" i="2"/>
  <c r="G255" i="2"/>
  <c r="G262" i="2"/>
  <c r="G271" i="2"/>
  <c r="G278" i="2"/>
  <c r="G287" i="2"/>
  <c r="G304" i="2"/>
  <c r="G309" i="2"/>
  <c r="G317" i="2"/>
  <c r="G325" i="2"/>
  <c r="G333" i="2"/>
  <c r="G341" i="2"/>
  <c r="G349" i="2"/>
  <c r="G357" i="2"/>
  <c r="G365" i="2"/>
  <c r="G373" i="2"/>
  <c r="G381" i="2"/>
  <c r="G389" i="2"/>
  <c r="G397" i="2"/>
  <c r="G268" i="2"/>
  <c r="G380" i="2"/>
  <c r="G237" i="2"/>
  <c r="G253" i="2"/>
  <c r="G269" i="2"/>
  <c r="G285" i="2"/>
  <c r="G299" i="2"/>
  <c r="G223" i="2"/>
  <c r="G244" i="2"/>
  <c r="G260" i="2"/>
  <c r="G276" i="2"/>
  <c r="G292" i="2"/>
  <c r="G312" i="2"/>
  <c r="G320" i="2"/>
  <c r="G328" i="2"/>
  <c r="G336" i="2"/>
  <c r="G344" i="2"/>
  <c r="G352" i="2"/>
  <c r="G360" i="2"/>
  <c r="G368" i="2"/>
  <c r="G376" i="2"/>
  <c r="G384" i="2"/>
  <c r="G392" i="2"/>
  <c r="G303" i="2"/>
  <c r="G225" i="2"/>
  <c r="G235" i="2"/>
  <c r="G251" i="2"/>
  <c r="G267" i="2"/>
  <c r="G283" i="2"/>
  <c r="G297" i="2"/>
  <c r="G307" i="2"/>
  <c r="G388" i="2"/>
  <c r="G199" i="2"/>
  <c r="G215" i="2"/>
  <c r="G218" i="2"/>
  <c r="G233" i="2"/>
  <c r="G249" i="2"/>
  <c r="G265" i="2"/>
  <c r="G281" i="2"/>
  <c r="G236" i="2"/>
  <c r="G189" i="2"/>
  <c r="G205" i="2"/>
  <c r="G227" i="2"/>
  <c r="G240" i="2"/>
  <c r="G256" i="2"/>
  <c r="G272" i="2"/>
  <c r="G288" i="2"/>
  <c r="G295" i="2"/>
  <c r="G300" i="2"/>
  <c r="G305" i="2"/>
  <c r="G311" i="2"/>
  <c r="G315" i="2"/>
  <c r="G319" i="2"/>
  <c r="G323" i="2"/>
  <c r="G327" i="2"/>
  <c r="G331" i="2"/>
  <c r="G335" i="2"/>
  <c r="G339" i="2"/>
  <c r="G343" i="2"/>
  <c r="G347" i="2"/>
  <c r="G351" i="2"/>
  <c r="G355" i="2"/>
  <c r="G359" i="2"/>
  <c r="G363" i="2"/>
  <c r="G367" i="2"/>
  <c r="G371" i="2"/>
  <c r="G375" i="2"/>
  <c r="G379" i="2"/>
  <c r="G383" i="2"/>
  <c r="G387" i="2"/>
  <c r="G391" i="2"/>
  <c r="G395" i="2"/>
  <c r="G394" i="2"/>
  <c r="F61" i="11"/>
  <c r="L63" i="11"/>
  <c r="K63" i="11"/>
  <c r="Z63" i="11"/>
  <c r="E63" i="11" s="1"/>
  <c r="D63" i="11" s="1"/>
  <c r="C62" i="11"/>
  <c r="B64" i="11"/>
  <c r="Q43" i="10"/>
  <c r="R43" i="10"/>
  <c r="H44" i="10"/>
  <c r="R44" i="10" s="1"/>
  <c r="D39" i="2"/>
  <c r="E39" i="2" s="1"/>
  <c r="D38" i="2"/>
  <c r="F62" i="11" l="1"/>
  <c r="L64" i="11"/>
  <c r="K64" i="11"/>
  <c r="Z64" i="11"/>
  <c r="E64" i="11" s="1"/>
  <c r="D64" i="11" s="1"/>
  <c r="C63" i="11"/>
  <c r="B65" i="11"/>
  <c r="Q44" i="10"/>
  <c r="H45" i="10"/>
  <c r="U45" i="10" s="1"/>
  <c r="V45" i="10" s="1"/>
  <c r="U44" i="10"/>
  <c r="V44" i="10" s="1"/>
  <c r="E38" i="2"/>
  <c r="G38" i="2" s="1"/>
  <c r="H38" i="2" s="1"/>
  <c r="D40" i="2"/>
  <c r="D42" i="2"/>
  <c r="E42" i="2" s="1"/>
  <c r="D41" i="2"/>
  <c r="E41" i="2" s="1"/>
  <c r="D43" i="2"/>
  <c r="E43" i="2" s="1"/>
  <c r="F63" i="11" l="1"/>
  <c r="L65" i="11"/>
  <c r="K65" i="11"/>
  <c r="Z65" i="11"/>
  <c r="E65" i="11" s="1"/>
  <c r="D65" i="11" s="1"/>
  <c r="C64" i="11"/>
  <c r="B66" i="11"/>
  <c r="R45" i="10"/>
  <c r="Q45" i="10"/>
  <c r="H46" i="10"/>
  <c r="H47" i="10" s="1"/>
  <c r="G39" i="2"/>
  <c r="H39" i="2" s="1"/>
  <c r="E40" i="2"/>
  <c r="G42" i="2"/>
  <c r="U38" i="2"/>
  <c r="V38" i="2" s="1"/>
  <c r="D44" i="2"/>
  <c r="E44" i="2" s="1"/>
  <c r="G43" i="2"/>
  <c r="F64" i="11" l="1"/>
  <c r="K66" i="11"/>
  <c r="L66" i="11"/>
  <c r="Z66" i="11"/>
  <c r="E66" i="11" s="1"/>
  <c r="D66" i="11" s="1"/>
  <c r="C65" i="11"/>
  <c r="B67" i="11"/>
  <c r="U46" i="10"/>
  <c r="V46" i="10" s="1"/>
  <c r="Q46" i="10"/>
  <c r="R46" i="10"/>
  <c r="U47" i="10"/>
  <c r="V47" i="10" s="1"/>
  <c r="H48" i="10"/>
  <c r="R47" i="10"/>
  <c r="Q47" i="10"/>
  <c r="G40" i="2"/>
  <c r="H40" i="2" s="1"/>
  <c r="U40" i="2" s="1"/>
  <c r="V40" i="2" s="1"/>
  <c r="G41" i="2"/>
  <c r="U39" i="2"/>
  <c r="V39" i="2" s="1"/>
  <c r="D45" i="2"/>
  <c r="E45" i="2" s="1"/>
  <c r="G44" i="2"/>
  <c r="F65" i="11" l="1"/>
  <c r="K67" i="11"/>
  <c r="L67" i="11"/>
  <c r="Z67" i="11"/>
  <c r="E67" i="11" s="1"/>
  <c r="D67" i="11" s="1"/>
  <c r="C66" i="11"/>
  <c r="B68" i="11"/>
  <c r="U48" i="10"/>
  <c r="V48" i="10" s="1"/>
  <c r="H49" i="10"/>
  <c r="Q48" i="10"/>
  <c r="R48" i="10"/>
  <c r="H41" i="2"/>
  <c r="U41" i="2" s="1"/>
  <c r="V41" i="2" s="1"/>
  <c r="G45" i="2"/>
  <c r="D46" i="2"/>
  <c r="E46" i="2" s="1"/>
  <c r="F66" i="11" l="1"/>
  <c r="L68" i="11"/>
  <c r="K68" i="11"/>
  <c r="Z68" i="11"/>
  <c r="E68" i="11" s="1"/>
  <c r="D68" i="11" s="1"/>
  <c r="C67" i="11"/>
  <c r="B69" i="11"/>
  <c r="U49" i="10"/>
  <c r="V49" i="10" s="1"/>
  <c r="H50" i="10"/>
  <c r="R49" i="10"/>
  <c r="Q49" i="10"/>
  <c r="H42" i="2"/>
  <c r="H43" i="2" s="1"/>
  <c r="H44" i="2" s="1"/>
  <c r="U44" i="2" s="1"/>
  <c r="V44" i="2" s="1"/>
  <c r="G46" i="2"/>
  <c r="D47" i="2"/>
  <c r="E47" i="2" s="1"/>
  <c r="F67" i="11" l="1"/>
  <c r="L69" i="11"/>
  <c r="K69" i="11"/>
  <c r="Z69" i="11"/>
  <c r="E69" i="11" s="1"/>
  <c r="D69" i="11" s="1"/>
  <c r="C68" i="11"/>
  <c r="B70" i="11"/>
  <c r="U50" i="10"/>
  <c r="V50" i="10" s="1"/>
  <c r="H51" i="10"/>
  <c r="Q50" i="10"/>
  <c r="R50" i="10"/>
  <c r="H45" i="2"/>
  <c r="U45" i="2" s="1"/>
  <c r="V45" i="2" s="1"/>
  <c r="U42" i="2"/>
  <c r="V42" i="2" s="1"/>
  <c r="U43" i="2"/>
  <c r="V43" i="2" s="1"/>
  <c r="D48" i="2"/>
  <c r="E48" i="2" s="1"/>
  <c r="G47" i="2"/>
  <c r="F68" i="11" l="1"/>
  <c r="L70" i="11"/>
  <c r="K70" i="11"/>
  <c r="Z70" i="11"/>
  <c r="E70" i="11" s="1"/>
  <c r="D70" i="11" s="1"/>
  <c r="C69" i="11"/>
  <c r="B71" i="11"/>
  <c r="U51" i="10"/>
  <c r="V51" i="10" s="1"/>
  <c r="H52" i="10"/>
  <c r="Q51" i="10"/>
  <c r="R51" i="10"/>
  <c r="H46" i="2"/>
  <c r="U46" i="2" s="1"/>
  <c r="V46" i="2" s="1"/>
  <c r="D49" i="2"/>
  <c r="E49" i="2" s="1"/>
  <c r="G48" i="2"/>
  <c r="F69" i="11" l="1"/>
  <c r="L71" i="11"/>
  <c r="K71" i="11"/>
  <c r="Z71" i="11"/>
  <c r="E71" i="11" s="1"/>
  <c r="D71" i="11" s="1"/>
  <c r="C70" i="11"/>
  <c r="B72" i="11"/>
  <c r="U52" i="10"/>
  <c r="V52" i="10" s="1"/>
  <c r="H53" i="10"/>
  <c r="R52" i="10"/>
  <c r="Q52" i="10"/>
  <c r="H47" i="2"/>
  <c r="U47" i="2" s="1"/>
  <c r="V47" i="2" s="1"/>
  <c r="D50" i="2"/>
  <c r="E50" i="2" s="1"/>
  <c r="G49" i="2"/>
  <c r="F70" i="11" l="1"/>
  <c r="L72" i="11"/>
  <c r="K72" i="11"/>
  <c r="Z72" i="11"/>
  <c r="E72" i="11" s="1"/>
  <c r="D72" i="11" s="1"/>
  <c r="C71" i="11"/>
  <c r="B73" i="11"/>
  <c r="U53" i="10"/>
  <c r="V53" i="10" s="1"/>
  <c r="H54" i="10"/>
  <c r="R53" i="10"/>
  <c r="Q53" i="10"/>
  <c r="H48" i="2"/>
  <c r="U48" i="2" s="1"/>
  <c r="V48" i="2" s="1"/>
  <c r="G50" i="2"/>
  <c r="D51" i="2"/>
  <c r="E51" i="2" s="1"/>
  <c r="F71" i="11" l="1"/>
  <c r="L73" i="11"/>
  <c r="K73" i="11"/>
  <c r="Z73" i="11"/>
  <c r="E73" i="11" s="1"/>
  <c r="D73" i="11" s="1"/>
  <c r="C72" i="11"/>
  <c r="B74" i="11"/>
  <c r="U54" i="10"/>
  <c r="V54" i="10" s="1"/>
  <c r="H55" i="10"/>
  <c r="Q54" i="10"/>
  <c r="R54" i="10"/>
  <c r="H49" i="2"/>
  <c r="U49" i="2" s="1"/>
  <c r="V49" i="2" s="1"/>
  <c r="D52" i="2"/>
  <c r="E52" i="2" s="1"/>
  <c r="G51" i="2"/>
  <c r="F72" i="11" l="1"/>
  <c r="L74" i="11"/>
  <c r="K74" i="11"/>
  <c r="Z74" i="11"/>
  <c r="E74" i="11" s="1"/>
  <c r="D74" i="11" s="1"/>
  <c r="C73" i="11"/>
  <c r="B75" i="11"/>
  <c r="U55" i="10"/>
  <c r="V55" i="10" s="1"/>
  <c r="H56" i="10"/>
  <c r="Q55" i="10"/>
  <c r="R55" i="10"/>
  <c r="H50" i="2"/>
  <c r="H51" i="2" s="1"/>
  <c r="G52" i="2"/>
  <c r="D53" i="2"/>
  <c r="E53" i="2" s="1"/>
  <c r="F73" i="11" l="1"/>
  <c r="L75" i="11"/>
  <c r="K75" i="11"/>
  <c r="Z75" i="11"/>
  <c r="E75" i="11" s="1"/>
  <c r="D75" i="11" s="1"/>
  <c r="C74" i="11"/>
  <c r="B76" i="11"/>
  <c r="U56" i="10"/>
  <c r="V56" i="10" s="1"/>
  <c r="H57" i="10"/>
  <c r="Q56" i="10"/>
  <c r="R56" i="10"/>
  <c r="U50" i="2"/>
  <c r="V50" i="2" s="1"/>
  <c r="G53" i="2"/>
  <c r="D54" i="2"/>
  <c r="E54" i="2" s="1"/>
  <c r="U51" i="2"/>
  <c r="V51" i="2" s="1"/>
  <c r="H52" i="2"/>
  <c r="F74" i="11" l="1"/>
  <c r="L76" i="11"/>
  <c r="K76" i="11"/>
  <c r="Z76" i="11"/>
  <c r="E76" i="11" s="1"/>
  <c r="D76" i="11" s="1"/>
  <c r="C75" i="11"/>
  <c r="B77" i="11"/>
  <c r="U57" i="10"/>
  <c r="V57" i="10" s="1"/>
  <c r="H58" i="10"/>
  <c r="Q57" i="10"/>
  <c r="R57" i="10"/>
  <c r="D55" i="2"/>
  <c r="E55" i="2" s="1"/>
  <c r="G54" i="2"/>
  <c r="U52" i="2"/>
  <c r="V52" i="2" s="1"/>
  <c r="H53" i="2"/>
  <c r="F75" i="11" l="1"/>
  <c r="L77" i="11"/>
  <c r="K77" i="11"/>
  <c r="Z77" i="11"/>
  <c r="E77" i="11" s="1"/>
  <c r="D77" i="11" s="1"/>
  <c r="C76" i="11"/>
  <c r="B78" i="11"/>
  <c r="U58" i="10"/>
  <c r="V58" i="10" s="1"/>
  <c r="H59" i="10"/>
  <c r="Q58" i="10"/>
  <c r="R58" i="10"/>
  <c r="G55" i="2"/>
  <c r="H54" i="2"/>
  <c r="U53" i="2"/>
  <c r="V53" i="2" s="1"/>
  <c r="D56" i="2"/>
  <c r="E56" i="2" s="1"/>
  <c r="F76" i="11" l="1"/>
  <c r="K78" i="11"/>
  <c r="L78" i="11"/>
  <c r="Z78" i="11"/>
  <c r="E78" i="11" s="1"/>
  <c r="D78" i="11" s="1"/>
  <c r="C77" i="11"/>
  <c r="B79" i="11"/>
  <c r="U59" i="10"/>
  <c r="V59" i="10" s="1"/>
  <c r="H60" i="10"/>
  <c r="R59" i="10"/>
  <c r="Q59" i="10"/>
  <c r="U54" i="2"/>
  <c r="V54" i="2" s="1"/>
  <c r="D57" i="2"/>
  <c r="E57" i="2" s="1"/>
  <c r="H55" i="2"/>
  <c r="G56" i="2"/>
  <c r="F77" i="11" l="1"/>
  <c r="L79" i="11"/>
  <c r="K79" i="11"/>
  <c r="Z79" i="11"/>
  <c r="E79" i="11" s="1"/>
  <c r="D79" i="11" s="1"/>
  <c r="C78" i="11"/>
  <c r="B80" i="11"/>
  <c r="U60" i="10"/>
  <c r="V60" i="10" s="1"/>
  <c r="H61" i="10"/>
  <c r="R60" i="10"/>
  <c r="Q60" i="10"/>
  <c r="U55" i="2"/>
  <c r="V55" i="2" s="1"/>
  <c r="D58" i="2"/>
  <c r="E58" i="2" s="1"/>
  <c r="G57" i="2"/>
  <c r="H56" i="2"/>
  <c r="F78" i="11" l="1"/>
  <c r="L80" i="11"/>
  <c r="K80" i="11"/>
  <c r="Z80" i="11"/>
  <c r="E80" i="11" s="1"/>
  <c r="D80" i="11" s="1"/>
  <c r="C79" i="11"/>
  <c r="B81" i="11"/>
  <c r="U61" i="10"/>
  <c r="V61" i="10" s="1"/>
  <c r="H62" i="10"/>
  <c r="Q61" i="10"/>
  <c r="R61" i="10"/>
  <c r="H57" i="2"/>
  <c r="D59" i="2"/>
  <c r="E59" i="2" s="1"/>
  <c r="G58" i="2"/>
  <c r="U56" i="2"/>
  <c r="V56" i="2" s="1"/>
  <c r="F79" i="11" l="1"/>
  <c r="L81" i="11"/>
  <c r="K81" i="11"/>
  <c r="Z81" i="11"/>
  <c r="E81" i="11" s="1"/>
  <c r="D81" i="11" s="1"/>
  <c r="C80" i="11"/>
  <c r="B82" i="11"/>
  <c r="U62" i="10"/>
  <c r="V62" i="10" s="1"/>
  <c r="H63" i="10"/>
  <c r="Q62" i="10"/>
  <c r="R62" i="10"/>
  <c r="D60" i="2"/>
  <c r="E60" i="2" s="1"/>
  <c r="G59" i="2"/>
  <c r="H58" i="2"/>
  <c r="U57" i="2"/>
  <c r="V57" i="2" s="1"/>
  <c r="F80" i="11" l="1"/>
  <c r="K82" i="11"/>
  <c r="L82" i="11"/>
  <c r="Z82" i="11"/>
  <c r="E82" i="11" s="1"/>
  <c r="D82" i="11" s="1"/>
  <c r="C81" i="11"/>
  <c r="B83" i="11"/>
  <c r="U63" i="10"/>
  <c r="V63" i="10" s="1"/>
  <c r="H64" i="10"/>
  <c r="R63" i="10"/>
  <c r="Q63" i="10"/>
  <c r="H59" i="2"/>
  <c r="U58" i="2"/>
  <c r="V58" i="2" s="1"/>
  <c r="G60" i="2"/>
  <c r="D61" i="2"/>
  <c r="E61" i="2" s="1"/>
  <c r="F81" i="11" l="1"/>
  <c r="K83" i="11"/>
  <c r="L83" i="11"/>
  <c r="Z83" i="11"/>
  <c r="E83" i="11" s="1"/>
  <c r="D83" i="11" s="1"/>
  <c r="C82" i="11"/>
  <c r="B84" i="11"/>
  <c r="U64" i="10"/>
  <c r="V64" i="10" s="1"/>
  <c r="H65" i="10"/>
  <c r="Q64" i="10"/>
  <c r="R64" i="10"/>
  <c r="U59" i="2"/>
  <c r="V59" i="2" s="1"/>
  <c r="G61" i="2"/>
  <c r="D62" i="2"/>
  <c r="E62" i="2" s="1"/>
  <c r="H60" i="2"/>
  <c r="F82" i="11" l="1"/>
  <c r="L84" i="11"/>
  <c r="K84" i="11"/>
  <c r="Z84" i="11"/>
  <c r="E84" i="11" s="1"/>
  <c r="D84" i="11" s="1"/>
  <c r="C83" i="11"/>
  <c r="B85" i="11"/>
  <c r="U65" i="10"/>
  <c r="V65" i="10" s="1"/>
  <c r="H66" i="10"/>
  <c r="R65" i="10"/>
  <c r="Q65" i="10"/>
  <c r="D63" i="2"/>
  <c r="E63" i="2" s="1"/>
  <c r="H61" i="2"/>
  <c r="G62" i="2"/>
  <c r="U60" i="2"/>
  <c r="V60" i="2" s="1"/>
  <c r="F83" i="11" l="1"/>
  <c r="L85" i="11"/>
  <c r="K85" i="11"/>
  <c r="Z85" i="11"/>
  <c r="E85" i="11" s="1"/>
  <c r="D85" i="11" s="1"/>
  <c r="C84" i="11"/>
  <c r="B86" i="11"/>
  <c r="U66" i="10"/>
  <c r="V66" i="10" s="1"/>
  <c r="H67" i="10"/>
  <c r="Q66" i="10"/>
  <c r="R66" i="10"/>
  <c r="H62" i="2"/>
  <c r="U61" i="2"/>
  <c r="V61" i="2" s="1"/>
  <c r="G63" i="2"/>
  <c r="D64" i="2"/>
  <c r="E64" i="2" s="1"/>
  <c r="F84" i="11" l="1"/>
  <c r="L86" i="11"/>
  <c r="K86" i="11"/>
  <c r="Z86" i="11"/>
  <c r="E86" i="11" s="1"/>
  <c r="D86" i="11" s="1"/>
  <c r="C85" i="11"/>
  <c r="B87" i="11"/>
  <c r="U67" i="10"/>
  <c r="V67" i="10" s="1"/>
  <c r="H68" i="10"/>
  <c r="Q67" i="10"/>
  <c r="R67" i="10"/>
  <c r="D65" i="2"/>
  <c r="E65" i="2" s="1"/>
  <c r="U62" i="2"/>
  <c r="V62" i="2" s="1"/>
  <c r="G64" i="2"/>
  <c r="H63" i="2"/>
  <c r="F85" i="11" l="1"/>
  <c r="L87" i="11"/>
  <c r="K87" i="11"/>
  <c r="Z87" i="11"/>
  <c r="E87" i="11" s="1"/>
  <c r="D87" i="11" s="1"/>
  <c r="C86" i="11"/>
  <c r="B88" i="11"/>
  <c r="U68" i="10"/>
  <c r="V68" i="10" s="1"/>
  <c r="H69" i="10"/>
  <c r="R68" i="10"/>
  <c r="Q68" i="10"/>
  <c r="H64" i="2"/>
  <c r="G65" i="2"/>
  <c r="U63" i="2"/>
  <c r="V63" i="2" s="1"/>
  <c r="D66" i="2"/>
  <c r="E66" i="2" s="1"/>
  <c r="F86" i="11" l="1"/>
  <c r="L88" i="11"/>
  <c r="K88" i="11"/>
  <c r="Z88" i="11"/>
  <c r="E88" i="11" s="1"/>
  <c r="D88" i="11" s="1"/>
  <c r="C87" i="11"/>
  <c r="B89" i="11"/>
  <c r="U69" i="10"/>
  <c r="V69" i="10" s="1"/>
  <c r="H70" i="10"/>
  <c r="Q69" i="10"/>
  <c r="R69" i="10"/>
  <c r="H65" i="2"/>
  <c r="U64" i="2"/>
  <c r="V64" i="2" s="1"/>
  <c r="G66" i="2"/>
  <c r="D67" i="2"/>
  <c r="E67" i="2" s="1"/>
  <c r="F87" i="11" l="1"/>
  <c r="L89" i="11"/>
  <c r="K89" i="11"/>
  <c r="Z89" i="11"/>
  <c r="E89" i="11" s="1"/>
  <c r="D89" i="11" s="1"/>
  <c r="C88" i="11"/>
  <c r="B90" i="11"/>
  <c r="U70" i="10"/>
  <c r="V70" i="10" s="1"/>
  <c r="H71" i="10"/>
  <c r="R70" i="10"/>
  <c r="Q70" i="10"/>
  <c r="H66" i="2"/>
  <c r="D68" i="2"/>
  <c r="E68" i="2" s="1"/>
  <c r="G67" i="2"/>
  <c r="U65" i="2"/>
  <c r="V65" i="2" s="1"/>
  <c r="F88" i="11" l="1"/>
  <c r="K90" i="11"/>
  <c r="L90" i="11"/>
  <c r="Z90" i="11"/>
  <c r="E90" i="11" s="1"/>
  <c r="D90" i="11" s="1"/>
  <c r="C89" i="11"/>
  <c r="B91" i="11"/>
  <c r="U71" i="10"/>
  <c r="V71" i="10" s="1"/>
  <c r="H72" i="10"/>
  <c r="Q71" i="10"/>
  <c r="R71" i="10"/>
  <c r="H67" i="2"/>
  <c r="G68" i="2"/>
  <c r="D69" i="2"/>
  <c r="E69" i="2" s="1"/>
  <c r="U66" i="2"/>
  <c r="V66" i="2" s="1"/>
  <c r="F89" i="11" l="1"/>
  <c r="L91" i="11"/>
  <c r="K91" i="11"/>
  <c r="Z91" i="11"/>
  <c r="E91" i="11" s="1"/>
  <c r="D91" i="11" s="1"/>
  <c r="C90" i="11"/>
  <c r="B92" i="11"/>
  <c r="U72" i="10"/>
  <c r="V72" i="10" s="1"/>
  <c r="H73" i="10"/>
  <c r="Q72" i="10"/>
  <c r="R72" i="10"/>
  <c r="D70" i="2"/>
  <c r="E70" i="2" s="1"/>
  <c r="H68" i="2"/>
  <c r="G69" i="2"/>
  <c r="U67" i="2"/>
  <c r="V67" i="2" s="1"/>
  <c r="F90" i="11" l="1"/>
  <c r="L92" i="11"/>
  <c r="K92" i="11"/>
  <c r="Z92" i="11"/>
  <c r="E92" i="11" s="1"/>
  <c r="D92" i="11" s="1"/>
  <c r="C91" i="11"/>
  <c r="B93" i="11"/>
  <c r="U73" i="10"/>
  <c r="V73" i="10" s="1"/>
  <c r="H74" i="10"/>
  <c r="R73" i="10"/>
  <c r="Q73" i="10"/>
  <c r="H69" i="2"/>
  <c r="U68" i="2"/>
  <c r="V68" i="2" s="1"/>
  <c r="G70" i="2"/>
  <c r="D71" i="2"/>
  <c r="E71" i="2" s="1"/>
  <c r="F91" i="11" l="1"/>
  <c r="L93" i="11"/>
  <c r="K93" i="11"/>
  <c r="Z93" i="11"/>
  <c r="E93" i="11" s="1"/>
  <c r="D93" i="11" s="1"/>
  <c r="C92" i="11"/>
  <c r="B94" i="11"/>
  <c r="U74" i="10"/>
  <c r="V74" i="10" s="1"/>
  <c r="H75" i="10"/>
  <c r="R74" i="10"/>
  <c r="Q74" i="10"/>
  <c r="G71" i="2"/>
  <c r="U69" i="2"/>
  <c r="V69" i="2" s="1"/>
  <c r="D72" i="2"/>
  <c r="E72" i="2" s="1"/>
  <c r="H70" i="2"/>
  <c r="F92" i="11" l="1"/>
  <c r="K94" i="11"/>
  <c r="L94" i="11"/>
  <c r="Z94" i="11"/>
  <c r="E94" i="11" s="1"/>
  <c r="D94" i="11" s="1"/>
  <c r="C93" i="11"/>
  <c r="B95" i="11"/>
  <c r="U75" i="10"/>
  <c r="V75" i="10" s="1"/>
  <c r="H76" i="10"/>
  <c r="R75" i="10"/>
  <c r="Q75" i="10"/>
  <c r="D73" i="2"/>
  <c r="G72" i="2"/>
  <c r="U70" i="2"/>
  <c r="V70" i="2" s="1"/>
  <c r="H71" i="2"/>
  <c r="F93" i="11" l="1"/>
  <c r="K95" i="11"/>
  <c r="L95" i="11"/>
  <c r="Z95" i="11"/>
  <c r="E95" i="11" s="1"/>
  <c r="D95" i="11" s="1"/>
  <c r="C94" i="11"/>
  <c r="B96" i="11"/>
  <c r="U76" i="10"/>
  <c r="V76" i="10" s="1"/>
  <c r="H77" i="10"/>
  <c r="R76" i="10"/>
  <c r="Q76" i="10"/>
  <c r="E73" i="2"/>
  <c r="G73" i="2" s="1"/>
  <c r="D74" i="2"/>
  <c r="E74" i="2" s="1"/>
  <c r="U71" i="2"/>
  <c r="V71" i="2" s="1"/>
  <c r="H72" i="2"/>
  <c r="F94" i="11" l="1"/>
  <c r="L96" i="11"/>
  <c r="K96" i="11"/>
  <c r="Z96" i="11"/>
  <c r="E96" i="11" s="1"/>
  <c r="D96" i="11" s="1"/>
  <c r="C95" i="11"/>
  <c r="B97" i="11"/>
  <c r="U77" i="10"/>
  <c r="V77" i="10" s="1"/>
  <c r="H78" i="10"/>
  <c r="Q77" i="10"/>
  <c r="R77" i="10"/>
  <c r="H73" i="2"/>
  <c r="U73" i="2" s="1"/>
  <c r="V73" i="2" s="1"/>
  <c r="G74" i="2"/>
  <c r="D75" i="2"/>
  <c r="E75" i="2" s="1"/>
  <c r="U72" i="2"/>
  <c r="V72" i="2" s="1"/>
  <c r="F95" i="11" l="1"/>
  <c r="L97" i="11"/>
  <c r="K97" i="11"/>
  <c r="Z97" i="11"/>
  <c r="E97" i="11" s="1"/>
  <c r="D97" i="11" s="1"/>
  <c r="C96" i="11"/>
  <c r="B98" i="11"/>
  <c r="U78" i="10"/>
  <c r="V78" i="10" s="1"/>
  <c r="H79" i="10"/>
  <c r="Q78" i="10"/>
  <c r="R78" i="10"/>
  <c r="H74" i="2"/>
  <c r="D76" i="2"/>
  <c r="E76" i="2" s="1"/>
  <c r="G75" i="2"/>
  <c r="F96" i="11" l="1"/>
  <c r="L98" i="11"/>
  <c r="K98" i="11"/>
  <c r="Z98" i="11"/>
  <c r="E98" i="11" s="1"/>
  <c r="D98" i="11" s="1"/>
  <c r="C97" i="11"/>
  <c r="B99" i="11"/>
  <c r="U79" i="10"/>
  <c r="V79" i="10" s="1"/>
  <c r="H80" i="10"/>
  <c r="R79" i="10"/>
  <c r="Q79" i="10"/>
  <c r="U74" i="2"/>
  <c r="V74" i="2" s="1"/>
  <c r="H75" i="2"/>
  <c r="D77" i="2"/>
  <c r="E77" i="2" s="1"/>
  <c r="G76" i="2"/>
  <c r="F97" i="11" l="1"/>
  <c r="K99" i="11"/>
  <c r="L99" i="11"/>
  <c r="Z99" i="11"/>
  <c r="E99" i="11" s="1"/>
  <c r="D99" i="11" s="1"/>
  <c r="C98" i="11"/>
  <c r="B100" i="11"/>
  <c r="U80" i="10"/>
  <c r="V80" i="10" s="1"/>
  <c r="H81" i="10"/>
  <c r="R80" i="10"/>
  <c r="Q80" i="10"/>
  <c r="U75" i="2"/>
  <c r="V75" i="2" s="1"/>
  <c r="H76" i="2"/>
  <c r="D78" i="2"/>
  <c r="E78" i="2" s="1"/>
  <c r="G77" i="2"/>
  <c r="F98" i="11" l="1"/>
  <c r="L100" i="11"/>
  <c r="K100" i="11"/>
  <c r="Z100" i="11"/>
  <c r="E100" i="11" s="1"/>
  <c r="D100" i="11" s="1"/>
  <c r="C99" i="11"/>
  <c r="B101" i="11"/>
  <c r="U81" i="10"/>
  <c r="V81" i="10" s="1"/>
  <c r="H82" i="10"/>
  <c r="Q81" i="10"/>
  <c r="R81" i="10"/>
  <c r="U76" i="2"/>
  <c r="V76" i="2" s="1"/>
  <c r="H77" i="2"/>
  <c r="G78" i="2"/>
  <c r="D79" i="2"/>
  <c r="E79" i="2" s="1"/>
  <c r="F99" i="11" l="1"/>
  <c r="L101" i="11"/>
  <c r="K101" i="11"/>
  <c r="Z101" i="11"/>
  <c r="E101" i="11" s="1"/>
  <c r="D101" i="11" s="1"/>
  <c r="C100" i="11"/>
  <c r="B102" i="11"/>
  <c r="U82" i="10"/>
  <c r="V82" i="10" s="1"/>
  <c r="H83" i="10"/>
  <c r="Q82" i="10"/>
  <c r="R82" i="10"/>
  <c r="U77" i="2"/>
  <c r="V77" i="2" s="1"/>
  <c r="H78" i="2"/>
  <c r="G79" i="2"/>
  <c r="D80" i="2"/>
  <c r="E80" i="2" s="1"/>
  <c r="F100" i="11" l="1"/>
  <c r="K102" i="11"/>
  <c r="L102" i="11"/>
  <c r="Z102" i="11"/>
  <c r="E102" i="11" s="1"/>
  <c r="D102" i="11" s="1"/>
  <c r="C101" i="11"/>
  <c r="B103" i="11"/>
  <c r="U83" i="10"/>
  <c r="V83" i="10" s="1"/>
  <c r="H84" i="10"/>
  <c r="R83" i="10"/>
  <c r="Q83" i="10"/>
  <c r="U78" i="2"/>
  <c r="V78" i="2" s="1"/>
  <c r="H79" i="2"/>
  <c r="G80" i="2"/>
  <c r="D81" i="2"/>
  <c r="E81" i="2" s="1"/>
  <c r="F101" i="11" l="1"/>
  <c r="L103" i="11"/>
  <c r="K103" i="11"/>
  <c r="Z103" i="11"/>
  <c r="E103" i="11" s="1"/>
  <c r="D103" i="11" s="1"/>
  <c r="C102" i="11"/>
  <c r="B104" i="11"/>
  <c r="U84" i="10"/>
  <c r="V84" i="10" s="1"/>
  <c r="H85" i="10"/>
  <c r="Q84" i="10"/>
  <c r="R84" i="10"/>
  <c r="U79" i="2"/>
  <c r="V79" i="2" s="1"/>
  <c r="H80" i="2"/>
  <c r="D82" i="2"/>
  <c r="E82" i="2" s="1"/>
  <c r="G81" i="2"/>
  <c r="F102" i="11" l="1"/>
  <c r="L104" i="11"/>
  <c r="K104" i="11"/>
  <c r="Z104" i="11"/>
  <c r="E104" i="11" s="1"/>
  <c r="D104" i="11" s="1"/>
  <c r="C103" i="11"/>
  <c r="B105" i="11"/>
  <c r="U85" i="10"/>
  <c r="V85" i="10" s="1"/>
  <c r="H86" i="10"/>
  <c r="Q85" i="10"/>
  <c r="R85" i="10"/>
  <c r="U80" i="2"/>
  <c r="V80" i="2" s="1"/>
  <c r="H81" i="2"/>
  <c r="G82" i="2"/>
  <c r="D83" i="2"/>
  <c r="E83" i="2" s="1"/>
  <c r="F103" i="11" l="1"/>
  <c r="L105" i="11"/>
  <c r="K105" i="11"/>
  <c r="Z105" i="11"/>
  <c r="E105" i="11" s="1"/>
  <c r="D105" i="11" s="1"/>
  <c r="C104" i="11"/>
  <c r="B106" i="11"/>
  <c r="U86" i="10"/>
  <c r="V86" i="10" s="1"/>
  <c r="H87" i="10"/>
  <c r="R86" i="10"/>
  <c r="Q86" i="10"/>
  <c r="U81" i="2"/>
  <c r="V81" i="2" s="1"/>
  <c r="H82" i="2"/>
  <c r="D84" i="2"/>
  <c r="E84" i="2" s="1"/>
  <c r="G83" i="2"/>
  <c r="F104" i="11" l="1"/>
  <c r="L106" i="11"/>
  <c r="K106" i="11"/>
  <c r="Z106" i="11"/>
  <c r="E106" i="11" s="1"/>
  <c r="D106" i="11" s="1"/>
  <c r="C105" i="11"/>
  <c r="B107" i="11"/>
  <c r="U87" i="10"/>
  <c r="V87" i="10" s="1"/>
  <c r="H88" i="10"/>
  <c r="R87" i="10"/>
  <c r="Q87" i="10"/>
  <c r="U82" i="2"/>
  <c r="V82" i="2" s="1"/>
  <c r="H83" i="2"/>
  <c r="D85" i="2"/>
  <c r="G84" i="2"/>
  <c r="F105" i="11" l="1"/>
  <c r="K107" i="11"/>
  <c r="L107" i="11"/>
  <c r="Z107" i="11"/>
  <c r="E107" i="11" s="1"/>
  <c r="D107" i="11" s="1"/>
  <c r="C106" i="11"/>
  <c r="B108" i="11"/>
  <c r="U88" i="10"/>
  <c r="V88" i="10" s="1"/>
  <c r="H89" i="10"/>
  <c r="Q88" i="10"/>
  <c r="R88" i="10"/>
  <c r="E85" i="2"/>
  <c r="G85" i="2" s="1"/>
  <c r="U83" i="2"/>
  <c r="V83" i="2" s="1"/>
  <c r="D86" i="2"/>
  <c r="E86" i="2" s="1"/>
  <c r="H84" i="2"/>
  <c r="F106" i="11" l="1"/>
  <c r="L108" i="11"/>
  <c r="K108" i="11"/>
  <c r="Z108" i="11"/>
  <c r="E108" i="11" s="1"/>
  <c r="D108" i="11" s="1"/>
  <c r="C107" i="11"/>
  <c r="B109" i="11"/>
  <c r="U89" i="10"/>
  <c r="V89" i="10" s="1"/>
  <c r="H90" i="10"/>
  <c r="Q89" i="10"/>
  <c r="R89" i="10"/>
  <c r="G86" i="2"/>
  <c r="D87" i="2"/>
  <c r="E87" i="2" s="1"/>
  <c r="U84" i="2"/>
  <c r="V84" i="2" s="1"/>
  <c r="H85" i="2"/>
  <c r="F107" i="11" l="1"/>
  <c r="L109" i="11"/>
  <c r="K109" i="11"/>
  <c r="Z109" i="11"/>
  <c r="E109" i="11" s="1"/>
  <c r="D109" i="11" s="1"/>
  <c r="C108" i="11"/>
  <c r="B110" i="11"/>
  <c r="U90" i="10"/>
  <c r="V90" i="10" s="1"/>
  <c r="H91" i="10"/>
  <c r="R90" i="10"/>
  <c r="Q90" i="10"/>
  <c r="D88" i="2"/>
  <c r="E88" i="2" s="1"/>
  <c r="G87" i="2"/>
  <c r="H86" i="2"/>
  <c r="U85" i="2"/>
  <c r="V85" i="2" s="1"/>
  <c r="F108" i="11" l="1"/>
  <c r="L110" i="11"/>
  <c r="K110" i="11"/>
  <c r="Z110" i="11"/>
  <c r="E110" i="11" s="1"/>
  <c r="D110" i="11" s="1"/>
  <c r="C109" i="11"/>
  <c r="B111" i="11"/>
  <c r="U91" i="10"/>
  <c r="V91" i="10" s="1"/>
  <c r="H92" i="10"/>
  <c r="Q91" i="10"/>
  <c r="R91" i="10"/>
  <c r="D89" i="2"/>
  <c r="E89" i="2" s="1"/>
  <c r="G88" i="2"/>
  <c r="H87" i="2"/>
  <c r="U86" i="2"/>
  <c r="V86" i="2" s="1"/>
  <c r="F109" i="11" l="1"/>
  <c r="L111" i="11"/>
  <c r="K111" i="11"/>
  <c r="Z111" i="11"/>
  <c r="E111" i="11" s="1"/>
  <c r="D111" i="11" s="1"/>
  <c r="C110" i="11"/>
  <c r="B112" i="11"/>
  <c r="U92" i="10"/>
  <c r="V92" i="10" s="1"/>
  <c r="H93" i="10"/>
  <c r="R92" i="10"/>
  <c r="Q92" i="10"/>
  <c r="U87" i="2"/>
  <c r="V87" i="2" s="1"/>
  <c r="H88" i="2"/>
  <c r="D90" i="2"/>
  <c r="E90" i="2" s="1"/>
  <c r="G89" i="2"/>
  <c r="F110" i="11" l="1"/>
  <c r="L112" i="11"/>
  <c r="K112" i="11"/>
  <c r="Z112" i="11"/>
  <c r="E112" i="11" s="1"/>
  <c r="D112" i="11" s="1"/>
  <c r="C111" i="11"/>
  <c r="B113" i="11"/>
  <c r="U93" i="10"/>
  <c r="V93" i="10" s="1"/>
  <c r="H94" i="10"/>
  <c r="R93" i="10"/>
  <c r="Q93" i="10"/>
  <c r="H89" i="2"/>
  <c r="U88" i="2"/>
  <c r="V88" i="2" s="1"/>
  <c r="D91" i="2"/>
  <c r="E91" i="2" s="1"/>
  <c r="G90" i="2"/>
  <c r="F111" i="11" l="1"/>
  <c r="L113" i="11"/>
  <c r="K113" i="11"/>
  <c r="Z113" i="11"/>
  <c r="E113" i="11" s="1"/>
  <c r="D113" i="11" s="1"/>
  <c r="C112" i="11"/>
  <c r="B114" i="11"/>
  <c r="U94" i="10"/>
  <c r="V94" i="10" s="1"/>
  <c r="H95" i="10"/>
  <c r="Q94" i="10"/>
  <c r="R94" i="10"/>
  <c r="U89" i="2"/>
  <c r="V89" i="2" s="1"/>
  <c r="H90" i="2"/>
  <c r="G91" i="2"/>
  <c r="D92" i="2"/>
  <c r="E92" i="2" s="1"/>
  <c r="F112" i="11" l="1"/>
  <c r="K114" i="11"/>
  <c r="L114" i="11"/>
  <c r="Z114" i="11"/>
  <c r="E114" i="11" s="1"/>
  <c r="D114" i="11" s="1"/>
  <c r="C113" i="11"/>
  <c r="B115" i="11"/>
  <c r="U95" i="10"/>
  <c r="V95" i="10" s="1"/>
  <c r="H96" i="10"/>
  <c r="R95" i="10"/>
  <c r="Q95" i="10"/>
  <c r="U90" i="2"/>
  <c r="V90" i="2" s="1"/>
  <c r="H91" i="2"/>
  <c r="G92" i="2"/>
  <c r="D93" i="2"/>
  <c r="E93" i="2" s="1"/>
  <c r="F113" i="11" l="1"/>
  <c r="K115" i="11"/>
  <c r="L115" i="11"/>
  <c r="Z115" i="11"/>
  <c r="E115" i="11" s="1"/>
  <c r="D115" i="11" s="1"/>
  <c r="C114" i="11"/>
  <c r="B116" i="11"/>
  <c r="U96" i="10"/>
  <c r="V96" i="10" s="1"/>
  <c r="H97" i="10"/>
  <c r="R96" i="10"/>
  <c r="Q96" i="10"/>
  <c r="U91" i="2"/>
  <c r="V91" i="2" s="1"/>
  <c r="H92" i="2"/>
  <c r="D94" i="2"/>
  <c r="E94" i="2" s="1"/>
  <c r="G93" i="2"/>
  <c r="F114" i="11" l="1"/>
  <c r="L116" i="11"/>
  <c r="K116" i="11"/>
  <c r="Z116" i="11"/>
  <c r="E116" i="11" s="1"/>
  <c r="D116" i="11" s="1"/>
  <c r="C115" i="11"/>
  <c r="B117" i="11"/>
  <c r="U97" i="10"/>
  <c r="V97" i="10" s="1"/>
  <c r="H98" i="10"/>
  <c r="R97" i="10"/>
  <c r="Q97" i="10"/>
  <c r="U92" i="2"/>
  <c r="V92" i="2" s="1"/>
  <c r="H93" i="2"/>
  <c r="G94" i="2"/>
  <c r="D95" i="2"/>
  <c r="E95" i="2" s="1"/>
  <c r="F115" i="11" l="1"/>
  <c r="L117" i="11"/>
  <c r="K117" i="11"/>
  <c r="Z117" i="11"/>
  <c r="E117" i="11" s="1"/>
  <c r="D117" i="11" s="1"/>
  <c r="C116" i="11"/>
  <c r="B118" i="11"/>
  <c r="U98" i="10"/>
  <c r="V98" i="10" s="1"/>
  <c r="H99" i="10"/>
  <c r="R98" i="10"/>
  <c r="Q98" i="10"/>
  <c r="U93" i="2"/>
  <c r="V93" i="2" s="1"/>
  <c r="H94" i="2"/>
  <c r="G95" i="2"/>
  <c r="D96" i="2"/>
  <c r="E96" i="2" s="1"/>
  <c r="F116" i="11" l="1"/>
  <c r="K118" i="11"/>
  <c r="L118" i="11"/>
  <c r="Z118" i="11"/>
  <c r="E118" i="11" s="1"/>
  <c r="D118" i="11" s="1"/>
  <c r="C117" i="11"/>
  <c r="B119" i="11"/>
  <c r="U99" i="10"/>
  <c r="V99" i="10" s="1"/>
  <c r="H100" i="10"/>
  <c r="Q99" i="10"/>
  <c r="R99" i="10"/>
  <c r="H95" i="2"/>
  <c r="U94" i="2"/>
  <c r="V94" i="2" s="1"/>
  <c r="D97" i="2"/>
  <c r="G96" i="2"/>
  <c r="F117" i="11" l="1"/>
  <c r="K119" i="11"/>
  <c r="L119" i="11"/>
  <c r="Z119" i="11"/>
  <c r="E119" i="11" s="1"/>
  <c r="D119" i="11" s="1"/>
  <c r="C118" i="11"/>
  <c r="U100" i="10"/>
  <c r="V100" i="10" s="1"/>
  <c r="H101" i="10"/>
  <c r="R100" i="10"/>
  <c r="Q100" i="10"/>
  <c r="E97" i="2"/>
  <c r="G97" i="2" s="1"/>
  <c r="U95" i="2"/>
  <c r="V95" i="2" s="1"/>
  <c r="D98" i="2"/>
  <c r="E98" i="2" s="1"/>
  <c r="H96" i="2"/>
  <c r="F118" i="11" l="1"/>
  <c r="C119" i="11"/>
  <c r="U101" i="10"/>
  <c r="V101" i="10" s="1"/>
  <c r="H102" i="10"/>
  <c r="Q101" i="10"/>
  <c r="R101" i="10"/>
  <c r="H97" i="2"/>
  <c r="D99" i="2"/>
  <c r="E99" i="2" s="1"/>
  <c r="U96" i="2"/>
  <c r="V96" i="2" s="1"/>
  <c r="G98" i="2"/>
  <c r="F119" i="11" l="1"/>
  <c r="U102" i="10"/>
  <c r="V102" i="10" s="1"/>
  <c r="H103" i="10"/>
  <c r="R102" i="10"/>
  <c r="Q102" i="10"/>
  <c r="H98" i="2"/>
  <c r="U97" i="2"/>
  <c r="V97" i="2" s="1"/>
  <c r="G99" i="2"/>
  <c r="D100" i="2"/>
  <c r="E100" i="2" s="1"/>
  <c r="U103" i="10" l="1"/>
  <c r="V103" i="10" s="1"/>
  <c r="H104" i="10"/>
  <c r="R103" i="10"/>
  <c r="Q103" i="10"/>
  <c r="H99" i="2"/>
  <c r="U98" i="2"/>
  <c r="V98" i="2" s="1"/>
  <c r="D101" i="2"/>
  <c r="E101" i="2" s="1"/>
  <c r="G100" i="2"/>
  <c r="U104" i="10" l="1"/>
  <c r="V104" i="10" s="1"/>
  <c r="H105" i="10"/>
  <c r="Q104" i="10"/>
  <c r="R104" i="10"/>
  <c r="H100" i="2"/>
  <c r="U99" i="2"/>
  <c r="V99" i="2" s="1"/>
  <c r="D102" i="2"/>
  <c r="E102" i="2" s="1"/>
  <c r="G101" i="2"/>
  <c r="U105" i="10" l="1"/>
  <c r="V105" i="10" s="1"/>
  <c r="H106" i="10"/>
  <c r="Q105" i="10"/>
  <c r="R105" i="10"/>
  <c r="H101" i="2"/>
  <c r="U100" i="2"/>
  <c r="V100" i="2" s="1"/>
  <c r="G102" i="2"/>
  <c r="D103" i="2"/>
  <c r="E103" i="2" s="1"/>
  <c r="U106" i="10" l="1"/>
  <c r="V106" i="10" s="1"/>
  <c r="H107" i="10"/>
  <c r="R106" i="10"/>
  <c r="Q106" i="10"/>
  <c r="U101" i="2"/>
  <c r="V101" i="2" s="1"/>
  <c r="H102" i="2"/>
  <c r="D104" i="2"/>
  <c r="E104" i="2" s="1"/>
  <c r="G103" i="2"/>
  <c r="U107" i="10" l="1"/>
  <c r="V107" i="10" s="1"/>
  <c r="H108" i="10"/>
  <c r="Q107" i="10"/>
  <c r="R107" i="10"/>
  <c r="H103" i="2"/>
  <c r="U102" i="2"/>
  <c r="V102" i="2" s="1"/>
  <c r="D105" i="2"/>
  <c r="E105" i="2" s="1"/>
  <c r="G104" i="2"/>
  <c r="U108" i="10" l="1"/>
  <c r="V108" i="10" s="1"/>
  <c r="H109" i="10"/>
  <c r="R108" i="10"/>
  <c r="Q108" i="10"/>
  <c r="U103" i="2"/>
  <c r="V103" i="2" s="1"/>
  <c r="H104" i="2"/>
  <c r="G105" i="2"/>
  <c r="D106" i="2"/>
  <c r="E106" i="2" s="1"/>
  <c r="U109" i="10" l="1"/>
  <c r="V109" i="10" s="1"/>
  <c r="H110" i="10"/>
  <c r="Q110" i="10" s="1"/>
  <c r="Q109" i="10"/>
  <c r="R109" i="10"/>
  <c r="U104" i="2"/>
  <c r="V104" i="2" s="1"/>
  <c r="H105" i="2"/>
  <c r="G106" i="2"/>
  <c r="D107" i="2"/>
  <c r="E107" i="2" s="1"/>
  <c r="U110" i="10" l="1"/>
  <c r="V110" i="10" s="1"/>
  <c r="H111" i="10"/>
  <c r="Q111" i="10" s="1"/>
  <c r="R110" i="10"/>
  <c r="H106" i="2"/>
  <c r="U105" i="2"/>
  <c r="V105" i="2" s="1"/>
  <c r="G107" i="2"/>
  <c r="D108" i="2"/>
  <c r="E108" i="2" s="1"/>
  <c r="U111" i="10" l="1"/>
  <c r="V111" i="10" s="1"/>
  <c r="H112" i="10"/>
  <c r="Q112" i="10" s="1"/>
  <c r="R111" i="10"/>
  <c r="D109" i="2"/>
  <c r="U106" i="2"/>
  <c r="V106" i="2" s="1"/>
  <c r="H107" i="2"/>
  <c r="G108" i="2"/>
  <c r="U112" i="10" l="1"/>
  <c r="V112" i="10" s="1"/>
  <c r="H113" i="10"/>
  <c r="Q113" i="10" s="1"/>
  <c r="R112" i="10"/>
  <c r="E109" i="2"/>
  <c r="G109" i="2" s="1"/>
  <c r="D110" i="2"/>
  <c r="E110" i="2" s="1"/>
  <c r="H108" i="2"/>
  <c r="U107" i="2"/>
  <c r="V107" i="2" s="1"/>
  <c r="U113" i="10" l="1"/>
  <c r="V113" i="10" s="1"/>
  <c r="H114" i="10"/>
  <c r="Q114" i="10" s="1"/>
  <c r="R113" i="10"/>
  <c r="G110" i="2"/>
  <c r="D111" i="2"/>
  <c r="E111" i="2" s="1"/>
  <c r="H109" i="2"/>
  <c r="U108" i="2"/>
  <c r="V108" i="2" s="1"/>
  <c r="U114" i="10" l="1"/>
  <c r="V114" i="10" s="1"/>
  <c r="H115" i="10"/>
  <c r="Q115" i="10" s="1"/>
  <c r="R114" i="10"/>
  <c r="G111" i="2"/>
  <c r="D112" i="2"/>
  <c r="E112" i="2" s="1"/>
  <c r="H110" i="2"/>
  <c r="U109" i="2"/>
  <c r="V109" i="2" s="1"/>
  <c r="U115" i="10" l="1"/>
  <c r="V115" i="10" s="1"/>
  <c r="H116" i="10"/>
  <c r="Q116" i="10" s="1"/>
  <c r="R115" i="10"/>
  <c r="D113" i="2"/>
  <c r="E113" i="2" s="1"/>
  <c r="G112" i="2"/>
  <c r="U110" i="2"/>
  <c r="V110" i="2" s="1"/>
  <c r="H111" i="2"/>
  <c r="U116" i="10" l="1"/>
  <c r="V116" i="10" s="1"/>
  <c r="H117" i="10"/>
  <c r="Q117" i="10" s="1"/>
  <c r="R116" i="10"/>
  <c r="U111" i="2"/>
  <c r="V111" i="2" s="1"/>
  <c r="G113" i="2"/>
  <c r="D114" i="2"/>
  <c r="E114" i="2" s="1"/>
  <c r="H112" i="2"/>
  <c r="U117" i="10" l="1"/>
  <c r="V117" i="10" s="1"/>
  <c r="H118" i="10"/>
  <c r="Q118" i="10" s="1"/>
  <c r="R117" i="10"/>
  <c r="G114" i="2"/>
  <c r="D115" i="2"/>
  <c r="E115" i="2" s="1"/>
  <c r="U112" i="2"/>
  <c r="V112" i="2" s="1"/>
  <c r="H113" i="2"/>
  <c r="U118" i="10" l="1"/>
  <c r="V118" i="10" s="1"/>
  <c r="H119" i="10"/>
  <c r="Q119" i="10" s="1"/>
  <c r="R118" i="10"/>
  <c r="G115" i="2"/>
  <c r="U113" i="2"/>
  <c r="V113" i="2" s="1"/>
  <c r="D116" i="2"/>
  <c r="E116" i="2" s="1"/>
  <c r="H114" i="2"/>
  <c r="U119" i="10" l="1"/>
  <c r="V119" i="10" s="1"/>
  <c r="H120" i="10"/>
  <c r="Q120" i="10" s="1"/>
  <c r="R119" i="10"/>
  <c r="D117" i="2"/>
  <c r="H115" i="2"/>
  <c r="G116" i="2"/>
  <c r="U114" i="2"/>
  <c r="V114" i="2" s="1"/>
  <c r="U120" i="10" l="1"/>
  <c r="V120" i="10" s="1"/>
  <c r="H121" i="10"/>
  <c r="Q121" i="10" s="1"/>
  <c r="R120" i="10"/>
  <c r="E117" i="2"/>
  <c r="G117" i="2" s="1"/>
  <c r="H116" i="2"/>
  <c r="U115" i="2"/>
  <c r="V115" i="2" s="1"/>
  <c r="D118" i="2"/>
  <c r="E118" i="2" s="1"/>
  <c r="U121" i="10" l="1"/>
  <c r="V121" i="10" s="1"/>
  <c r="H122" i="10"/>
  <c r="Q122" i="10" s="1"/>
  <c r="R121" i="10"/>
  <c r="H117" i="2"/>
  <c r="U116" i="2"/>
  <c r="V116" i="2" s="1"/>
  <c r="G118" i="2"/>
  <c r="D119" i="2"/>
  <c r="E119" i="2" s="1"/>
  <c r="U122" i="10" l="1"/>
  <c r="V122" i="10" s="1"/>
  <c r="H123" i="10"/>
  <c r="Q123" i="10" s="1"/>
  <c r="R122" i="10"/>
  <c r="U117" i="2"/>
  <c r="V117" i="2" s="1"/>
  <c r="D120" i="2"/>
  <c r="E120" i="2" s="1"/>
  <c r="H118" i="2"/>
  <c r="G119" i="2"/>
  <c r="U123" i="10" l="1"/>
  <c r="V123" i="10" s="1"/>
  <c r="H124" i="10"/>
  <c r="Q124" i="10" s="1"/>
  <c r="R123" i="10"/>
  <c r="H119" i="2"/>
  <c r="U118" i="2"/>
  <c r="V118" i="2" s="1"/>
  <c r="D121" i="2"/>
  <c r="E121" i="2" s="1"/>
  <c r="G120" i="2"/>
  <c r="U124" i="10" l="1"/>
  <c r="V124" i="10" s="1"/>
  <c r="H125" i="10"/>
  <c r="Q125" i="10" s="1"/>
  <c r="R124" i="10"/>
  <c r="H120" i="2"/>
  <c r="U119" i="2"/>
  <c r="V119" i="2" s="1"/>
  <c r="D122" i="2"/>
  <c r="E122" i="2" s="1"/>
  <c r="G121" i="2"/>
  <c r="U125" i="10" l="1"/>
  <c r="V125" i="10" s="1"/>
  <c r="H126" i="10"/>
  <c r="Q126" i="10" s="1"/>
  <c r="R125" i="10"/>
  <c r="U120" i="2"/>
  <c r="V120" i="2" s="1"/>
  <c r="D123" i="2"/>
  <c r="E123" i="2" s="1"/>
  <c r="G122" i="2"/>
  <c r="H121" i="2"/>
  <c r="U126" i="10" l="1"/>
  <c r="V126" i="10" s="1"/>
  <c r="H127" i="10"/>
  <c r="Q127" i="10" s="1"/>
  <c r="R126" i="10"/>
  <c r="H122" i="2"/>
  <c r="D124" i="2"/>
  <c r="E124" i="2" s="1"/>
  <c r="G123" i="2"/>
  <c r="U121" i="2"/>
  <c r="V121" i="2" s="1"/>
  <c r="U127" i="10" l="1"/>
  <c r="V127" i="10" s="1"/>
  <c r="H128" i="10"/>
  <c r="Q128" i="10" s="1"/>
  <c r="R127" i="10"/>
  <c r="H123" i="2"/>
  <c r="U122" i="2"/>
  <c r="V122" i="2" s="1"/>
  <c r="D125" i="2"/>
  <c r="E125" i="2" s="1"/>
  <c r="G124" i="2"/>
  <c r="U128" i="10" l="1"/>
  <c r="V128" i="10" s="1"/>
  <c r="H129" i="10"/>
  <c r="Q129" i="10" s="1"/>
  <c r="R128" i="10"/>
  <c r="H124" i="2"/>
  <c r="U123" i="2"/>
  <c r="V123" i="2" s="1"/>
  <c r="G125" i="2"/>
  <c r="D126" i="2"/>
  <c r="E126" i="2" s="1"/>
  <c r="U129" i="10" l="1"/>
  <c r="V129" i="10" s="1"/>
  <c r="H130" i="10"/>
  <c r="Q130" i="10" s="1"/>
  <c r="R129" i="10"/>
  <c r="H125" i="2"/>
  <c r="U124" i="2"/>
  <c r="V124" i="2" s="1"/>
  <c r="D127" i="2"/>
  <c r="E127" i="2" s="1"/>
  <c r="G126" i="2"/>
  <c r="U130" i="10" l="1"/>
  <c r="V130" i="10" s="1"/>
  <c r="H131" i="10"/>
  <c r="Q131" i="10" s="1"/>
  <c r="R130" i="10"/>
  <c r="U125" i="2"/>
  <c r="V125" i="2" s="1"/>
  <c r="H126" i="2"/>
  <c r="D128" i="2"/>
  <c r="E128" i="2" s="1"/>
  <c r="G127" i="2"/>
  <c r="U131" i="10" l="1"/>
  <c r="V131" i="10" s="1"/>
  <c r="H132" i="10"/>
  <c r="Q132" i="10" s="1"/>
  <c r="R131" i="10"/>
  <c r="U126" i="2"/>
  <c r="V126" i="2" s="1"/>
  <c r="G128" i="2"/>
  <c r="H127" i="2"/>
  <c r="D129" i="2"/>
  <c r="E129" i="2" s="1"/>
  <c r="U132" i="10" l="1"/>
  <c r="V132" i="10" s="1"/>
  <c r="H133" i="10"/>
  <c r="Q133" i="10" s="1"/>
  <c r="R132" i="10"/>
  <c r="H128" i="2"/>
  <c r="D130" i="2"/>
  <c r="E130" i="2" s="1"/>
  <c r="U127" i="2"/>
  <c r="V127" i="2" s="1"/>
  <c r="G129" i="2"/>
  <c r="U133" i="10" l="1"/>
  <c r="V133" i="10" s="1"/>
  <c r="H134" i="10"/>
  <c r="Q134" i="10" s="1"/>
  <c r="R133" i="10"/>
  <c r="H129" i="2"/>
  <c r="U128" i="2"/>
  <c r="V128" i="2" s="1"/>
  <c r="G130" i="2"/>
  <c r="D131" i="2"/>
  <c r="E131" i="2" s="1"/>
  <c r="U134" i="10" l="1"/>
  <c r="V134" i="10" s="1"/>
  <c r="H135" i="10"/>
  <c r="Q135" i="10" s="1"/>
  <c r="R134" i="10"/>
  <c r="U129" i="2"/>
  <c r="V129" i="2" s="1"/>
  <c r="H130" i="2"/>
  <c r="G131" i="2"/>
  <c r="D132" i="2"/>
  <c r="E132" i="2" s="1"/>
  <c r="U135" i="10" l="1"/>
  <c r="V135" i="10" s="1"/>
  <c r="H136" i="10"/>
  <c r="Q136" i="10" s="1"/>
  <c r="R135" i="10"/>
  <c r="U130" i="2"/>
  <c r="V130" i="2" s="1"/>
  <c r="H131" i="2"/>
  <c r="D133" i="2"/>
  <c r="E133" i="2" s="1"/>
  <c r="G132" i="2"/>
  <c r="U136" i="10" l="1"/>
  <c r="V136" i="10" s="1"/>
  <c r="H137" i="10"/>
  <c r="Q137" i="10" s="1"/>
  <c r="R136" i="10"/>
  <c r="U131" i="2"/>
  <c r="V131" i="2" s="1"/>
  <c r="H132" i="2"/>
  <c r="G133" i="2"/>
  <c r="D134" i="2"/>
  <c r="E134" i="2" s="1"/>
  <c r="U137" i="10" l="1"/>
  <c r="V137" i="10" s="1"/>
  <c r="H138" i="10"/>
  <c r="Q138" i="10" s="1"/>
  <c r="R137" i="10"/>
  <c r="H133" i="2"/>
  <c r="U132" i="2"/>
  <c r="V132" i="2" s="1"/>
  <c r="D135" i="2"/>
  <c r="E135" i="2" s="1"/>
  <c r="G134" i="2"/>
  <c r="U138" i="10" l="1"/>
  <c r="V138" i="10" s="1"/>
  <c r="H139" i="10"/>
  <c r="Q139" i="10" s="1"/>
  <c r="R138" i="10"/>
  <c r="H134" i="2"/>
  <c r="U133" i="2"/>
  <c r="V133" i="2" s="1"/>
  <c r="D136" i="2"/>
  <c r="E136" i="2" s="1"/>
  <c r="G135" i="2"/>
  <c r="U139" i="10" l="1"/>
  <c r="V139" i="10" s="1"/>
  <c r="H140" i="10"/>
  <c r="Q140" i="10" s="1"/>
  <c r="R139" i="10"/>
  <c r="H135" i="2"/>
  <c r="U135" i="2" s="1"/>
  <c r="V135" i="2" s="1"/>
  <c r="U134" i="2"/>
  <c r="V134" i="2" s="1"/>
  <c r="D137" i="2"/>
  <c r="G136" i="2"/>
  <c r="U140" i="10" l="1"/>
  <c r="V140" i="10" s="1"/>
  <c r="H141" i="10"/>
  <c r="Q141" i="10" s="1"/>
  <c r="R140" i="10"/>
  <c r="G137" i="2"/>
  <c r="E137" i="2"/>
  <c r="H136" i="2"/>
  <c r="D138" i="2"/>
  <c r="E138" i="2" s="1"/>
  <c r="U141" i="10" l="1"/>
  <c r="V141" i="10" s="1"/>
  <c r="H142" i="10"/>
  <c r="Q142" i="10" s="1"/>
  <c r="R141" i="10"/>
  <c r="U136" i="2"/>
  <c r="V136" i="2" s="1"/>
  <c r="H137" i="2"/>
  <c r="G138" i="2"/>
  <c r="D139" i="2"/>
  <c r="E139" i="2" s="1"/>
  <c r="U142" i="10" l="1"/>
  <c r="V142" i="10" s="1"/>
  <c r="H143" i="10"/>
  <c r="Q143" i="10" s="1"/>
  <c r="R142" i="10"/>
  <c r="H138" i="2"/>
  <c r="U137" i="2"/>
  <c r="V137" i="2" s="1"/>
  <c r="D140" i="2"/>
  <c r="E140" i="2" s="1"/>
  <c r="G139" i="2"/>
  <c r="U143" i="10" l="1"/>
  <c r="V143" i="10" s="1"/>
  <c r="H144" i="10"/>
  <c r="Q144" i="10" s="1"/>
  <c r="R143" i="10"/>
  <c r="U138" i="2"/>
  <c r="V138" i="2" s="1"/>
  <c r="G140" i="2"/>
  <c r="H139" i="2"/>
  <c r="D141" i="2"/>
  <c r="E141" i="2" s="1"/>
  <c r="U144" i="10" l="1"/>
  <c r="V144" i="10" s="1"/>
  <c r="H145" i="10"/>
  <c r="Q145" i="10" s="1"/>
  <c r="R144" i="10"/>
  <c r="H140" i="2"/>
  <c r="U139" i="2"/>
  <c r="V139" i="2" s="1"/>
  <c r="D142" i="2"/>
  <c r="E142" i="2" s="1"/>
  <c r="G141" i="2"/>
  <c r="U145" i="10" l="1"/>
  <c r="V145" i="10" s="1"/>
  <c r="H146" i="10"/>
  <c r="Q146" i="10" s="1"/>
  <c r="R145" i="10"/>
  <c r="U140" i="2"/>
  <c r="V140" i="2" s="1"/>
  <c r="H141" i="2"/>
  <c r="G142" i="2"/>
  <c r="D143" i="2"/>
  <c r="E143" i="2" s="1"/>
  <c r="U146" i="10" l="1"/>
  <c r="V146" i="10" s="1"/>
  <c r="H147" i="10"/>
  <c r="Q147" i="10" s="1"/>
  <c r="R146" i="10"/>
  <c r="U141" i="2"/>
  <c r="V141" i="2" s="1"/>
  <c r="H142" i="2"/>
  <c r="G143" i="2"/>
  <c r="D144" i="2"/>
  <c r="E144" i="2" s="1"/>
  <c r="U147" i="10" l="1"/>
  <c r="V147" i="10" s="1"/>
  <c r="H148" i="10"/>
  <c r="Q148" i="10" s="1"/>
  <c r="R147" i="10"/>
  <c r="U142" i="2"/>
  <c r="V142" i="2" s="1"/>
  <c r="G144" i="2"/>
  <c r="H143" i="2"/>
  <c r="D145" i="2"/>
  <c r="E145" i="2" s="1"/>
  <c r="U148" i="10" l="1"/>
  <c r="V148" i="10" s="1"/>
  <c r="H149" i="10"/>
  <c r="Q149" i="10" s="1"/>
  <c r="R148" i="10"/>
  <c r="H144" i="2"/>
  <c r="U143" i="2"/>
  <c r="V143" i="2" s="1"/>
  <c r="D146" i="2"/>
  <c r="E146" i="2" s="1"/>
  <c r="G145" i="2"/>
  <c r="U149" i="10" l="1"/>
  <c r="V149" i="10" s="1"/>
  <c r="H150" i="10"/>
  <c r="Q150" i="10" s="1"/>
  <c r="R149" i="10"/>
  <c r="U144" i="2"/>
  <c r="V144" i="2" s="1"/>
  <c r="G146" i="2"/>
  <c r="H145" i="2"/>
  <c r="D147" i="2"/>
  <c r="E147" i="2" s="1"/>
  <c r="U150" i="10" l="1"/>
  <c r="V150" i="10" s="1"/>
  <c r="H151" i="10"/>
  <c r="Q151" i="10" s="1"/>
  <c r="R150" i="10"/>
  <c r="H146" i="2"/>
  <c r="U145" i="2"/>
  <c r="V145" i="2" s="1"/>
  <c r="G147" i="2"/>
  <c r="D148" i="2"/>
  <c r="E148" i="2" s="1"/>
  <c r="U151" i="10" l="1"/>
  <c r="V151" i="10" s="1"/>
  <c r="H152" i="10"/>
  <c r="Q152" i="10" s="1"/>
  <c r="R151" i="10"/>
  <c r="H147" i="2"/>
  <c r="U146" i="2"/>
  <c r="V146" i="2" s="1"/>
  <c r="D149" i="2"/>
  <c r="E149" i="2" s="1"/>
  <c r="G148" i="2"/>
  <c r="U152" i="10" l="1"/>
  <c r="V152" i="10" s="1"/>
  <c r="H153" i="10"/>
  <c r="Q153" i="10" s="1"/>
  <c r="R152" i="10"/>
  <c r="H148" i="2"/>
  <c r="U148" i="2" s="1"/>
  <c r="V148" i="2" s="1"/>
  <c r="U147" i="2"/>
  <c r="V147" i="2" s="1"/>
  <c r="G149" i="2"/>
  <c r="D150" i="2"/>
  <c r="E150" i="2" s="1"/>
  <c r="U153" i="10" l="1"/>
  <c r="V153" i="10" s="1"/>
  <c r="H154" i="10"/>
  <c r="Q154" i="10" s="1"/>
  <c r="R153" i="10"/>
  <c r="H149" i="2"/>
  <c r="D151" i="2"/>
  <c r="E151" i="2" s="1"/>
  <c r="G150" i="2"/>
  <c r="U154" i="10" l="1"/>
  <c r="V154" i="10" s="1"/>
  <c r="H155" i="10"/>
  <c r="Q155" i="10" s="1"/>
  <c r="R154" i="10"/>
  <c r="U149" i="2"/>
  <c r="V149" i="2" s="1"/>
  <c r="H150" i="2"/>
  <c r="D152" i="2"/>
  <c r="E152" i="2" s="1"/>
  <c r="G151" i="2"/>
  <c r="U155" i="10" l="1"/>
  <c r="V155" i="10" s="1"/>
  <c r="H156" i="10"/>
  <c r="Q156" i="10" s="1"/>
  <c r="R155" i="10"/>
  <c r="U150" i="2"/>
  <c r="V150" i="2" s="1"/>
  <c r="D153" i="2"/>
  <c r="E153" i="2" s="1"/>
  <c r="H151" i="2"/>
  <c r="G152" i="2"/>
  <c r="U156" i="10" l="1"/>
  <c r="V156" i="10" s="1"/>
  <c r="H157" i="10"/>
  <c r="Q157" i="10" s="1"/>
  <c r="R156" i="10"/>
  <c r="H152" i="2"/>
  <c r="U151" i="2"/>
  <c r="V151" i="2" s="1"/>
  <c r="G153" i="2"/>
  <c r="D154" i="2"/>
  <c r="E154" i="2" s="1"/>
  <c r="U157" i="10" l="1"/>
  <c r="V157" i="10" s="1"/>
  <c r="H158" i="10"/>
  <c r="Q158" i="10" s="1"/>
  <c r="R157" i="10"/>
  <c r="U152" i="2"/>
  <c r="V152" i="2" s="1"/>
  <c r="H153" i="2"/>
  <c r="D155" i="2"/>
  <c r="E155" i="2" s="1"/>
  <c r="G154" i="2"/>
  <c r="U158" i="10" l="1"/>
  <c r="V158" i="10" s="1"/>
  <c r="H159" i="10"/>
  <c r="Q159" i="10" s="1"/>
  <c r="R158" i="10"/>
  <c r="U153" i="2"/>
  <c r="V153" i="2" s="1"/>
  <c r="H154" i="2"/>
  <c r="U154" i="2" s="1"/>
  <c r="V154" i="2" s="1"/>
  <c r="D156" i="2"/>
  <c r="E156" i="2" s="1"/>
  <c r="G155" i="2"/>
  <c r="U159" i="10" l="1"/>
  <c r="V159" i="10" s="1"/>
  <c r="H160" i="10"/>
  <c r="Q160" i="10" s="1"/>
  <c r="R159" i="10"/>
  <c r="H155" i="2"/>
  <c r="D157" i="2"/>
  <c r="E157" i="2" s="1"/>
  <c r="G157" i="2" s="1"/>
  <c r="G156" i="2"/>
  <c r="U160" i="10" l="1"/>
  <c r="V160" i="10" s="1"/>
  <c r="H161" i="10"/>
  <c r="Q161" i="10" s="1"/>
  <c r="R160" i="10"/>
  <c r="U155" i="2"/>
  <c r="V155" i="2" s="1"/>
  <c r="H156" i="2"/>
  <c r="D158" i="2"/>
  <c r="E158" i="2" s="1"/>
  <c r="U161" i="10" l="1"/>
  <c r="V161" i="10" s="1"/>
  <c r="H162" i="10"/>
  <c r="Q162" i="10" s="1"/>
  <c r="R161" i="10"/>
  <c r="H157" i="2"/>
  <c r="U156" i="2"/>
  <c r="V156" i="2" s="1"/>
  <c r="D159" i="2"/>
  <c r="E159" i="2" s="1"/>
  <c r="G158" i="2"/>
  <c r="U162" i="10" l="1"/>
  <c r="V162" i="10" s="1"/>
  <c r="H163" i="10"/>
  <c r="Q163" i="10" s="1"/>
  <c r="R162" i="10"/>
  <c r="U157" i="2"/>
  <c r="V157" i="2" s="1"/>
  <c r="H158" i="2"/>
  <c r="D160" i="2"/>
  <c r="E160" i="2" s="1"/>
  <c r="G159" i="2"/>
  <c r="U163" i="10" l="1"/>
  <c r="V163" i="10" s="1"/>
  <c r="H164" i="10"/>
  <c r="Q164" i="10" s="1"/>
  <c r="R163" i="10"/>
  <c r="H159" i="2"/>
  <c r="U158" i="2"/>
  <c r="V158" i="2" s="1"/>
  <c r="G160" i="2"/>
  <c r="D161" i="2"/>
  <c r="E161" i="2" s="1"/>
  <c r="U164" i="10" l="1"/>
  <c r="V164" i="10" s="1"/>
  <c r="H165" i="10"/>
  <c r="Q165" i="10" s="1"/>
  <c r="R164" i="10"/>
  <c r="H160" i="2"/>
  <c r="U159" i="2"/>
  <c r="V159" i="2" s="1"/>
  <c r="G161" i="2"/>
  <c r="D162" i="2"/>
  <c r="E162" i="2" s="1"/>
  <c r="U165" i="10" l="1"/>
  <c r="V165" i="10" s="1"/>
  <c r="H166" i="10"/>
  <c r="Q166" i="10" s="1"/>
  <c r="R165" i="10"/>
  <c r="H161" i="2"/>
  <c r="U160" i="2"/>
  <c r="V160" i="2" s="1"/>
  <c r="D163" i="2"/>
  <c r="E163" i="2" s="1"/>
  <c r="G162" i="2"/>
  <c r="U166" i="10" l="1"/>
  <c r="V166" i="10" s="1"/>
  <c r="H167" i="10"/>
  <c r="Q167" i="10" s="1"/>
  <c r="R166" i="10"/>
  <c r="H162" i="2"/>
  <c r="U161" i="2"/>
  <c r="V161" i="2" s="1"/>
  <c r="G163" i="2"/>
  <c r="D164" i="2"/>
  <c r="E164" i="2" s="1"/>
  <c r="U167" i="10" l="1"/>
  <c r="V167" i="10" s="1"/>
  <c r="H168" i="10"/>
  <c r="Q168" i="10" s="1"/>
  <c r="R167" i="10"/>
  <c r="H163" i="2"/>
  <c r="U162" i="2"/>
  <c r="V162" i="2" s="1"/>
  <c r="D165" i="2"/>
  <c r="E165" i="2" s="1"/>
  <c r="G164" i="2"/>
  <c r="U168" i="10" l="1"/>
  <c r="V168" i="10" s="1"/>
  <c r="H169" i="10"/>
  <c r="Q169" i="10" s="1"/>
  <c r="R168" i="10"/>
  <c r="H164" i="2"/>
  <c r="U163" i="2"/>
  <c r="V163" i="2" s="1"/>
  <c r="G165" i="2"/>
  <c r="D166" i="2"/>
  <c r="E166" i="2" s="1"/>
  <c r="U169" i="10" l="1"/>
  <c r="V169" i="10" s="1"/>
  <c r="H170" i="10"/>
  <c r="Q170" i="10" s="1"/>
  <c r="R169" i="10"/>
  <c r="H165" i="2"/>
  <c r="U164" i="2"/>
  <c r="V164" i="2" s="1"/>
  <c r="G166" i="2"/>
  <c r="D167" i="2"/>
  <c r="E167" i="2" s="1"/>
  <c r="U170" i="10" l="1"/>
  <c r="V170" i="10" s="1"/>
  <c r="H171" i="10"/>
  <c r="Q171" i="10" s="1"/>
  <c r="R170" i="10"/>
  <c r="H166" i="2"/>
  <c r="U165" i="2"/>
  <c r="V165" i="2" s="1"/>
  <c r="D168" i="2"/>
  <c r="E168" i="2" s="1"/>
  <c r="G167" i="2"/>
  <c r="U171" i="10" l="1"/>
  <c r="V171" i="10" s="1"/>
  <c r="H172" i="10"/>
  <c r="Q172" i="10" s="1"/>
  <c r="R171" i="10"/>
  <c r="U166" i="2"/>
  <c r="V166" i="2" s="1"/>
  <c r="H167" i="2"/>
  <c r="G168" i="2"/>
  <c r="D169" i="2"/>
  <c r="E169" i="2" s="1"/>
  <c r="U172" i="10" l="1"/>
  <c r="V172" i="10" s="1"/>
  <c r="H173" i="10"/>
  <c r="Q173" i="10" s="1"/>
  <c r="R172" i="10"/>
  <c r="H168" i="2"/>
  <c r="U167" i="2"/>
  <c r="V167" i="2" s="1"/>
  <c r="D170" i="2"/>
  <c r="E170" i="2" s="1"/>
  <c r="G169" i="2"/>
  <c r="U173" i="10" l="1"/>
  <c r="V173" i="10" s="1"/>
  <c r="H174" i="10"/>
  <c r="Q174" i="10" s="1"/>
  <c r="R173" i="10"/>
  <c r="U168" i="2"/>
  <c r="V168" i="2" s="1"/>
  <c r="H169" i="2"/>
  <c r="U169" i="2" s="1"/>
  <c r="V169" i="2" s="1"/>
  <c r="G170" i="2"/>
  <c r="D171" i="2"/>
  <c r="E171" i="2" s="1"/>
  <c r="U174" i="10" l="1"/>
  <c r="V174" i="10" s="1"/>
  <c r="H175" i="10"/>
  <c r="Q175" i="10" s="1"/>
  <c r="R174" i="10"/>
  <c r="D172" i="2"/>
  <c r="E172" i="2" s="1"/>
  <c r="G171" i="2"/>
  <c r="H170" i="2"/>
  <c r="U175" i="10" l="1"/>
  <c r="V175" i="10" s="1"/>
  <c r="H176" i="10"/>
  <c r="Q176" i="10" s="1"/>
  <c r="R175" i="10"/>
  <c r="H171" i="2"/>
  <c r="U170" i="2"/>
  <c r="V170" i="2" s="1"/>
  <c r="D173" i="2"/>
  <c r="E173" i="2" s="1"/>
  <c r="G172" i="2"/>
  <c r="U176" i="10" l="1"/>
  <c r="V176" i="10" s="1"/>
  <c r="H177" i="10"/>
  <c r="Q177" i="10" s="1"/>
  <c r="R176" i="10"/>
  <c r="H172" i="2"/>
  <c r="U171" i="2"/>
  <c r="V171" i="2" s="1"/>
  <c r="G173" i="2"/>
  <c r="D174" i="2"/>
  <c r="E174" i="2" s="1"/>
  <c r="U177" i="10" l="1"/>
  <c r="V177" i="10" s="1"/>
  <c r="H178" i="10"/>
  <c r="Q178" i="10" s="1"/>
  <c r="R177" i="10"/>
  <c r="H173" i="2"/>
  <c r="U173" i="2" s="1"/>
  <c r="V173" i="2" s="1"/>
  <c r="U172" i="2"/>
  <c r="V172" i="2" s="1"/>
  <c r="G174" i="2"/>
  <c r="D175" i="2"/>
  <c r="E175" i="2" s="1"/>
  <c r="U178" i="10" l="1"/>
  <c r="V178" i="10" s="1"/>
  <c r="H179" i="10"/>
  <c r="Q179" i="10" s="1"/>
  <c r="R178" i="10"/>
  <c r="H174" i="2"/>
  <c r="G175" i="2"/>
  <c r="D176" i="2"/>
  <c r="E176" i="2" s="1"/>
  <c r="U179" i="10" l="1"/>
  <c r="V179" i="10" s="1"/>
  <c r="H180" i="10"/>
  <c r="Q180" i="10" s="1"/>
  <c r="R179" i="10"/>
  <c r="U174" i="2"/>
  <c r="V174" i="2" s="1"/>
  <c r="H175" i="2"/>
  <c r="G176" i="2"/>
  <c r="D177" i="2"/>
  <c r="E177" i="2" s="1"/>
  <c r="U180" i="10" l="1"/>
  <c r="V180" i="10" s="1"/>
  <c r="H181" i="10"/>
  <c r="Q181" i="10" s="1"/>
  <c r="R180" i="10"/>
  <c r="H176" i="2"/>
  <c r="U175" i="2"/>
  <c r="V175" i="2" s="1"/>
  <c r="D178" i="2"/>
  <c r="E178" i="2" s="1"/>
  <c r="G177" i="2"/>
  <c r="U181" i="10" l="1"/>
  <c r="V181" i="10" s="1"/>
  <c r="H182" i="10"/>
  <c r="Q182" i="10" s="1"/>
  <c r="R181" i="10"/>
  <c r="H177" i="2"/>
  <c r="U176" i="2"/>
  <c r="V176" i="2" s="1"/>
  <c r="G178" i="2"/>
  <c r="D179" i="2"/>
  <c r="E179" i="2" s="1"/>
  <c r="U182" i="10" l="1"/>
  <c r="V182" i="10" s="1"/>
  <c r="H183" i="10"/>
  <c r="Q183" i="10" s="1"/>
  <c r="R182" i="10"/>
  <c r="U177" i="2"/>
  <c r="V177" i="2" s="1"/>
  <c r="D180" i="2"/>
  <c r="E180" i="2" s="1"/>
  <c r="G179" i="2"/>
  <c r="H178" i="2"/>
  <c r="U183" i="10" l="1"/>
  <c r="V183" i="10" s="1"/>
  <c r="H184" i="10"/>
  <c r="Q184" i="10" s="1"/>
  <c r="R183" i="10"/>
  <c r="H179" i="2"/>
  <c r="U178" i="2"/>
  <c r="V178" i="2" s="1"/>
  <c r="D181" i="2"/>
  <c r="E181" i="2" s="1"/>
  <c r="G180" i="2"/>
  <c r="U184" i="10" l="1"/>
  <c r="V184" i="10" s="1"/>
  <c r="H185" i="10"/>
  <c r="Q185" i="10" s="1"/>
  <c r="R184" i="10"/>
  <c r="U179" i="2"/>
  <c r="V179" i="2" s="1"/>
  <c r="H180" i="2"/>
  <c r="G181" i="2"/>
  <c r="D182" i="2"/>
  <c r="E182" i="2" s="1"/>
  <c r="U185" i="10" l="1"/>
  <c r="V185" i="10" s="1"/>
  <c r="H186" i="10"/>
  <c r="Q186" i="10" s="1"/>
  <c r="R185" i="10"/>
  <c r="H181" i="2"/>
  <c r="U180" i="2"/>
  <c r="V180" i="2" s="1"/>
  <c r="G182" i="2"/>
  <c r="D183" i="2"/>
  <c r="E183" i="2" s="1"/>
  <c r="U186" i="10" l="1"/>
  <c r="V186" i="10" s="1"/>
  <c r="H187" i="10"/>
  <c r="Q187" i="10" s="1"/>
  <c r="R186" i="10"/>
  <c r="U181" i="2"/>
  <c r="V181" i="2" s="1"/>
  <c r="H182" i="2"/>
  <c r="D184" i="2"/>
  <c r="E184" i="2" s="1"/>
  <c r="G183" i="2"/>
  <c r="U187" i="10" l="1"/>
  <c r="V187" i="10" s="1"/>
  <c r="H188" i="10"/>
  <c r="Q188" i="10" s="1"/>
  <c r="R187" i="10"/>
  <c r="H183" i="2"/>
  <c r="U182" i="2"/>
  <c r="V182" i="2" s="1"/>
  <c r="G184" i="2"/>
  <c r="D185" i="2"/>
  <c r="E185" i="2" s="1"/>
  <c r="U188" i="10" l="1"/>
  <c r="V188" i="10" s="1"/>
  <c r="H189" i="10"/>
  <c r="Q189" i="10" s="1"/>
  <c r="R188" i="10"/>
  <c r="U183" i="2"/>
  <c r="V183" i="2" s="1"/>
  <c r="G185" i="2"/>
  <c r="D186" i="2"/>
  <c r="E186" i="2" s="1"/>
  <c r="H184" i="2"/>
  <c r="U189" i="10" l="1"/>
  <c r="V189" i="10" s="1"/>
  <c r="H190" i="10"/>
  <c r="Q190" i="10" s="1"/>
  <c r="R189" i="10"/>
  <c r="D187" i="2"/>
  <c r="E187" i="2" s="1"/>
  <c r="G188" i="2" s="1"/>
  <c r="C19" i="2"/>
  <c r="AE30" i="11" s="1"/>
  <c r="H185" i="2"/>
  <c r="G186" i="2"/>
  <c r="U184" i="2"/>
  <c r="V184" i="2" s="1"/>
  <c r="G187" i="2" l="1"/>
  <c r="C20" i="2"/>
  <c r="AE16" i="11"/>
  <c r="U190" i="10"/>
  <c r="V190" i="10" s="1"/>
  <c r="H191" i="10"/>
  <c r="Q191" i="10" s="1"/>
  <c r="R190" i="10"/>
  <c r="C13" i="2" a="1"/>
  <c r="C13" i="2" s="1"/>
  <c r="H186" i="2"/>
  <c r="U185" i="2"/>
  <c r="V185" i="2" s="1"/>
  <c r="AE28" i="11" l="1"/>
  <c r="C29" i="11" s="1"/>
  <c r="U191" i="10"/>
  <c r="V191" i="10" s="1"/>
  <c r="H192" i="10"/>
  <c r="Q192" i="10" s="1"/>
  <c r="R191" i="10"/>
  <c r="C26" i="2"/>
  <c r="U186" i="2"/>
  <c r="V186" i="2" s="1"/>
  <c r="H187" i="2"/>
  <c r="Q187" i="2" s="1"/>
  <c r="R41" i="2" l="1"/>
  <c r="Q110" i="2"/>
  <c r="Q111" i="2"/>
  <c r="Q112" i="2"/>
  <c r="Q113" i="2"/>
  <c r="Q114" i="2"/>
  <c r="Q115" i="2"/>
  <c r="Q116" i="2"/>
  <c r="Q117" i="2"/>
  <c r="Q118" i="2"/>
  <c r="Q119" i="2"/>
  <c r="Q120" i="2"/>
  <c r="Q121" i="2"/>
  <c r="Q122" i="2"/>
  <c r="Q123" i="2"/>
  <c r="Q124" i="2"/>
  <c r="Q125" i="2"/>
  <c r="Q126" i="2"/>
  <c r="Q127" i="2"/>
  <c r="Q128" i="2"/>
  <c r="Q129" i="2"/>
  <c r="Q130" i="2"/>
  <c r="Q131" i="2"/>
  <c r="Q132" i="2"/>
  <c r="Q133" i="2"/>
  <c r="Q135" i="2"/>
  <c r="Q134" i="2"/>
  <c r="Q136" i="2"/>
  <c r="Q137" i="2"/>
  <c r="Q138" i="2"/>
  <c r="Q139" i="2"/>
  <c r="Q140" i="2"/>
  <c r="Q141" i="2"/>
  <c r="Q142" i="2"/>
  <c r="Q143" i="2"/>
  <c r="Q144" i="2"/>
  <c r="Q145" i="2"/>
  <c r="Q148" i="2"/>
  <c r="Q146" i="2"/>
  <c r="Q147" i="2"/>
  <c r="Q149" i="2"/>
  <c r="Q150" i="2"/>
  <c r="Q151" i="2"/>
  <c r="Q154" i="2"/>
  <c r="Q152" i="2"/>
  <c r="Q153" i="2"/>
  <c r="Q155" i="2"/>
  <c r="Q156" i="2"/>
  <c r="Q157" i="2"/>
  <c r="Q158" i="2"/>
  <c r="Q159" i="2"/>
  <c r="Q160" i="2"/>
  <c r="Q161" i="2"/>
  <c r="Q162" i="2"/>
  <c r="Q163" i="2"/>
  <c r="Q164" i="2"/>
  <c r="Q166" i="2"/>
  <c r="Q165" i="2"/>
  <c r="Q168" i="2"/>
  <c r="Q167" i="2"/>
  <c r="Q169" i="2"/>
  <c r="Q170" i="2"/>
  <c r="Q171" i="2"/>
  <c r="Q173" i="2"/>
  <c r="Q172" i="2"/>
  <c r="Q174" i="2"/>
  <c r="Q175" i="2"/>
  <c r="Q176" i="2"/>
  <c r="Q177" i="2"/>
  <c r="Q178" i="2"/>
  <c r="Q179" i="2"/>
  <c r="Q180" i="2"/>
  <c r="Q181" i="2"/>
  <c r="Q182" i="2"/>
  <c r="Q183" i="2"/>
  <c r="Q184" i="2"/>
  <c r="Q185" i="2"/>
  <c r="Q186" i="2"/>
  <c r="Q107" i="2"/>
  <c r="Q100" i="2"/>
  <c r="Q101" i="2"/>
  <c r="U192" i="10"/>
  <c r="V192" i="10" s="1"/>
  <c r="H193" i="10"/>
  <c r="Q193" i="10" s="1"/>
  <c r="R192" i="10"/>
  <c r="Q98" i="2"/>
  <c r="Q97" i="2"/>
  <c r="Q91" i="2"/>
  <c r="Q109" i="2"/>
  <c r="Q102" i="2"/>
  <c r="Q94" i="2"/>
  <c r="Q96" i="2"/>
  <c r="Q93" i="2"/>
  <c r="Q105" i="2"/>
  <c r="Q90" i="2"/>
  <c r="Q88" i="2"/>
  <c r="Q68" i="2"/>
  <c r="Q108" i="2"/>
  <c r="Q86" i="2"/>
  <c r="Q92" i="2"/>
  <c r="Q87" i="2"/>
  <c r="Q106" i="2"/>
  <c r="Q95" i="2"/>
  <c r="Q99" i="2"/>
  <c r="Q104" i="2"/>
  <c r="Q103" i="2"/>
  <c r="Q89" i="2"/>
  <c r="R131" i="2"/>
  <c r="R92" i="2"/>
  <c r="Q41" i="2"/>
  <c r="R51" i="2"/>
  <c r="R182" i="2"/>
  <c r="R118" i="2"/>
  <c r="R176" i="2"/>
  <c r="R66" i="2"/>
  <c r="R181" i="2"/>
  <c r="R49" i="2"/>
  <c r="R67" i="2"/>
  <c r="R152" i="2"/>
  <c r="R60" i="2"/>
  <c r="R166" i="2"/>
  <c r="R58" i="2"/>
  <c r="Q63" i="2"/>
  <c r="R59" i="2"/>
  <c r="R100" i="2"/>
  <c r="R55" i="2"/>
  <c r="R83" i="2"/>
  <c r="R173" i="2"/>
  <c r="R84" i="2"/>
  <c r="R52" i="2"/>
  <c r="R150" i="2"/>
  <c r="Q82" i="2"/>
  <c r="R50" i="2"/>
  <c r="Q85" i="2"/>
  <c r="R124" i="2"/>
  <c r="Q81" i="2"/>
  <c r="R119" i="2"/>
  <c r="Q57" i="2"/>
  <c r="R135" i="2"/>
  <c r="R109" i="2"/>
  <c r="R76" i="2"/>
  <c r="Q44" i="2"/>
  <c r="R134" i="2"/>
  <c r="Q74" i="2"/>
  <c r="Q42" i="2"/>
  <c r="R153" i="2"/>
  <c r="R148" i="2"/>
  <c r="R98" i="2"/>
  <c r="Q61" i="2"/>
  <c r="R144" i="2"/>
  <c r="R73" i="2"/>
  <c r="Q55" i="2"/>
  <c r="Q66" i="2"/>
  <c r="Q50" i="2"/>
  <c r="R114" i="2"/>
  <c r="R88" i="2"/>
  <c r="Q72" i="2"/>
  <c r="R64" i="2"/>
  <c r="R56" i="2"/>
  <c r="R48" i="2"/>
  <c r="R40" i="2"/>
  <c r="R47" i="2"/>
  <c r="R69" i="2"/>
  <c r="R106" i="2"/>
  <c r="R160" i="2"/>
  <c r="R65" i="2"/>
  <c r="R103" i="2"/>
  <c r="R127" i="2"/>
  <c r="R155" i="2"/>
  <c r="R183" i="2"/>
  <c r="Q67" i="2"/>
  <c r="R105" i="2"/>
  <c r="R159" i="2"/>
  <c r="R61" i="2"/>
  <c r="R101" i="2"/>
  <c r="R149" i="2"/>
  <c r="R97" i="2"/>
  <c r="R186" i="2"/>
  <c r="R44" i="2"/>
  <c r="Q59" i="2"/>
  <c r="R75" i="2"/>
  <c r="R91" i="2"/>
  <c r="R104" i="2"/>
  <c r="R120" i="2"/>
  <c r="R141" i="2"/>
  <c r="R163" i="2"/>
  <c r="R96" i="2"/>
  <c r="R80" i="2"/>
  <c r="R72" i="2"/>
  <c r="Q64" i="2"/>
  <c r="Q56" i="2"/>
  <c r="Q48" i="2"/>
  <c r="R39" i="2"/>
  <c r="R174" i="2"/>
  <c r="R158" i="2"/>
  <c r="R142" i="2"/>
  <c r="R126" i="2"/>
  <c r="R110" i="2"/>
  <c r="R102" i="2"/>
  <c r="R94" i="2"/>
  <c r="Q78" i="2"/>
  <c r="R70" i="2"/>
  <c r="Q62" i="2"/>
  <c r="R54" i="2"/>
  <c r="Q46" i="2"/>
  <c r="Q38" i="2"/>
  <c r="R53" i="2"/>
  <c r="Q73" i="2"/>
  <c r="R111" i="2"/>
  <c r="R139" i="2"/>
  <c r="R167" i="2"/>
  <c r="Q49" i="2"/>
  <c r="Q69" i="2"/>
  <c r="R107" i="2"/>
  <c r="R133" i="2"/>
  <c r="R161" i="2"/>
  <c r="R45" i="2"/>
  <c r="R77" i="2"/>
  <c r="Q77" i="2"/>
  <c r="R116" i="2"/>
  <c r="R172" i="2"/>
  <c r="R71" i="2"/>
  <c r="R108" i="2"/>
  <c r="R164" i="2"/>
  <c r="R93" i="2"/>
  <c r="R143" i="2"/>
  <c r="Q40" i="2"/>
  <c r="Q71" i="2"/>
  <c r="R115" i="2"/>
  <c r="R136" i="2"/>
  <c r="R157" i="2"/>
  <c r="R179" i="2"/>
  <c r="R90" i="2"/>
  <c r="R82" i="2"/>
  <c r="R74" i="2"/>
  <c r="Q58" i="2"/>
  <c r="Q43" i="2"/>
  <c r="R178" i="2"/>
  <c r="R162" i="2"/>
  <c r="R146" i="2"/>
  <c r="R130" i="2"/>
  <c r="Q80" i="2"/>
  <c r="R132" i="2"/>
  <c r="R43" i="2"/>
  <c r="R85" i="2"/>
  <c r="Q65" i="2"/>
  <c r="Q51" i="2"/>
  <c r="Q47" i="2"/>
  <c r="R63" i="2"/>
  <c r="R79" i="2"/>
  <c r="R95" i="2"/>
  <c r="R125" i="2"/>
  <c r="R147" i="2"/>
  <c r="R168" i="2"/>
  <c r="R86" i="2"/>
  <c r="R78" i="2"/>
  <c r="Q70" i="2"/>
  <c r="R62" i="2"/>
  <c r="Q54" i="2"/>
  <c r="R46" i="2"/>
  <c r="R38" i="2"/>
  <c r="R170" i="2"/>
  <c r="R154" i="2"/>
  <c r="R138" i="2"/>
  <c r="R122" i="2"/>
  <c r="Q84" i="2"/>
  <c r="Q76" i="2"/>
  <c r="R68" i="2"/>
  <c r="Q60" i="2"/>
  <c r="Q52" i="2"/>
  <c r="R42" i="2"/>
  <c r="R184" i="2"/>
  <c r="R57" i="2"/>
  <c r="Q79" i="2"/>
  <c r="R99" i="2"/>
  <c r="R117" i="2"/>
  <c r="R145" i="2"/>
  <c r="R175" i="2"/>
  <c r="Q53" i="2"/>
  <c r="Q75" i="2"/>
  <c r="R112" i="2"/>
  <c r="R140" i="2"/>
  <c r="R169" i="2"/>
  <c r="Q39" i="2"/>
  <c r="Q45" i="2"/>
  <c r="R89" i="2"/>
  <c r="R129" i="2"/>
  <c r="R185" i="2"/>
  <c r="R81" i="2"/>
  <c r="R121" i="2"/>
  <c r="R177" i="2"/>
  <c r="R165" i="2"/>
  <c r="Q83" i="2"/>
  <c r="R171" i="2"/>
  <c r="R137" i="2"/>
  <c r="R113" i="2"/>
  <c r="R123" i="2"/>
  <c r="R151" i="2"/>
  <c r="R180" i="2"/>
  <c r="R87" i="2"/>
  <c r="R128" i="2"/>
  <c r="R156" i="2"/>
  <c r="U187" i="2"/>
  <c r="V187" i="2" s="1"/>
  <c r="R187" i="2"/>
  <c r="H188" i="2"/>
  <c r="U188" i="2" s="1"/>
  <c r="V188" i="2" s="1"/>
  <c r="Q188" i="2" l="1"/>
  <c r="U193" i="10"/>
  <c r="V193" i="10" s="1"/>
  <c r="H194" i="10"/>
  <c r="Q194" i="10" s="1"/>
  <c r="R193" i="10"/>
  <c r="R188" i="2"/>
  <c r="H189" i="2"/>
  <c r="H190" i="2" l="1"/>
  <c r="Q190" i="2" s="1"/>
  <c r="Q189" i="2"/>
  <c r="U194" i="10"/>
  <c r="V194" i="10" s="1"/>
  <c r="H195" i="10"/>
  <c r="Q195" i="10" s="1"/>
  <c r="R194" i="10"/>
  <c r="R189" i="2"/>
  <c r="U189" i="2"/>
  <c r="V189" i="2" s="1"/>
  <c r="R190" i="2"/>
  <c r="U190" i="2" l="1"/>
  <c r="V190" i="2" s="1"/>
  <c r="H191" i="2"/>
  <c r="Q191" i="2" s="1"/>
  <c r="U195" i="10"/>
  <c r="V195" i="10" s="1"/>
  <c r="H196" i="10"/>
  <c r="Q196" i="10" s="1"/>
  <c r="R195" i="10"/>
  <c r="H192" i="2" l="1"/>
  <c r="Q192" i="2" s="1"/>
  <c r="R191" i="2"/>
  <c r="U191" i="2"/>
  <c r="V191" i="2" s="1"/>
  <c r="U196" i="10"/>
  <c r="V196" i="10" s="1"/>
  <c r="H197" i="10"/>
  <c r="Q197" i="10" s="1"/>
  <c r="R196" i="10"/>
  <c r="H193" i="2" l="1"/>
  <c r="Q193" i="2" s="1"/>
  <c r="R192" i="2"/>
  <c r="U192" i="2"/>
  <c r="V192" i="2" s="1"/>
  <c r="U197" i="10"/>
  <c r="V197" i="10" s="1"/>
  <c r="H198" i="10"/>
  <c r="Q198" i="10" s="1"/>
  <c r="R197" i="10"/>
  <c r="U193" i="2"/>
  <c r="V193" i="2" s="1"/>
  <c r="R193" i="2"/>
  <c r="H194" i="2"/>
  <c r="Q194" i="2" s="1"/>
  <c r="U198" i="10" l="1"/>
  <c r="V198" i="10" s="1"/>
  <c r="H199" i="10"/>
  <c r="Q199" i="10" s="1"/>
  <c r="R198" i="10"/>
  <c r="U194" i="2"/>
  <c r="V194" i="2" s="1"/>
  <c r="H195" i="2"/>
  <c r="Q195" i="2" s="1"/>
  <c r="R194" i="2"/>
  <c r="U199" i="10" l="1"/>
  <c r="V199" i="10" s="1"/>
  <c r="H200" i="10"/>
  <c r="Q200" i="10" s="1"/>
  <c r="R199" i="10"/>
  <c r="U195" i="2"/>
  <c r="V195" i="2" s="1"/>
  <c r="H196" i="2"/>
  <c r="Q196" i="2" s="1"/>
  <c r="R195" i="2"/>
  <c r="U200" i="10" l="1"/>
  <c r="V200" i="10" s="1"/>
  <c r="H201" i="10"/>
  <c r="Q201" i="10" s="1"/>
  <c r="R200" i="10"/>
  <c r="U196" i="2"/>
  <c r="V196" i="2" s="1"/>
  <c r="R196" i="2"/>
  <c r="H197" i="2"/>
  <c r="Q197" i="2" s="1"/>
  <c r="U201" i="10" l="1"/>
  <c r="V201" i="10" s="1"/>
  <c r="H202" i="10"/>
  <c r="Q202" i="10" s="1"/>
  <c r="R201" i="10"/>
  <c r="U197" i="2"/>
  <c r="V197" i="2" s="1"/>
  <c r="R197" i="2"/>
  <c r="H198" i="2"/>
  <c r="Q198" i="2" s="1"/>
  <c r="U202" i="10" l="1"/>
  <c r="V202" i="10" s="1"/>
  <c r="H203" i="10"/>
  <c r="Q203" i="10" s="1"/>
  <c r="R202" i="10"/>
  <c r="U198" i="2"/>
  <c r="V198" i="2" s="1"/>
  <c r="H199" i="2"/>
  <c r="Q199" i="2" s="1"/>
  <c r="R198" i="2"/>
  <c r="U203" i="10" l="1"/>
  <c r="V203" i="10" s="1"/>
  <c r="H204" i="10"/>
  <c r="Q204" i="10" s="1"/>
  <c r="R203" i="10"/>
  <c r="U199" i="2"/>
  <c r="V199" i="2" s="1"/>
  <c r="H200" i="2"/>
  <c r="Q200" i="2" s="1"/>
  <c r="R199" i="2"/>
  <c r="U204" i="10" l="1"/>
  <c r="V204" i="10" s="1"/>
  <c r="H205" i="10"/>
  <c r="Q205" i="10" s="1"/>
  <c r="R204" i="10"/>
  <c r="U200" i="2"/>
  <c r="V200" i="2" s="1"/>
  <c r="R200" i="2"/>
  <c r="H201" i="2"/>
  <c r="Q201" i="2" s="1"/>
  <c r="U205" i="10" l="1"/>
  <c r="V205" i="10" s="1"/>
  <c r="H206" i="10"/>
  <c r="Q206" i="10" s="1"/>
  <c r="R205" i="10"/>
  <c r="U201" i="2"/>
  <c r="V201" i="2" s="1"/>
  <c r="H202" i="2"/>
  <c r="Q202" i="2" s="1"/>
  <c r="R201" i="2"/>
  <c r="U206" i="10" l="1"/>
  <c r="V206" i="10" s="1"/>
  <c r="H207" i="10"/>
  <c r="Q207" i="10" s="1"/>
  <c r="R206" i="10"/>
  <c r="U202" i="2"/>
  <c r="V202" i="2" s="1"/>
  <c r="H203" i="2"/>
  <c r="Q203" i="2" s="1"/>
  <c r="R202" i="2"/>
  <c r="U207" i="10" l="1"/>
  <c r="V207" i="10" s="1"/>
  <c r="H208" i="10"/>
  <c r="Q208" i="10" s="1"/>
  <c r="R207" i="10"/>
  <c r="U203" i="2"/>
  <c r="V203" i="2" s="1"/>
  <c r="H204" i="2"/>
  <c r="Q204" i="2" s="1"/>
  <c r="R203" i="2"/>
  <c r="U208" i="10" l="1"/>
  <c r="V208" i="10" s="1"/>
  <c r="H209" i="10"/>
  <c r="Q209" i="10" s="1"/>
  <c r="R208" i="10"/>
  <c r="U204" i="2"/>
  <c r="V204" i="2" s="1"/>
  <c r="H205" i="2"/>
  <c r="Q205" i="2" s="1"/>
  <c r="R204" i="2"/>
  <c r="U209" i="10" l="1"/>
  <c r="V209" i="10" s="1"/>
  <c r="H210" i="10"/>
  <c r="Q210" i="10" s="1"/>
  <c r="R209" i="10"/>
  <c r="U205" i="2"/>
  <c r="V205" i="2" s="1"/>
  <c r="R205" i="2"/>
  <c r="H206" i="2"/>
  <c r="Q206" i="2" s="1"/>
  <c r="U210" i="10" l="1"/>
  <c r="V210" i="10" s="1"/>
  <c r="H211" i="10"/>
  <c r="Q211" i="10" s="1"/>
  <c r="R210" i="10"/>
  <c r="U206" i="2"/>
  <c r="V206" i="2" s="1"/>
  <c r="R206" i="2"/>
  <c r="H207" i="2"/>
  <c r="Q207" i="2" s="1"/>
  <c r="U211" i="10" l="1"/>
  <c r="V211" i="10" s="1"/>
  <c r="H212" i="10"/>
  <c r="Q212" i="10" s="1"/>
  <c r="R211" i="10"/>
  <c r="U207" i="2"/>
  <c r="V207" i="2" s="1"/>
  <c r="H208" i="2"/>
  <c r="Q208" i="2" s="1"/>
  <c r="R207" i="2"/>
  <c r="U212" i="10" l="1"/>
  <c r="V212" i="10" s="1"/>
  <c r="H213" i="10"/>
  <c r="Q213" i="10" s="1"/>
  <c r="R212" i="10"/>
  <c r="U208" i="2"/>
  <c r="V208" i="2" s="1"/>
  <c r="R208" i="2"/>
  <c r="H209" i="2"/>
  <c r="Q209" i="2" s="1"/>
  <c r="U213" i="10" l="1"/>
  <c r="V213" i="10" s="1"/>
  <c r="H214" i="10"/>
  <c r="Q214" i="10" s="1"/>
  <c r="R213" i="10"/>
  <c r="U209" i="2"/>
  <c r="V209" i="2" s="1"/>
  <c r="H210" i="2"/>
  <c r="Q210" i="2" s="1"/>
  <c r="R209" i="2"/>
  <c r="U214" i="10" l="1"/>
  <c r="V214" i="10" s="1"/>
  <c r="H215" i="10"/>
  <c r="Q215" i="10" s="1"/>
  <c r="R214" i="10"/>
  <c r="U210" i="2"/>
  <c r="V210" i="2" s="1"/>
  <c r="H211" i="2"/>
  <c r="Q211" i="2" s="1"/>
  <c r="R210" i="2"/>
  <c r="U215" i="10" l="1"/>
  <c r="V215" i="10" s="1"/>
  <c r="H216" i="10"/>
  <c r="Q216" i="10" s="1"/>
  <c r="R215" i="10"/>
  <c r="U211" i="2"/>
  <c r="V211" i="2" s="1"/>
  <c r="R211" i="2"/>
  <c r="H212" i="2"/>
  <c r="Q212" i="2" s="1"/>
  <c r="U216" i="10" l="1"/>
  <c r="V216" i="10" s="1"/>
  <c r="H217" i="10"/>
  <c r="Q217" i="10" s="1"/>
  <c r="R216" i="10"/>
  <c r="U212" i="2"/>
  <c r="V212" i="2" s="1"/>
  <c r="R212" i="2"/>
  <c r="H213" i="2"/>
  <c r="Q213" i="2" s="1"/>
  <c r="U217" i="10" l="1"/>
  <c r="V217" i="10" s="1"/>
  <c r="H218" i="10"/>
  <c r="Q218" i="10" s="1"/>
  <c r="R217" i="10"/>
  <c r="U213" i="2"/>
  <c r="V213" i="2" s="1"/>
  <c r="R213" i="2"/>
  <c r="H214" i="2"/>
  <c r="Q214" i="2" s="1"/>
  <c r="U218" i="10" l="1"/>
  <c r="V218" i="10" s="1"/>
  <c r="H219" i="10"/>
  <c r="Q219" i="10" s="1"/>
  <c r="R218" i="10"/>
  <c r="H215" i="2"/>
  <c r="Q215" i="2" s="1"/>
  <c r="U214" i="2"/>
  <c r="V214" i="2" s="1"/>
  <c r="R214" i="2"/>
  <c r="U219" i="10" l="1"/>
  <c r="V219" i="10" s="1"/>
  <c r="H220" i="10"/>
  <c r="Q220" i="10" s="1"/>
  <c r="R219" i="10"/>
  <c r="U215" i="2"/>
  <c r="V215" i="2" s="1"/>
  <c r="H216" i="2"/>
  <c r="Q216" i="2" s="1"/>
  <c r="R215" i="2"/>
  <c r="U220" i="10" l="1"/>
  <c r="V220" i="10" s="1"/>
  <c r="H221" i="10"/>
  <c r="Q221" i="10" s="1"/>
  <c r="R220" i="10"/>
  <c r="U216" i="2"/>
  <c r="V216" i="2" s="1"/>
  <c r="R216" i="2"/>
  <c r="H217" i="2"/>
  <c r="Q217" i="2" s="1"/>
  <c r="U221" i="10" l="1"/>
  <c r="V221" i="10" s="1"/>
  <c r="H222" i="10"/>
  <c r="Q222" i="10" s="1"/>
  <c r="R221" i="10"/>
  <c r="H218" i="2"/>
  <c r="Q218" i="2" s="1"/>
  <c r="U217" i="2"/>
  <c r="V217" i="2" s="1"/>
  <c r="R217" i="2"/>
  <c r="U222" i="10" l="1"/>
  <c r="V222" i="10" s="1"/>
  <c r="H223" i="10"/>
  <c r="Q223" i="10" s="1"/>
  <c r="R222" i="10"/>
  <c r="H219" i="2"/>
  <c r="Q219" i="2" s="1"/>
  <c r="U218" i="2"/>
  <c r="V218" i="2" s="1"/>
  <c r="R218" i="2"/>
  <c r="U223" i="10" l="1"/>
  <c r="V223" i="10" s="1"/>
  <c r="H224" i="10"/>
  <c r="Q224" i="10" s="1"/>
  <c r="R223" i="10"/>
  <c r="U219" i="2"/>
  <c r="V219" i="2" s="1"/>
  <c r="H220" i="2"/>
  <c r="Q220" i="2" s="1"/>
  <c r="R219" i="2"/>
  <c r="U224" i="10" l="1"/>
  <c r="V224" i="10" s="1"/>
  <c r="H225" i="10"/>
  <c r="Q225" i="10" s="1"/>
  <c r="R224" i="10"/>
  <c r="U220" i="2"/>
  <c r="V220" i="2" s="1"/>
  <c r="R220" i="2"/>
  <c r="H221" i="2"/>
  <c r="Q221" i="2" s="1"/>
  <c r="U225" i="10" l="1"/>
  <c r="V225" i="10" s="1"/>
  <c r="H226" i="10"/>
  <c r="Q226" i="10" s="1"/>
  <c r="R225" i="10"/>
  <c r="U221" i="2"/>
  <c r="V221" i="2" s="1"/>
  <c r="H222" i="2"/>
  <c r="Q222" i="2" s="1"/>
  <c r="R221" i="2"/>
  <c r="U226" i="10" l="1"/>
  <c r="V226" i="10" s="1"/>
  <c r="H227" i="10"/>
  <c r="Q227" i="10" s="1"/>
  <c r="R226" i="10"/>
  <c r="U222" i="2"/>
  <c r="V222" i="2" s="1"/>
  <c r="R222" i="2"/>
  <c r="H223" i="2"/>
  <c r="Q223" i="2" s="1"/>
  <c r="U227" i="10" l="1"/>
  <c r="V227" i="10" s="1"/>
  <c r="H228" i="10"/>
  <c r="Q228" i="10" s="1"/>
  <c r="R227" i="10"/>
  <c r="U223" i="2"/>
  <c r="V223" i="2" s="1"/>
  <c r="R223" i="2"/>
  <c r="H224" i="2"/>
  <c r="Q224" i="2" s="1"/>
  <c r="U228" i="10" l="1"/>
  <c r="V228" i="10" s="1"/>
  <c r="H229" i="10"/>
  <c r="Q229" i="10" s="1"/>
  <c r="R228" i="10"/>
  <c r="U224" i="2"/>
  <c r="V224" i="2" s="1"/>
  <c r="H225" i="2"/>
  <c r="Q225" i="2" s="1"/>
  <c r="R224" i="2"/>
  <c r="U229" i="10" l="1"/>
  <c r="V229" i="10" s="1"/>
  <c r="H230" i="10"/>
  <c r="Q230" i="10" s="1"/>
  <c r="R229" i="10"/>
  <c r="U225" i="2"/>
  <c r="V225" i="2" s="1"/>
  <c r="H226" i="2"/>
  <c r="Q226" i="2" s="1"/>
  <c r="R225" i="2"/>
  <c r="U230" i="10" l="1"/>
  <c r="V230" i="10" s="1"/>
  <c r="H231" i="10"/>
  <c r="Q231" i="10" s="1"/>
  <c r="R230" i="10"/>
  <c r="U226" i="2"/>
  <c r="V226" i="2" s="1"/>
  <c r="H227" i="2"/>
  <c r="Q227" i="2" s="1"/>
  <c r="R226" i="2"/>
  <c r="U231" i="10" l="1"/>
  <c r="V231" i="10" s="1"/>
  <c r="H232" i="10"/>
  <c r="Q232" i="10" s="1"/>
  <c r="R231" i="10"/>
  <c r="U227" i="2"/>
  <c r="V227" i="2" s="1"/>
  <c r="H228" i="2"/>
  <c r="Q228" i="2" s="1"/>
  <c r="R227" i="2"/>
  <c r="U232" i="10" l="1"/>
  <c r="V232" i="10" s="1"/>
  <c r="H233" i="10"/>
  <c r="Q233" i="10" s="1"/>
  <c r="R232" i="10"/>
  <c r="U228" i="2"/>
  <c r="V228" i="2" s="1"/>
  <c r="R228" i="2"/>
  <c r="H229" i="2"/>
  <c r="Q229" i="2" s="1"/>
  <c r="U233" i="10" l="1"/>
  <c r="V233" i="10" s="1"/>
  <c r="H234" i="10"/>
  <c r="Q234" i="10" s="1"/>
  <c r="R233" i="10"/>
  <c r="U229" i="2"/>
  <c r="V229" i="2" s="1"/>
  <c r="R229" i="2"/>
  <c r="H230" i="2"/>
  <c r="Q230" i="2" s="1"/>
  <c r="U234" i="10" l="1"/>
  <c r="V234" i="10" s="1"/>
  <c r="H235" i="10"/>
  <c r="Q235" i="10" s="1"/>
  <c r="R234" i="10"/>
  <c r="U230" i="2"/>
  <c r="V230" i="2" s="1"/>
  <c r="R230" i="2"/>
  <c r="H231" i="2"/>
  <c r="Q231" i="2" s="1"/>
  <c r="U235" i="10" l="1"/>
  <c r="V235" i="10" s="1"/>
  <c r="H236" i="10"/>
  <c r="Q236" i="10" s="1"/>
  <c r="R235" i="10"/>
  <c r="U231" i="2"/>
  <c r="V231" i="2" s="1"/>
  <c r="R231" i="2"/>
  <c r="H232" i="2"/>
  <c r="Q232" i="2" s="1"/>
  <c r="U236" i="10" l="1"/>
  <c r="V236" i="10" s="1"/>
  <c r="H237" i="10"/>
  <c r="Q237" i="10" s="1"/>
  <c r="R236" i="10"/>
  <c r="U232" i="2"/>
  <c r="V232" i="2" s="1"/>
  <c r="H233" i="2"/>
  <c r="Q233" i="2" s="1"/>
  <c r="R232" i="2"/>
  <c r="U237" i="10" l="1"/>
  <c r="V237" i="10" s="1"/>
  <c r="H238" i="10"/>
  <c r="Q238" i="10" s="1"/>
  <c r="R237" i="10"/>
  <c r="U233" i="2"/>
  <c r="V233" i="2" s="1"/>
  <c r="H234" i="2"/>
  <c r="Q234" i="2" s="1"/>
  <c r="R233" i="2"/>
  <c r="U238" i="10" l="1"/>
  <c r="V238" i="10" s="1"/>
  <c r="H239" i="10"/>
  <c r="Q239" i="10" s="1"/>
  <c r="R238" i="10"/>
  <c r="U234" i="2"/>
  <c r="V234" i="2" s="1"/>
  <c r="H235" i="2"/>
  <c r="Q235" i="2" s="1"/>
  <c r="R234" i="2"/>
  <c r="U239" i="10" l="1"/>
  <c r="V239" i="10" s="1"/>
  <c r="H240" i="10"/>
  <c r="Q240" i="10" s="1"/>
  <c r="R239" i="10"/>
  <c r="U235" i="2"/>
  <c r="V235" i="2" s="1"/>
  <c r="H236" i="2"/>
  <c r="Q236" i="2" s="1"/>
  <c r="R235" i="2"/>
  <c r="U240" i="10" l="1"/>
  <c r="V240" i="10" s="1"/>
  <c r="H241" i="10"/>
  <c r="Q241" i="10" s="1"/>
  <c r="R240" i="10"/>
  <c r="U236" i="2"/>
  <c r="V236" i="2" s="1"/>
  <c r="H237" i="2"/>
  <c r="Q237" i="2" s="1"/>
  <c r="R236" i="2"/>
  <c r="U241" i="10" l="1"/>
  <c r="V241" i="10" s="1"/>
  <c r="H242" i="10"/>
  <c r="Q242" i="10" s="1"/>
  <c r="R241" i="10"/>
  <c r="U237" i="2"/>
  <c r="V237" i="2" s="1"/>
  <c r="R237" i="2"/>
  <c r="H238" i="2"/>
  <c r="Q238" i="2" s="1"/>
  <c r="U242" i="10" l="1"/>
  <c r="V242" i="10" s="1"/>
  <c r="H243" i="10"/>
  <c r="Q243" i="10" s="1"/>
  <c r="R242" i="10"/>
  <c r="U238" i="2"/>
  <c r="V238" i="2" s="1"/>
  <c r="R238" i="2"/>
  <c r="H239" i="2"/>
  <c r="Q239" i="2" s="1"/>
  <c r="U243" i="10" l="1"/>
  <c r="V243" i="10" s="1"/>
  <c r="H244" i="10"/>
  <c r="Q244" i="10" s="1"/>
  <c r="R243" i="10"/>
  <c r="U239" i="2"/>
  <c r="V239" i="2" s="1"/>
  <c r="R239" i="2"/>
  <c r="H240" i="2"/>
  <c r="Q240" i="2" s="1"/>
  <c r="U244" i="10" l="1"/>
  <c r="V244" i="10" s="1"/>
  <c r="H245" i="10"/>
  <c r="Q245" i="10" s="1"/>
  <c r="R244" i="10"/>
  <c r="U240" i="2"/>
  <c r="V240" i="2" s="1"/>
  <c r="H241" i="2"/>
  <c r="Q241" i="2" s="1"/>
  <c r="R240" i="2"/>
  <c r="U245" i="10" l="1"/>
  <c r="V245" i="10" s="1"/>
  <c r="H246" i="10"/>
  <c r="Q246" i="10" s="1"/>
  <c r="R245" i="10"/>
  <c r="U241" i="2"/>
  <c r="V241" i="2" s="1"/>
  <c r="H242" i="2"/>
  <c r="Q242" i="2" s="1"/>
  <c r="R241" i="2"/>
  <c r="U246" i="10" l="1"/>
  <c r="V246" i="10" s="1"/>
  <c r="H247" i="10"/>
  <c r="Q247" i="10" s="1"/>
  <c r="R246" i="10"/>
  <c r="U242" i="2"/>
  <c r="V242" i="2" s="1"/>
  <c r="H243" i="2"/>
  <c r="Q243" i="2" s="1"/>
  <c r="R242" i="2"/>
  <c r="U247" i="10" l="1"/>
  <c r="V247" i="10" s="1"/>
  <c r="H248" i="10"/>
  <c r="Q248" i="10" s="1"/>
  <c r="R247" i="10"/>
  <c r="U243" i="2"/>
  <c r="V243" i="2" s="1"/>
  <c r="H244" i="2"/>
  <c r="Q244" i="2" s="1"/>
  <c r="R243" i="2"/>
  <c r="U248" i="10" l="1"/>
  <c r="V248" i="10" s="1"/>
  <c r="H249" i="10"/>
  <c r="Q249" i="10" s="1"/>
  <c r="R248" i="10"/>
  <c r="U244" i="2"/>
  <c r="V244" i="2" s="1"/>
  <c r="H245" i="2"/>
  <c r="Q245" i="2" s="1"/>
  <c r="R244" i="2"/>
  <c r="U249" i="10" l="1"/>
  <c r="V249" i="10" s="1"/>
  <c r="H250" i="10"/>
  <c r="Q250" i="10" s="1"/>
  <c r="R249" i="10"/>
  <c r="U245" i="2"/>
  <c r="V245" i="2" s="1"/>
  <c r="H246" i="2"/>
  <c r="Q246" i="2" s="1"/>
  <c r="R245" i="2"/>
  <c r="U250" i="10" l="1"/>
  <c r="V250" i="10" s="1"/>
  <c r="H251" i="10"/>
  <c r="Q251" i="10" s="1"/>
  <c r="R250" i="10"/>
  <c r="U246" i="2"/>
  <c r="V246" i="2" s="1"/>
  <c r="R246" i="2"/>
  <c r="H247" i="2"/>
  <c r="Q247" i="2" s="1"/>
  <c r="U251" i="10" l="1"/>
  <c r="V251" i="10" s="1"/>
  <c r="H252" i="10"/>
  <c r="Q252" i="10" s="1"/>
  <c r="R251" i="10"/>
  <c r="U247" i="2"/>
  <c r="V247" i="2" s="1"/>
  <c r="H248" i="2"/>
  <c r="Q248" i="2" s="1"/>
  <c r="R247" i="2"/>
  <c r="U252" i="10" l="1"/>
  <c r="V252" i="10" s="1"/>
  <c r="H253" i="10"/>
  <c r="Q253" i="10" s="1"/>
  <c r="R252" i="10"/>
  <c r="U248" i="2"/>
  <c r="V248" i="2" s="1"/>
  <c r="H249" i="2"/>
  <c r="Q249" i="2" s="1"/>
  <c r="R248" i="2"/>
  <c r="U253" i="10" l="1"/>
  <c r="V253" i="10" s="1"/>
  <c r="H254" i="10"/>
  <c r="Q254" i="10" s="1"/>
  <c r="R253" i="10"/>
  <c r="U249" i="2"/>
  <c r="V249" i="2" s="1"/>
  <c r="H250" i="2"/>
  <c r="Q250" i="2" s="1"/>
  <c r="R249" i="2"/>
  <c r="U254" i="10" l="1"/>
  <c r="V254" i="10" s="1"/>
  <c r="H255" i="10"/>
  <c r="Q255" i="10" s="1"/>
  <c r="R254" i="10"/>
  <c r="U250" i="2"/>
  <c r="V250" i="2" s="1"/>
  <c r="R250" i="2"/>
  <c r="H251" i="2"/>
  <c r="Q251" i="2" s="1"/>
  <c r="U255" i="10" l="1"/>
  <c r="V255" i="10" s="1"/>
  <c r="H256" i="10"/>
  <c r="Q256" i="10" s="1"/>
  <c r="R255" i="10"/>
  <c r="U251" i="2"/>
  <c r="V251" i="2" s="1"/>
  <c r="H252" i="2"/>
  <c r="Q252" i="2" s="1"/>
  <c r="R251" i="2"/>
  <c r="U256" i="10" l="1"/>
  <c r="V256" i="10" s="1"/>
  <c r="H257" i="10"/>
  <c r="Q257" i="10" s="1"/>
  <c r="R256" i="10"/>
  <c r="U252" i="2"/>
  <c r="V252" i="2" s="1"/>
  <c r="R252" i="2"/>
  <c r="H253" i="2"/>
  <c r="Q253" i="2" s="1"/>
  <c r="U257" i="10" l="1"/>
  <c r="V257" i="10" s="1"/>
  <c r="H258" i="10"/>
  <c r="Q258" i="10" s="1"/>
  <c r="R257" i="10"/>
  <c r="U253" i="2"/>
  <c r="V253" i="2" s="1"/>
  <c r="H254" i="2"/>
  <c r="Q254" i="2" s="1"/>
  <c r="R253" i="2"/>
  <c r="U258" i="10" l="1"/>
  <c r="V258" i="10" s="1"/>
  <c r="H259" i="10"/>
  <c r="Q259" i="10" s="1"/>
  <c r="R258" i="10"/>
  <c r="U254" i="2"/>
  <c r="V254" i="2" s="1"/>
  <c r="H255" i="2"/>
  <c r="Q255" i="2" s="1"/>
  <c r="R254" i="2"/>
  <c r="U259" i="10" l="1"/>
  <c r="V259" i="10" s="1"/>
  <c r="H260" i="10"/>
  <c r="Q260" i="10" s="1"/>
  <c r="R259" i="10"/>
  <c r="U255" i="2"/>
  <c r="V255" i="2" s="1"/>
  <c r="R255" i="2"/>
  <c r="H256" i="2"/>
  <c r="Q256" i="2" s="1"/>
  <c r="U260" i="10" l="1"/>
  <c r="V260" i="10" s="1"/>
  <c r="H261" i="10"/>
  <c r="Q261" i="10" s="1"/>
  <c r="R260" i="10"/>
  <c r="U256" i="2"/>
  <c r="V256" i="2" s="1"/>
  <c r="R256" i="2"/>
  <c r="H257" i="2"/>
  <c r="Q257" i="2" s="1"/>
  <c r="U261" i="10" l="1"/>
  <c r="V261" i="10" s="1"/>
  <c r="H262" i="10"/>
  <c r="Q262" i="10" s="1"/>
  <c r="R261" i="10"/>
  <c r="U257" i="2"/>
  <c r="V257" i="2" s="1"/>
  <c r="H258" i="2"/>
  <c r="Q258" i="2" s="1"/>
  <c r="R257" i="2"/>
  <c r="U262" i="10" l="1"/>
  <c r="V262" i="10" s="1"/>
  <c r="H263" i="10"/>
  <c r="Q263" i="10" s="1"/>
  <c r="R262" i="10"/>
  <c r="U258" i="2"/>
  <c r="V258" i="2" s="1"/>
  <c r="H259" i="2"/>
  <c r="Q259" i="2" s="1"/>
  <c r="R258" i="2"/>
  <c r="U263" i="10" l="1"/>
  <c r="V263" i="10" s="1"/>
  <c r="H264" i="10"/>
  <c r="Q264" i="10" s="1"/>
  <c r="R263" i="10"/>
  <c r="U259" i="2"/>
  <c r="V259" i="2" s="1"/>
  <c r="H260" i="2"/>
  <c r="Q260" i="2" s="1"/>
  <c r="R259" i="2"/>
  <c r="U264" i="10" l="1"/>
  <c r="V264" i="10" s="1"/>
  <c r="H265" i="10"/>
  <c r="Q265" i="10" s="1"/>
  <c r="R264" i="10"/>
  <c r="U260" i="2"/>
  <c r="V260" i="2" s="1"/>
  <c r="R260" i="2"/>
  <c r="H261" i="2"/>
  <c r="Q261" i="2" s="1"/>
  <c r="U265" i="10" l="1"/>
  <c r="V265" i="10" s="1"/>
  <c r="H266" i="10"/>
  <c r="Q266" i="10" s="1"/>
  <c r="R265" i="10"/>
  <c r="U261" i="2"/>
  <c r="V261" i="2" s="1"/>
  <c r="H262" i="2"/>
  <c r="Q262" i="2" s="1"/>
  <c r="R261" i="2"/>
  <c r="U266" i="10" l="1"/>
  <c r="V266" i="10" s="1"/>
  <c r="H267" i="10"/>
  <c r="Q267" i="10" s="1"/>
  <c r="R266" i="10"/>
  <c r="U262" i="2"/>
  <c r="V262" i="2" s="1"/>
  <c r="R262" i="2"/>
  <c r="H263" i="2"/>
  <c r="Q263" i="2" s="1"/>
  <c r="U267" i="10" l="1"/>
  <c r="V267" i="10" s="1"/>
  <c r="H268" i="10"/>
  <c r="Q268" i="10" s="1"/>
  <c r="R267" i="10"/>
  <c r="U263" i="2"/>
  <c r="V263" i="2" s="1"/>
  <c r="R263" i="2"/>
  <c r="H264" i="2"/>
  <c r="Q264" i="2" s="1"/>
  <c r="U268" i="10" l="1"/>
  <c r="V268" i="10" s="1"/>
  <c r="H269" i="10"/>
  <c r="Q269" i="10" s="1"/>
  <c r="R268" i="10"/>
  <c r="U264" i="2"/>
  <c r="V264" i="2" s="1"/>
  <c r="H265" i="2"/>
  <c r="Q265" i="2" s="1"/>
  <c r="R264" i="2"/>
  <c r="U269" i="10" l="1"/>
  <c r="V269" i="10" s="1"/>
  <c r="H270" i="10"/>
  <c r="Q270" i="10" s="1"/>
  <c r="R269" i="10"/>
  <c r="U265" i="2"/>
  <c r="V265" i="2" s="1"/>
  <c r="H266" i="2"/>
  <c r="Q266" i="2" s="1"/>
  <c r="R265" i="2"/>
  <c r="U270" i="10" l="1"/>
  <c r="V270" i="10" s="1"/>
  <c r="H271" i="10"/>
  <c r="Q271" i="10" s="1"/>
  <c r="R270" i="10"/>
  <c r="U266" i="2"/>
  <c r="V266" i="2" s="1"/>
  <c r="H267" i="2"/>
  <c r="Q267" i="2" s="1"/>
  <c r="R266" i="2"/>
  <c r="U271" i="10" l="1"/>
  <c r="V271" i="10" s="1"/>
  <c r="H272" i="10"/>
  <c r="Q272" i="10" s="1"/>
  <c r="R271" i="10"/>
  <c r="U267" i="2"/>
  <c r="V267" i="2" s="1"/>
  <c r="H268" i="2"/>
  <c r="Q268" i="2" s="1"/>
  <c r="R267" i="2"/>
  <c r="U272" i="10" l="1"/>
  <c r="V272" i="10" s="1"/>
  <c r="H273" i="10"/>
  <c r="Q273" i="10" s="1"/>
  <c r="R272" i="10"/>
  <c r="U268" i="2"/>
  <c r="V268" i="2" s="1"/>
  <c r="R268" i="2"/>
  <c r="H269" i="2"/>
  <c r="Q269" i="2" s="1"/>
  <c r="U273" i="10" l="1"/>
  <c r="V273" i="10" s="1"/>
  <c r="H274" i="10"/>
  <c r="Q274" i="10" s="1"/>
  <c r="R273" i="10"/>
  <c r="U269" i="2"/>
  <c r="V269" i="2" s="1"/>
  <c r="R269" i="2"/>
  <c r="H270" i="2"/>
  <c r="Q270" i="2" s="1"/>
  <c r="U274" i="10" l="1"/>
  <c r="V274" i="10" s="1"/>
  <c r="H275" i="10"/>
  <c r="Q275" i="10" s="1"/>
  <c r="R274" i="10"/>
  <c r="H271" i="2"/>
  <c r="Q271" i="2" s="1"/>
  <c r="U270" i="2"/>
  <c r="V270" i="2" s="1"/>
  <c r="R270" i="2"/>
  <c r="U275" i="10" l="1"/>
  <c r="V275" i="10" s="1"/>
  <c r="H276" i="10"/>
  <c r="Q276" i="10" s="1"/>
  <c r="R275" i="10"/>
  <c r="U271" i="2"/>
  <c r="V271" i="2" s="1"/>
  <c r="R271" i="2"/>
  <c r="H272" i="2"/>
  <c r="Q272" i="2" s="1"/>
  <c r="U276" i="10" l="1"/>
  <c r="V276" i="10" s="1"/>
  <c r="H277" i="10"/>
  <c r="Q277" i="10" s="1"/>
  <c r="R276" i="10"/>
  <c r="U272" i="2"/>
  <c r="V272" i="2" s="1"/>
  <c r="H273" i="2"/>
  <c r="Q273" i="2" s="1"/>
  <c r="R272" i="2"/>
  <c r="U277" i="10" l="1"/>
  <c r="V277" i="10" s="1"/>
  <c r="H278" i="10"/>
  <c r="Q278" i="10" s="1"/>
  <c r="R277" i="10"/>
  <c r="U273" i="2"/>
  <c r="V273" i="2" s="1"/>
  <c r="H274" i="2"/>
  <c r="Q274" i="2" s="1"/>
  <c r="R273" i="2"/>
  <c r="U278" i="10" l="1"/>
  <c r="V278" i="10" s="1"/>
  <c r="H279" i="10"/>
  <c r="Q279" i="10" s="1"/>
  <c r="R278" i="10"/>
  <c r="U274" i="2"/>
  <c r="V274" i="2" s="1"/>
  <c r="H275" i="2"/>
  <c r="Q275" i="2" s="1"/>
  <c r="R274" i="2"/>
  <c r="U279" i="10" l="1"/>
  <c r="V279" i="10" s="1"/>
  <c r="H280" i="10"/>
  <c r="Q280" i="10" s="1"/>
  <c r="R279" i="10"/>
  <c r="U275" i="2"/>
  <c r="V275" i="2" s="1"/>
  <c r="H276" i="2"/>
  <c r="Q276" i="2" s="1"/>
  <c r="R275" i="2"/>
  <c r="U280" i="10" l="1"/>
  <c r="V280" i="10" s="1"/>
  <c r="H281" i="10"/>
  <c r="Q281" i="10" s="1"/>
  <c r="R280" i="10"/>
  <c r="U276" i="2"/>
  <c r="V276" i="2" s="1"/>
  <c r="H277" i="2"/>
  <c r="Q277" i="2" s="1"/>
  <c r="R276" i="2"/>
  <c r="U281" i="10" l="1"/>
  <c r="V281" i="10" s="1"/>
  <c r="H282" i="10"/>
  <c r="Q282" i="10" s="1"/>
  <c r="R281" i="10"/>
  <c r="U277" i="2"/>
  <c r="V277" i="2" s="1"/>
  <c r="H278" i="2"/>
  <c r="Q278" i="2" s="1"/>
  <c r="R277" i="2"/>
  <c r="U282" i="10" l="1"/>
  <c r="V282" i="10" s="1"/>
  <c r="H283" i="10"/>
  <c r="Q283" i="10" s="1"/>
  <c r="R282" i="10"/>
  <c r="U278" i="2"/>
  <c r="V278" i="2" s="1"/>
  <c r="R278" i="2"/>
  <c r="H279" i="2"/>
  <c r="Q279" i="2" s="1"/>
  <c r="U283" i="10" l="1"/>
  <c r="V283" i="10" s="1"/>
  <c r="H284" i="10"/>
  <c r="Q284" i="10" s="1"/>
  <c r="R283" i="10"/>
  <c r="U279" i="2"/>
  <c r="V279" i="2" s="1"/>
  <c r="R279" i="2"/>
  <c r="H280" i="2"/>
  <c r="Q280" i="2" s="1"/>
  <c r="U284" i="10" l="1"/>
  <c r="V284" i="10" s="1"/>
  <c r="H285" i="10"/>
  <c r="Q285" i="10" s="1"/>
  <c r="R284" i="10"/>
  <c r="U280" i="2"/>
  <c r="V280" i="2" s="1"/>
  <c r="R280" i="2"/>
  <c r="H281" i="2"/>
  <c r="Q281" i="2" s="1"/>
  <c r="U285" i="10" l="1"/>
  <c r="V285" i="10" s="1"/>
  <c r="H286" i="10"/>
  <c r="Q286" i="10" s="1"/>
  <c r="R285" i="10"/>
  <c r="U281" i="2"/>
  <c r="V281" i="2" s="1"/>
  <c r="H282" i="2"/>
  <c r="Q282" i="2" s="1"/>
  <c r="R281" i="2"/>
  <c r="U286" i="10" l="1"/>
  <c r="V286" i="10" s="1"/>
  <c r="H287" i="10"/>
  <c r="Q287" i="10" s="1"/>
  <c r="R286" i="10"/>
  <c r="U282" i="2"/>
  <c r="V282" i="2" s="1"/>
  <c r="H283" i="2"/>
  <c r="Q283" i="2" s="1"/>
  <c r="R282" i="2"/>
  <c r="U287" i="10" l="1"/>
  <c r="V287" i="10" s="1"/>
  <c r="H288" i="10"/>
  <c r="Q288" i="10" s="1"/>
  <c r="R287" i="10"/>
  <c r="U283" i="2"/>
  <c r="V283" i="2" s="1"/>
  <c r="H284" i="2"/>
  <c r="Q284" i="2" s="1"/>
  <c r="R283" i="2"/>
  <c r="U288" i="10" l="1"/>
  <c r="V288" i="10" s="1"/>
  <c r="H289" i="10"/>
  <c r="Q289" i="10" s="1"/>
  <c r="R288" i="10"/>
  <c r="U284" i="2"/>
  <c r="V284" i="2" s="1"/>
  <c r="H285" i="2"/>
  <c r="Q285" i="2" s="1"/>
  <c r="R284" i="2"/>
  <c r="U289" i="10" l="1"/>
  <c r="V289" i="10" s="1"/>
  <c r="H290" i="10"/>
  <c r="Q290" i="10" s="1"/>
  <c r="R289" i="10"/>
  <c r="U285" i="2"/>
  <c r="V285" i="2" s="1"/>
  <c r="H286" i="2"/>
  <c r="Q286" i="2" s="1"/>
  <c r="R285" i="2"/>
  <c r="U290" i="10" l="1"/>
  <c r="V290" i="10" s="1"/>
  <c r="H291" i="10"/>
  <c r="Q291" i="10" s="1"/>
  <c r="R290" i="10"/>
  <c r="U286" i="2"/>
  <c r="V286" i="2" s="1"/>
  <c r="R286" i="2"/>
  <c r="H287" i="2"/>
  <c r="Q287" i="2" s="1"/>
  <c r="U291" i="10" l="1"/>
  <c r="V291" i="10" s="1"/>
  <c r="H292" i="10"/>
  <c r="Q292" i="10" s="1"/>
  <c r="R291" i="10"/>
  <c r="U287" i="2"/>
  <c r="V287" i="2" s="1"/>
  <c r="H288" i="2"/>
  <c r="Q288" i="2" s="1"/>
  <c r="R287" i="2"/>
  <c r="U292" i="10" l="1"/>
  <c r="V292" i="10" s="1"/>
  <c r="H293" i="10"/>
  <c r="Q293" i="10" s="1"/>
  <c r="R292" i="10"/>
  <c r="U288" i="2"/>
  <c r="V288" i="2" s="1"/>
  <c r="R288" i="2"/>
  <c r="H289" i="2"/>
  <c r="Q289" i="2" s="1"/>
  <c r="U293" i="10" l="1"/>
  <c r="V293" i="10" s="1"/>
  <c r="H294" i="10"/>
  <c r="Q294" i="10" s="1"/>
  <c r="R293" i="10"/>
  <c r="U289" i="2"/>
  <c r="V289" i="2" s="1"/>
  <c r="R289" i="2"/>
  <c r="H290" i="2"/>
  <c r="Q290" i="2" s="1"/>
  <c r="U294" i="10" l="1"/>
  <c r="V294" i="10" s="1"/>
  <c r="H295" i="10"/>
  <c r="Q295" i="10" s="1"/>
  <c r="R294" i="10"/>
  <c r="U290" i="2"/>
  <c r="V290" i="2" s="1"/>
  <c r="H291" i="2"/>
  <c r="Q291" i="2" s="1"/>
  <c r="R290" i="2"/>
  <c r="U295" i="10" l="1"/>
  <c r="V295" i="10" s="1"/>
  <c r="H296" i="10"/>
  <c r="Q296" i="10" s="1"/>
  <c r="R295" i="10"/>
  <c r="U291" i="2"/>
  <c r="V291" i="2" s="1"/>
  <c r="H292" i="2"/>
  <c r="Q292" i="2" s="1"/>
  <c r="R291" i="2"/>
  <c r="U296" i="10" l="1"/>
  <c r="V296" i="10" s="1"/>
  <c r="H297" i="10"/>
  <c r="Q297" i="10" s="1"/>
  <c r="R296" i="10"/>
  <c r="U292" i="2"/>
  <c r="V292" i="2" s="1"/>
  <c r="H293" i="2"/>
  <c r="Q293" i="2" s="1"/>
  <c r="R292" i="2"/>
  <c r="U297" i="10" l="1"/>
  <c r="V297" i="10" s="1"/>
  <c r="H298" i="10"/>
  <c r="Q298" i="10" s="1"/>
  <c r="R297" i="10"/>
  <c r="U293" i="2"/>
  <c r="V293" i="2" s="1"/>
  <c r="H294" i="2"/>
  <c r="Q294" i="2" s="1"/>
  <c r="R293" i="2"/>
  <c r="U298" i="10" l="1"/>
  <c r="V298" i="10" s="1"/>
  <c r="H299" i="10"/>
  <c r="Q299" i="10" s="1"/>
  <c r="R298" i="10"/>
  <c r="U294" i="2"/>
  <c r="V294" i="2" s="1"/>
  <c r="R294" i="2"/>
  <c r="H295" i="2"/>
  <c r="Q295" i="2" s="1"/>
  <c r="U299" i="10" l="1"/>
  <c r="V299" i="10" s="1"/>
  <c r="H300" i="10"/>
  <c r="Q300" i="10" s="1"/>
  <c r="R299" i="10"/>
  <c r="U295" i="2"/>
  <c r="V295" i="2" s="1"/>
  <c r="H296" i="2"/>
  <c r="Q296" i="2" s="1"/>
  <c r="R295" i="2"/>
  <c r="U300" i="10" l="1"/>
  <c r="V300" i="10" s="1"/>
  <c r="H301" i="10"/>
  <c r="Q301" i="10" s="1"/>
  <c r="R300" i="10"/>
  <c r="U296" i="2"/>
  <c r="V296" i="2" s="1"/>
  <c r="R296" i="2"/>
  <c r="H297" i="2"/>
  <c r="Q297" i="2" s="1"/>
  <c r="U301" i="10" l="1"/>
  <c r="V301" i="10" s="1"/>
  <c r="H302" i="10"/>
  <c r="Q302" i="10" s="1"/>
  <c r="R301" i="10"/>
  <c r="U297" i="2"/>
  <c r="V297" i="2" s="1"/>
  <c r="R297" i="2"/>
  <c r="H298" i="2"/>
  <c r="Q298" i="2" s="1"/>
  <c r="U302" i="10" l="1"/>
  <c r="V302" i="10" s="1"/>
  <c r="H303" i="10"/>
  <c r="Q303" i="10" s="1"/>
  <c r="R302" i="10"/>
  <c r="U298" i="2"/>
  <c r="V298" i="2" s="1"/>
  <c r="H299" i="2"/>
  <c r="Q299" i="2" s="1"/>
  <c r="R298" i="2"/>
  <c r="U303" i="10" l="1"/>
  <c r="V303" i="10" s="1"/>
  <c r="H304" i="10"/>
  <c r="Q304" i="10" s="1"/>
  <c r="R303" i="10"/>
  <c r="H300" i="2"/>
  <c r="Q300" i="2" s="1"/>
  <c r="U299" i="2"/>
  <c r="V299" i="2" s="1"/>
  <c r="R299" i="2"/>
  <c r="U304" i="10" l="1"/>
  <c r="V304" i="10" s="1"/>
  <c r="H305" i="10"/>
  <c r="Q305" i="10" s="1"/>
  <c r="R304" i="10"/>
  <c r="U300" i="2"/>
  <c r="V300" i="2" s="1"/>
  <c r="H301" i="2"/>
  <c r="Q301" i="2" s="1"/>
  <c r="R300" i="2"/>
  <c r="U305" i="10" l="1"/>
  <c r="V305" i="10" s="1"/>
  <c r="H306" i="10"/>
  <c r="Q306" i="10" s="1"/>
  <c r="R305" i="10"/>
  <c r="U301" i="2"/>
  <c r="V301" i="2" s="1"/>
  <c r="H302" i="2"/>
  <c r="Q302" i="2" s="1"/>
  <c r="R301" i="2"/>
  <c r="U306" i="10" l="1"/>
  <c r="V306" i="10" s="1"/>
  <c r="H307" i="10"/>
  <c r="Q307" i="10" s="1"/>
  <c r="R306" i="10"/>
  <c r="U302" i="2"/>
  <c r="V302" i="2" s="1"/>
  <c r="H303" i="2"/>
  <c r="Q303" i="2" s="1"/>
  <c r="R302" i="2"/>
  <c r="U307" i="10" l="1"/>
  <c r="V307" i="10" s="1"/>
  <c r="H308" i="10"/>
  <c r="Q308" i="10" s="1"/>
  <c r="R307" i="10"/>
  <c r="U303" i="2"/>
  <c r="V303" i="2" s="1"/>
  <c r="R303" i="2"/>
  <c r="H304" i="2"/>
  <c r="Q304" i="2" s="1"/>
  <c r="U308" i="10" l="1"/>
  <c r="V308" i="10" s="1"/>
  <c r="H309" i="10"/>
  <c r="Q309" i="10" s="1"/>
  <c r="R308" i="10"/>
  <c r="U304" i="2"/>
  <c r="V304" i="2" s="1"/>
  <c r="R304" i="2"/>
  <c r="H305" i="2"/>
  <c r="Q305" i="2" s="1"/>
  <c r="U309" i="10" l="1"/>
  <c r="V309" i="10" s="1"/>
  <c r="H310" i="10"/>
  <c r="Q310" i="10" s="1"/>
  <c r="R309" i="10"/>
  <c r="U305" i="2"/>
  <c r="V305" i="2" s="1"/>
  <c r="H306" i="2"/>
  <c r="Q306" i="2" s="1"/>
  <c r="R305" i="2"/>
  <c r="U310" i="10" l="1"/>
  <c r="V310" i="10" s="1"/>
  <c r="H311" i="10"/>
  <c r="Q311" i="10" s="1"/>
  <c r="R310" i="10"/>
  <c r="U306" i="2"/>
  <c r="V306" i="2" s="1"/>
  <c r="H307" i="2"/>
  <c r="Q307" i="2" s="1"/>
  <c r="R306" i="2"/>
  <c r="U311" i="10" l="1"/>
  <c r="V311" i="10" s="1"/>
  <c r="H312" i="10"/>
  <c r="Q312" i="10" s="1"/>
  <c r="R311" i="10"/>
  <c r="U307" i="2"/>
  <c r="V307" i="2" s="1"/>
  <c r="H308" i="2"/>
  <c r="Q308" i="2" s="1"/>
  <c r="R307" i="2"/>
  <c r="U312" i="10" l="1"/>
  <c r="V312" i="10" s="1"/>
  <c r="H313" i="10"/>
  <c r="Q313" i="10" s="1"/>
  <c r="R312" i="10"/>
  <c r="U308" i="2"/>
  <c r="V308" i="2" s="1"/>
  <c r="H309" i="2"/>
  <c r="Q309" i="2" s="1"/>
  <c r="R308" i="2"/>
  <c r="U313" i="10" l="1"/>
  <c r="V313" i="10" s="1"/>
  <c r="H314" i="10"/>
  <c r="Q314" i="10" s="1"/>
  <c r="R313" i="10"/>
  <c r="U309" i="2"/>
  <c r="V309" i="2" s="1"/>
  <c r="R309" i="2"/>
  <c r="H310" i="2"/>
  <c r="Q310" i="2" s="1"/>
  <c r="U314" i="10" l="1"/>
  <c r="V314" i="10" s="1"/>
  <c r="H315" i="10"/>
  <c r="Q315" i="10" s="1"/>
  <c r="R314" i="10"/>
  <c r="U310" i="2"/>
  <c r="V310" i="2" s="1"/>
  <c r="R310" i="2"/>
  <c r="H311" i="2"/>
  <c r="Q311" i="2" s="1"/>
  <c r="U315" i="10" l="1"/>
  <c r="V315" i="10" s="1"/>
  <c r="H316" i="10"/>
  <c r="Q316" i="10" s="1"/>
  <c r="R315" i="10"/>
  <c r="U311" i="2"/>
  <c r="V311" i="2" s="1"/>
  <c r="H312" i="2"/>
  <c r="Q312" i="2" s="1"/>
  <c r="R311" i="2"/>
  <c r="U316" i="10" l="1"/>
  <c r="V316" i="10" s="1"/>
  <c r="H317" i="10"/>
  <c r="Q317" i="10" s="1"/>
  <c r="R316" i="10"/>
  <c r="U312" i="2"/>
  <c r="V312" i="2" s="1"/>
  <c r="R312" i="2"/>
  <c r="H313" i="2"/>
  <c r="Q313" i="2" s="1"/>
  <c r="U317" i="10" l="1"/>
  <c r="V317" i="10" s="1"/>
  <c r="H318" i="10"/>
  <c r="Q318" i="10" s="1"/>
  <c r="R317" i="10"/>
  <c r="U313" i="2"/>
  <c r="V313" i="2" s="1"/>
  <c r="H314" i="2"/>
  <c r="Q314" i="2" s="1"/>
  <c r="R313" i="2"/>
  <c r="U318" i="10" l="1"/>
  <c r="V318" i="10" s="1"/>
  <c r="H319" i="10"/>
  <c r="Q319" i="10" s="1"/>
  <c r="R318" i="10"/>
  <c r="U314" i="2"/>
  <c r="V314" i="2" s="1"/>
  <c r="R314" i="2"/>
  <c r="H315" i="2"/>
  <c r="Q315" i="2" s="1"/>
  <c r="U319" i="10" l="1"/>
  <c r="V319" i="10" s="1"/>
  <c r="H320" i="10"/>
  <c r="Q320" i="10" s="1"/>
  <c r="R319" i="10"/>
  <c r="U315" i="2"/>
  <c r="V315" i="2" s="1"/>
  <c r="H316" i="2"/>
  <c r="Q316" i="2" s="1"/>
  <c r="R315" i="2"/>
  <c r="U320" i="10" l="1"/>
  <c r="V320" i="10" s="1"/>
  <c r="H321" i="10"/>
  <c r="Q321" i="10" s="1"/>
  <c r="R320" i="10"/>
  <c r="H317" i="2"/>
  <c r="Q317" i="2" s="1"/>
  <c r="U316" i="2"/>
  <c r="V316" i="2" s="1"/>
  <c r="R316" i="2"/>
  <c r="U321" i="10" l="1"/>
  <c r="V321" i="10" s="1"/>
  <c r="H322" i="10"/>
  <c r="Q322" i="10" s="1"/>
  <c r="R321" i="10"/>
  <c r="U317" i="2"/>
  <c r="V317" i="2" s="1"/>
  <c r="R317" i="2"/>
  <c r="H318" i="2"/>
  <c r="Q318" i="2" s="1"/>
  <c r="U322" i="10" l="1"/>
  <c r="V322" i="10" s="1"/>
  <c r="H323" i="10"/>
  <c r="Q323" i="10" s="1"/>
  <c r="R322" i="10"/>
  <c r="U318" i="2"/>
  <c r="V318" i="2" s="1"/>
  <c r="R318" i="2"/>
  <c r="H319" i="2"/>
  <c r="Q319" i="2" s="1"/>
  <c r="U323" i="10" l="1"/>
  <c r="V323" i="10" s="1"/>
  <c r="H324" i="10"/>
  <c r="Q324" i="10" s="1"/>
  <c r="R323" i="10"/>
  <c r="U319" i="2"/>
  <c r="V319" i="2" s="1"/>
  <c r="R319" i="2"/>
  <c r="H320" i="2"/>
  <c r="Q320" i="2" s="1"/>
  <c r="U324" i="10" l="1"/>
  <c r="V324" i="10" s="1"/>
  <c r="H325" i="10"/>
  <c r="Q325" i="10" s="1"/>
  <c r="R324" i="10"/>
  <c r="H321" i="2"/>
  <c r="Q321" i="2" s="1"/>
  <c r="U320" i="2"/>
  <c r="V320" i="2" s="1"/>
  <c r="R320" i="2"/>
  <c r="U325" i="10" l="1"/>
  <c r="V325" i="10" s="1"/>
  <c r="H326" i="10"/>
  <c r="Q326" i="10" s="1"/>
  <c r="R325" i="10"/>
  <c r="U321" i="2"/>
  <c r="V321" i="2" s="1"/>
  <c r="R321" i="2"/>
  <c r="H322" i="2"/>
  <c r="Q322" i="2" s="1"/>
  <c r="U326" i="10" l="1"/>
  <c r="V326" i="10" s="1"/>
  <c r="H327" i="10"/>
  <c r="Q327" i="10" s="1"/>
  <c r="R326" i="10"/>
  <c r="U322" i="2"/>
  <c r="V322" i="2" s="1"/>
  <c r="H323" i="2"/>
  <c r="Q323" i="2" s="1"/>
  <c r="R322" i="2"/>
  <c r="U327" i="10" l="1"/>
  <c r="V327" i="10" s="1"/>
  <c r="H328" i="10"/>
  <c r="Q328" i="10" s="1"/>
  <c r="R327" i="10"/>
  <c r="H324" i="2"/>
  <c r="Q324" i="2" s="1"/>
  <c r="U323" i="2"/>
  <c r="V323" i="2" s="1"/>
  <c r="R323" i="2"/>
  <c r="U328" i="10" l="1"/>
  <c r="V328" i="10" s="1"/>
  <c r="H329" i="10"/>
  <c r="Q329" i="10" s="1"/>
  <c r="R328" i="10"/>
  <c r="H325" i="2"/>
  <c r="Q325" i="2" s="1"/>
  <c r="U324" i="2"/>
  <c r="V324" i="2" s="1"/>
  <c r="R324" i="2"/>
  <c r="U329" i="10" l="1"/>
  <c r="V329" i="10" s="1"/>
  <c r="H330" i="10"/>
  <c r="Q330" i="10" s="1"/>
  <c r="R329" i="10"/>
  <c r="U325" i="2"/>
  <c r="V325" i="2" s="1"/>
  <c r="R325" i="2"/>
  <c r="H326" i="2"/>
  <c r="Q326" i="2" s="1"/>
  <c r="U330" i="10" l="1"/>
  <c r="V330" i="10" s="1"/>
  <c r="H331" i="10"/>
  <c r="Q331" i="10" s="1"/>
  <c r="R330" i="10"/>
  <c r="U326" i="2"/>
  <c r="V326" i="2" s="1"/>
  <c r="H327" i="2"/>
  <c r="Q327" i="2" s="1"/>
  <c r="R326" i="2"/>
  <c r="U331" i="10" l="1"/>
  <c r="V331" i="10" s="1"/>
  <c r="H332" i="10"/>
  <c r="Q332" i="10" s="1"/>
  <c r="R331" i="10"/>
  <c r="U327" i="2"/>
  <c r="V327" i="2" s="1"/>
  <c r="H328" i="2"/>
  <c r="Q328" i="2" s="1"/>
  <c r="R327" i="2"/>
  <c r="U332" i="10" l="1"/>
  <c r="V332" i="10" s="1"/>
  <c r="H333" i="10"/>
  <c r="Q333" i="10" s="1"/>
  <c r="R332" i="10"/>
  <c r="U328" i="2"/>
  <c r="V328" i="2" s="1"/>
  <c r="H329" i="2"/>
  <c r="Q329" i="2" s="1"/>
  <c r="R328" i="2"/>
  <c r="U333" i="10" l="1"/>
  <c r="V333" i="10" s="1"/>
  <c r="H334" i="10"/>
  <c r="Q334" i="10" s="1"/>
  <c r="R333" i="10"/>
  <c r="U329" i="2"/>
  <c r="V329" i="2" s="1"/>
  <c r="R329" i="2"/>
  <c r="H330" i="2"/>
  <c r="Q330" i="2" s="1"/>
  <c r="U334" i="10" l="1"/>
  <c r="V334" i="10" s="1"/>
  <c r="H335" i="10"/>
  <c r="Q335" i="10" s="1"/>
  <c r="R334" i="10"/>
  <c r="U330" i="2"/>
  <c r="V330" i="2" s="1"/>
  <c r="H331" i="2"/>
  <c r="Q331" i="2" s="1"/>
  <c r="R330" i="2"/>
  <c r="U335" i="10" l="1"/>
  <c r="V335" i="10" s="1"/>
  <c r="H336" i="10"/>
  <c r="Q336" i="10" s="1"/>
  <c r="R335" i="10"/>
  <c r="U331" i="2"/>
  <c r="V331" i="2" s="1"/>
  <c r="H332" i="2"/>
  <c r="Q332" i="2" s="1"/>
  <c r="R331" i="2"/>
  <c r="U336" i="10" l="1"/>
  <c r="V336" i="10" s="1"/>
  <c r="H337" i="10"/>
  <c r="Q337" i="10" s="1"/>
  <c r="R336" i="10"/>
  <c r="H333" i="2"/>
  <c r="Q333" i="2" s="1"/>
  <c r="U332" i="2"/>
  <c r="V332" i="2" s="1"/>
  <c r="R332" i="2"/>
  <c r="U337" i="10" l="1"/>
  <c r="V337" i="10" s="1"/>
  <c r="H338" i="10"/>
  <c r="Q338" i="10" s="1"/>
  <c r="R337" i="10"/>
  <c r="U333" i="2"/>
  <c r="V333" i="2" s="1"/>
  <c r="R333" i="2"/>
  <c r="H334" i="2"/>
  <c r="Q334" i="2" s="1"/>
  <c r="U338" i="10" l="1"/>
  <c r="V338" i="10" s="1"/>
  <c r="H339" i="10"/>
  <c r="Q339" i="10" s="1"/>
  <c r="R338" i="10"/>
  <c r="H335" i="2"/>
  <c r="Q335" i="2" s="1"/>
  <c r="U334" i="2"/>
  <c r="V334" i="2" s="1"/>
  <c r="R334" i="2"/>
  <c r="U339" i="10" l="1"/>
  <c r="V339" i="10" s="1"/>
  <c r="H340" i="10"/>
  <c r="Q340" i="10" s="1"/>
  <c r="R339" i="10"/>
  <c r="U335" i="2"/>
  <c r="V335" i="2" s="1"/>
  <c r="H336" i="2"/>
  <c r="Q336" i="2" s="1"/>
  <c r="R335" i="2"/>
  <c r="U340" i="10" l="1"/>
  <c r="V340" i="10" s="1"/>
  <c r="H341" i="10"/>
  <c r="Q341" i="10" s="1"/>
  <c r="R340" i="10"/>
  <c r="U336" i="2"/>
  <c r="V336" i="2" s="1"/>
  <c r="H337" i="2"/>
  <c r="Q337" i="2" s="1"/>
  <c r="R336" i="2"/>
  <c r="U341" i="10" l="1"/>
  <c r="V341" i="10" s="1"/>
  <c r="H342" i="10"/>
  <c r="Q342" i="10" s="1"/>
  <c r="R341" i="10"/>
  <c r="U337" i="2"/>
  <c r="V337" i="2" s="1"/>
  <c r="H338" i="2"/>
  <c r="Q338" i="2" s="1"/>
  <c r="R337" i="2"/>
  <c r="U342" i="10" l="1"/>
  <c r="V342" i="10" s="1"/>
  <c r="H343" i="10"/>
  <c r="Q343" i="10" s="1"/>
  <c r="R342" i="10"/>
  <c r="U338" i="2"/>
  <c r="V338" i="2" s="1"/>
  <c r="H339" i="2"/>
  <c r="Q339" i="2" s="1"/>
  <c r="R338" i="2"/>
  <c r="U343" i="10" l="1"/>
  <c r="V343" i="10" s="1"/>
  <c r="H344" i="10"/>
  <c r="Q344" i="10" s="1"/>
  <c r="R343" i="10"/>
  <c r="U339" i="2"/>
  <c r="V339" i="2" s="1"/>
  <c r="R339" i="2"/>
  <c r="H340" i="2"/>
  <c r="Q340" i="2" s="1"/>
  <c r="U344" i="10" l="1"/>
  <c r="V344" i="10" s="1"/>
  <c r="H345" i="10"/>
  <c r="Q345" i="10" s="1"/>
  <c r="R344" i="10"/>
  <c r="H341" i="2"/>
  <c r="Q341" i="2" s="1"/>
  <c r="U340" i="2"/>
  <c r="V340" i="2" s="1"/>
  <c r="R340" i="2"/>
  <c r="U345" i="10" l="1"/>
  <c r="V345" i="10" s="1"/>
  <c r="H346" i="10"/>
  <c r="Q346" i="10" s="1"/>
  <c r="R345" i="10"/>
  <c r="U341" i="2"/>
  <c r="V341" i="2" s="1"/>
  <c r="H342" i="2"/>
  <c r="Q342" i="2" s="1"/>
  <c r="R341" i="2"/>
  <c r="U346" i="10" l="1"/>
  <c r="V346" i="10" s="1"/>
  <c r="H347" i="10"/>
  <c r="Q347" i="10" s="1"/>
  <c r="R346" i="10"/>
  <c r="H343" i="2"/>
  <c r="Q343" i="2" s="1"/>
  <c r="U342" i="2"/>
  <c r="V342" i="2" s="1"/>
  <c r="R342" i="2"/>
  <c r="U347" i="10" l="1"/>
  <c r="V347" i="10" s="1"/>
  <c r="H348" i="10"/>
  <c r="Q348" i="10" s="1"/>
  <c r="R347" i="10"/>
  <c r="U343" i="2"/>
  <c r="V343" i="2" s="1"/>
  <c r="H344" i="2"/>
  <c r="Q344" i="2" s="1"/>
  <c r="R343" i="2"/>
  <c r="U348" i="10" l="1"/>
  <c r="V348" i="10" s="1"/>
  <c r="H349" i="10"/>
  <c r="Q349" i="10" s="1"/>
  <c r="R348" i="10"/>
  <c r="U344" i="2"/>
  <c r="V344" i="2" s="1"/>
  <c r="H345" i="2"/>
  <c r="Q345" i="2" s="1"/>
  <c r="R344" i="2"/>
  <c r="U349" i="10" l="1"/>
  <c r="V349" i="10" s="1"/>
  <c r="H350" i="10"/>
  <c r="Q350" i="10" s="1"/>
  <c r="R349" i="10"/>
  <c r="U345" i="2"/>
  <c r="V345" i="2" s="1"/>
  <c r="H346" i="2"/>
  <c r="Q346" i="2" s="1"/>
  <c r="R345" i="2"/>
  <c r="U350" i="10" l="1"/>
  <c r="V350" i="10" s="1"/>
  <c r="H351" i="10"/>
  <c r="Q351" i="10" s="1"/>
  <c r="R350" i="10"/>
  <c r="U346" i="2"/>
  <c r="V346" i="2" s="1"/>
  <c r="R346" i="2"/>
  <c r="H347" i="2"/>
  <c r="Q347" i="2" s="1"/>
  <c r="U351" i="10" l="1"/>
  <c r="V351" i="10" s="1"/>
  <c r="H352" i="10"/>
  <c r="Q352" i="10" s="1"/>
  <c r="R351" i="10"/>
  <c r="U347" i="2"/>
  <c r="V347" i="2" s="1"/>
  <c r="R347" i="2"/>
  <c r="H348" i="2"/>
  <c r="Q348" i="2" s="1"/>
  <c r="U352" i="10" l="1"/>
  <c r="V352" i="10" s="1"/>
  <c r="H353" i="10"/>
  <c r="Q353" i="10" s="1"/>
  <c r="R352" i="10"/>
  <c r="H349" i="2"/>
  <c r="Q349" i="2" s="1"/>
  <c r="U348" i="2"/>
  <c r="V348" i="2" s="1"/>
  <c r="R348" i="2"/>
  <c r="U353" i="10" l="1"/>
  <c r="V353" i="10" s="1"/>
  <c r="H354" i="10"/>
  <c r="Q354" i="10" s="1"/>
  <c r="R353" i="10"/>
  <c r="U349" i="2"/>
  <c r="V349" i="2" s="1"/>
  <c r="R349" i="2"/>
  <c r="H350" i="2"/>
  <c r="Q350" i="2" s="1"/>
  <c r="U354" i="10" l="1"/>
  <c r="V354" i="10" s="1"/>
  <c r="H355" i="10"/>
  <c r="Q355" i="10" s="1"/>
  <c r="R354" i="10"/>
  <c r="H351" i="2"/>
  <c r="Q351" i="2" s="1"/>
  <c r="U350" i="2"/>
  <c r="V350" i="2" s="1"/>
  <c r="R350" i="2"/>
  <c r="U355" i="10" l="1"/>
  <c r="V355" i="10" s="1"/>
  <c r="H356" i="10"/>
  <c r="Q356" i="10" s="1"/>
  <c r="R355" i="10"/>
  <c r="U351" i="2"/>
  <c r="V351" i="2" s="1"/>
  <c r="H352" i="2"/>
  <c r="Q352" i="2" s="1"/>
  <c r="R351" i="2"/>
  <c r="U356" i="10" l="1"/>
  <c r="V356" i="10" s="1"/>
  <c r="H357" i="10"/>
  <c r="Q357" i="10" s="1"/>
  <c r="R356" i="10"/>
  <c r="U352" i="2"/>
  <c r="V352" i="2" s="1"/>
  <c r="H353" i="2"/>
  <c r="Q353" i="2" s="1"/>
  <c r="R352" i="2"/>
  <c r="U357" i="10" l="1"/>
  <c r="V357" i="10" s="1"/>
  <c r="H358" i="10"/>
  <c r="Q358" i="10" s="1"/>
  <c r="R357" i="10"/>
  <c r="U353" i="2"/>
  <c r="V353" i="2" s="1"/>
  <c r="R353" i="2"/>
  <c r="H354" i="2"/>
  <c r="Q354" i="2" s="1"/>
  <c r="U358" i="10" l="1"/>
  <c r="V358" i="10" s="1"/>
  <c r="H359" i="10"/>
  <c r="Q359" i="10" s="1"/>
  <c r="R358" i="10"/>
  <c r="U354" i="2"/>
  <c r="V354" i="2" s="1"/>
  <c r="R354" i="2"/>
  <c r="H355" i="2"/>
  <c r="Q355" i="2" s="1"/>
  <c r="U359" i="10" l="1"/>
  <c r="V359" i="10" s="1"/>
  <c r="H360" i="10"/>
  <c r="Q360" i="10" s="1"/>
  <c r="R359" i="10"/>
  <c r="U355" i="2"/>
  <c r="V355" i="2" s="1"/>
  <c r="R355" i="2"/>
  <c r="H356" i="2"/>
  <c r="Q356" i="2" s="1"/>
  <c r="U360" i="10" l="1"/>
  <c r="V360" i="10" s="1"/>
  <c r="H361" i="10"/>
  <c r="Q361" i="10" s="1"/>
  <c r="R360" i="10"/>
  <c r="H357" i="2"/>
  <c r="Q357" i="2" s="1"/>
  <c r="U356" i="2"/>
  <c r="V356" i="2" s="1"/>
  <c r="R356" i="2"/>
  <c r="U361" i="10" l="1"/>
  <c r="V361" i="10" s="1"/>
  <c r="H362" i="10"/>
  <c r="Q362" i="10" s="1"/>
  <c r="R361" i="10"/>
  <c r="U357" i="2"/>
  <c r="V357" i="2" s="1"/>
  <c r="R357" i="2"/>
  <c r="H358" i="2"/>
  <c r="Q358" i="2" s="1"/>
  <c r="U362" i="10" l="1"/>
  <c r="V362" i="10" s="1"/>
  <c r="H363" i="10"/>
  <c r="Q363" i="10" s="1"/>
  <c r="R362" i="10"/>
  <c r="H359" i="2"/>
  <c r="Q359" i="2" s="1"/>
  <c r="U358" i="2"/>
  <c r="V358" i="2" s="1"/>
  <c r="R358" i="2"/>
  <c r="U363" i="10" l="1"/>
  <c r="V363" i="10" s="1"/>
  <c r="H364" i="10"/>
  <c r="Q364" i="10" s="1"/>
  <c r="R363" i="10"/>
  <c r="U359" i="2"/>
  <c r="V359" i="2" s="1"/>
  <c r="H360" i="2"/>
  <c r="Q360" i="2" s="1"/>
  <c r="R359" i="2"/>
  <c r="U364" i="10" l="1"/>
  <c r="V364" i="10" s="1"/>
  <c r="H365" i="10"/>
  <c r="Q365" i="10" s="1"/>
  <c r="R364" i="10"/>
  <c r="U360" i="2"/>
  <c r="V360" i="2" s="1"/>
  <c r="H361" i="2"/>
  <c r="Q361" i="2" s="1"/>
  <c r="R360" i="2"/>
  <c r="U365" i="10" l="1"/>
  <c r="V365" i="10" s="1"/>
  <c r="H366" i="10"/>
  <c r="Q366" i="10" s="1"/>
  <c r="R365" i="10"/>
  <c r="U361" i="2"/>
  <c r="V361" i="2" s="1"/>
  <c r="R361" i="2"/>
  <c r="H362" i="2"/>
  <c r="Q362" i="2" s="1"/>
  <c r="U366" i="10" l="1"/>
  <c r="V366" i="10" s="1"/>
  <c r="H367" i="10"/>
  <c r="Q367" i="10" s="1"/>
  <c r="R366" i="10"/>
  <c r="U362" i="2"/>
  <c r="V362" i="2" s="1"/>
  <c r="R362" i="2"/>
  <c r="H363" i="2"/>
  <c r="Q363" i="2" s="1"/>
  <c r="U367" i="10" l="1"/>
  <c r="V367" i="10" s="1"/>
  <c r="H368" i="10"/>
  <c r="Q368" i="10" s="1"/>
  <c r="R367" i="10"/>
  <c r="U363" i="2"/>
  <c r="V363" i="2" s="1"/>
  <c r="R363" i="2"/>
  <c r="H364" i="2"/>
  <c r="Q364" i="2" s="1"/>
  <c r="U368" i="10" l="1"/>
  <c r="V368" i="10" s="1"/>
  <c r="H369" i="10"/>
  <c r="Q369" i="10" s="1"/>
  <c r="R368" i="10"/>
  <c r="H365" i="2"/>
  <c r="Q365" i="2" s="1"/>
  <c r="U364" i="2"/>
  <c r="V364" i="2" s="1"/>
  <c r="R364" i="2"/>
  <c r="U369" i="10" l="1"/>
  <c r="V369" i="10" s="1"/>
  <c r="H370" i="10"/>
  <c r="Q370" i="10" s="1"/>
  <c r="R369" i="10"/>
  <c r="U365" i="2"/>
  <c r="V365" i="2" s="1"/>
  <c r="R365" i="2"/>
  <c r="H366" i="2"/>
  <c r="Q366" i="2" s="1"/>
  <c r="U370" i="10" l="1"/>
  <c r="V370" i="10" s="1"/>
  <c r="H371" i="10"/>
  <c r="Q371" i="10" s="1"/>
  <c r="R370" i="10"/>
  <c r="H367" i="2"/>
  <c r="Q367" i="2" s="1"/>
  <c r="U366" i="2"/>
  <c r="V366" i="2" s="1"/>
  <c r="R366" i="2"/>
  <c r="U371" i="10" l="1"/>
  <c r="V371" i="10" s="1"/>
  <c r="H372" i="10"/>
  <c r="Q372" i="10" s="1"/>
  <c r="R371" i="10"/>
  <c r="U367" i="2"/>
  <c r="V367" i="2" s="1"/>
  <c r="H368" i="2"/>
  <c r="Q368" i="2" s="1"/>
  <c r="R367" i="2"/>
  <c r="U372" i="10" l="1"/>
  <c r="V372" i="10" s="1"/>
  <c r="H373" i="10"/>
  <c r="Q373" i="10" s="1"/>
  <c r="R372" i="10"/>
  <c r="U368" i="2"/>
  <c r="V368" i="2" s="1"/>
  <c r="H369" i="2"/>
  <c r="Q369" i="2" s="1"/>
  <c r="R368" i="2"/>
  <c r="U373" i="10" l="1"/>
  <c r="V373" i="10" s="1"/>
  <c r="H374" i="10"/>
  <c r="Q374" i="10" s="1"/>
  <c r="R373" i="10"/>
  <c r="U369" i="2"/>
  <c r="V369" i="2" s="1"/>
  <c r="R369" i="2"/>
  <c r="H370" i="2"/>
  <c r="Q370" i="2" s="1"/>
  <c r="U374" i="10" l="1"/>
  <c r="V374" i="10" s="1"/>
  <c r="H375" i="10"/>
  <c r="Q375" i="10" s="1"/>
  <c r="R374" i="10"/>
  <c r="U370" i="2"/>
  <c r="V370" i="2" s="1"/>
  <c r="R370" i="2"/>
  <c r="H371" i="2"/>
  <c r="Q371" i="2" s="1"/>
  <c r="U375" i="10" l="1"/>
  <c r="V375" i="10" s="1"/>
  <c r="H376" i="10"/>
  <c r="Q376" i="10" s="1"/>
  <c r="R375" i="10"/>
  <c r="U371" i="2"/>
  <c r="V371" i="2" s="1"/>
  <c r="R371" i="2"/>
  <c r="H372" i="2"/>
  <c r="Q372" i="2" s="1"/>
  <c r="U376" i="10" l="1"/>
  <c r="V376" i="10" s="1"/>
  <c r="H377" i="10"/>
  <c r="Q377" i="10" s="1"/>
  <c r="R376" i="10"/>
  <c r="H373" i="2"/>
  <c r="Q373" i="2" s="1"/>
  <c r="U372" i="2"/>
  <c r="V372" i="2" s="1"/>
  <c r="R372" i="2"/>
  <c r="U377" i="10" l="1"/>
  <c r="V377" i="10" s="1"/>
  <c r="H378" i="10"/>
  <c r="Q378" i="10" s="1"/>
  <c r="R377" i="10"/>
  <c r="U373" i="2"/>
  <c r="V373" i="2" s="1"/>
  <c r="R373" i="2"/>
  <c r="H374" i="2"/>
  <c r="Q374" i="2" s="1"/>
  <c r="U378" i="10" l="1"/>
  <c r="V378" i="10" s="1"/>
  <c r="H379" i="10"/>
  <c r="Q379" i="10" s="1"/>
  <c r="R378" i="10"/>
  <c r="H375" i="2"/>
  <c r="Q375" i="2" s="1"/>
  <c r="U374" i="2"/>
  <c r="V374" i="2" s="1"/>
  <c r="R374" i="2"/>
  <c r="U379" i="10" l="1"/>
  <c r="V379" i="10" s="1"/>
  <c r="H380" i="10"/>
  <c r="Q380" i="10" s="1"/>
  <c r="R379" i="10"/>
  <c r="U375" i="2"/>
  <c r="V375" i="2" s="1"/>
  <c r="H376" i="2"/>
  <c r="Q376" i="2" s="1"/>
  <c r="R375" i="2"/>
  <c r="U380" i="10" l="1"/>
  <c r="V380" i="10" s="1"/>
  <c r="H381" i="10"/>
  <c r="Q381" i="10" s="1"/>
  <c r="R380" i="10"/>
  <c r="U376" i="2"/>
  <c r="V376" i="2" s="1"/>
  <c r="H377" i="2"/>
  <c r="Q377" i="2" s="1"/>
  <c r="R376" i="2"/>
  <c r="U381" i="10" l="1"/>
  <c r="V381" i="10" s="1"/>
  <c r="H382" i="10"/>
  <c r="Q382" i="10" s="1"/>
  <c r="R381" i="10"/>
  <c r="U377" i="2"/>
  <c r="V377" i="2" s="1"/>
  <c r="R377" i="2"/>
  <c r="H378" i="2"/>
  <c r="Q378" i="2" s="1"/>
  <c r="U382" i="10" l="1"/>
  <c r="V382" i="10" s="1"/>
  <c r="H383" i="10"/>
  <c r="Q383" i="10" s="1"/>
  <c r="R382" i="10"/>
  <c r="U378" i="2"/>
  <c r="V378" i="2" s="1"/>
  <c r="R378" i="2"/>
  <c r="H379" i="2"/>
  <c r="Q379" i="2" s="1"/>
  <c r="U383" i="10" l="1"/>
  <c r="V383" i="10" s="1"/>
  <c r="H384" i="10"/>
  <c r="Q384" i="10" s="1"/>
  <c r="R383" i="10"/>
  <c r="U379" i="2"/>
  <c r="V379" i="2" s="1"/>
  <c r="R379" i="2"/>
  <c r="H380" i="2"/>
  <c r="Q380" i="2" s="1"/>
  <c r="U384" i="10" l="1"/>
  <c r="V384" i="10" s="1"/>
  <c r="H385" i="10"/>
  <c r="Q385" i="10" s="1"/>
  <c r="R384" i="10"/>
  <c r="H381" i="2"/>
  <c r="Q381" i="2" s="1"/>
  <c r="U380" i="2"/>
  <c r="V380" i="2" s="1"/>
  <c r="R380" i="2"/>
  <c r="U385" i="10" l="1"/>
  <c r="V385" i="10" s="1"/>
  <c r="H386" i="10"/>
  <c r="Q386" i="10" s="1"/>
  <c r="R385" i="10"/>
  <c r="U381" i="2"/>
  <c r="V381" i="2" s="1"/>
  <c r="R381" i="2"/>
  <c r="H382" i="2"/>
  <c r="Q382" i="2" s="1"/>
  <c r="U386" i="10" l="1"/>
  <c r="V386" i="10" s="1"/>
  <c r="H387" i="10"/>
  <c r="Q387" i="10" s="1"/>
  <c r="R386" i="10"/>
  <c r="H383" i="2"/>
  <c r="Q383" i="2" s="1"/>
  <c r="U382" i="2"/>
  <c r="V382" i="2" s="1"/>
  <c r="R382" i="2"/>
  <c r="U387" i="10" l="1"/>
  <c r="V387" i="10" s="1"/>
  <c r="H388" i="10"/>
  <c r="Q388" i="10" s="1"/>
  <c r="R387" i="10"/>
  <c r="U383" i="2"/>
  <c r="V383" i="2" s="1"/>
  <c r="H384" i="2"/>
  <c r="Q384" i="2" s="1"/>
  <c r="R383" i="2"/>
  <c r="U388" i="10" l="1"/>
  <c r="V388" i="10" s="1"/>
  <c r="H389" i="10"/>
  <c r="Q389" i="10" s="1"/>
  <c r="R388" i="10"/>
  <c r="U384" i="2"/>
  <c r="V384" i="2" s="1"/>
  <c r="H385" i="2"/>
  <c r="Q385" i="2" s="1"/>
  <c r="R384" i="2"/>
  <c r="U389" i="10" l="1"/>
  <c r="V389" i="10" s="1"/>
  <c r="H390" i="10"/>
  <c r="Q390" i="10" s="1"/>
  <c r="R389" i="10"/>
  <c r="U385" i="2"/>
  <c r="V385" i="2" s="1"/>
  <c r="R385" i="2"/>
  <c r="H386" i="2"/>
  <c r="Q386" i="2" s="1"/>
  <c r="U390" i="10" l="1"/>
  <c r="V390" i="10" s="1"/>
  <c r="H391" i="10"/>
  <c r="Q391" i="10" s="1"/>
  <c r="R390" i="10"/>
  <c r="U386" i="2"/>
  <c r="V386" i="2" s="1"/>
  <c r="H387" i="2"/>
  <c r="Q387" i="2" s="1"/>
  <c r="R386" i="2"/>
  <c r="U391" i="10" l="1"/>
  <c r="V391" i="10" s="1"/>
  <c r="H392" i="10"/>
  <c r="Q392" i="10" s="1"/>
  <c r="R391" i="10"/>
  <c r="U387" i="2"/>
  <c r="V387" i="2" s="1"/>
  <c r="R387" i="2"/>
  <c r="H388" i="2"/>
  <c r="Q388" i="2" s="1"/>
  <c r="U392" i="10" l="1"/>
  <c r="V392" i="10" s="1"/>
  <c r="H393" i="10"/>
  <c r="Q393" i="10" s="1"/>
  <c r="R392" i="10"/>
  <c r="H389" i="2"/>
  <c r="Q389" i="2" s="1"/>
  <c r="U388" i="2"/>
  <c r="V388" i="2" s="1"/>
  <c r="R388" i="2"/>
  <c r="U393" i="10" l="1"/>
  <c r="V393" i="10" s="1"/>
  <c r="H394" i="10"/>
  <c r="Q394" i="10" s="1"/>
  <c r="R393" i="10"/>
  <c r="U389" i="2"/>
  <c r="V389" i="2" s="1"/>
  <c r="H390" i="2"/>
  <c r="Q390" i="2" s="1"/>
  <c r="R389" i="2"/>
  <c r="U394" i="10" l="1"/>
  <c r="V394" i="10" s="1"/>
  <c r="H395" i="10"/>
  <c r="Q395" i="10" s="1"/>
  <c r="R394" i="10"/>
  <c r="H391" i="2"/>
  <c r="Q391" i="2" s="1"/>
  <c r="U390" i="2"/>
  <c r="V390" i="2" s="1"/>
  <c r="R390" i="2"/>
  <c r="U395" i="10" l="1"/>
  <c r="V395" i="10" s="1"/>
  <c r="H396" i="10"/>
  <c r="Q396" i="10" s="1"/>
  <c r="R395" i="10"/>
  <c r="U391" i="2"/>
  <c r="V391" i="2" s="1"/>
  <c r="H392" i="2"/>
  <c r="Q392" i="2" s="1"/>
  <c r="R391" i="2"/>
  <c r="U396" i="10" l="1"/>
  <c r="V396" i="10" s="1"/>
  <c r="H397" i="10"/>
  <c r="Q397" i="10" s="1"/>
  <c r="Q36" i="10" s="1"/>
  <c r="R396" i="10"/>
  <c r="U392" i="2"/>
  <c r="V392" i="2" s="1"/>
  <c r="H393" i="2"/>
  <c r="Q393" i="2" s="1"/>
  <c r="R392" i="2"/>
  <c r="U397" i="10" l="1"/>
  <c r="V397" i="10" s="1"/>
  <c r="R397" i="10"/>
  <c r="R36" i="10" s="1"/>
  <c r="C30" i="10" s="1"/>
  <c r="U393" i="2"/>
  <c r="V393" i="2" s="1"/>
  <c r="H394" i="2"/>
  <c r="Q394" i="2" s="1"/>
  <c r="R393" i="2"/>
  <c r="O272" i="10" l="1"/>
  <c r="O346" i="10"/>
  <c r="O381" i="10"/>
  <c r="O173" i="10"/>
  <c r="O128" i="10"/>
  <c r="O206" i="10"/>
  <c r="O391" i="10"/>
  <c r="O183" i="10"/>
  <c r="O111" i="10"/>
  <c r="O175" i="10"/>
  <c r="O307" i="10"/>
  <c r="O386" i="10"/>
  <c r="O136" i="10"/>
  <c r="O396" i="10"/>
  <c r="O304" i="10"/>
  <c r="O389" i="10"/>
  <c r="O222" i="10"/>
  <c r="O142" i="10"/>
  <c r="O151" i="10"/>
  <c r="O127" i="10"/>
  <c r="O277" i="10"/>
  <c r="O318" i="10"/>
  <c r="O244" i="10"/>
  <c r="O342" i="10"/>
  <c r="O117" i="10"/>
  <c r="O395" i="10"/>
  <c r="O387" i="10"/>
  <c r="O122" i="10"/>
  <c r="O354" i="10"/>
  <c r="O139" i="10"/>
  <c r="O358" i="10"/>
  <c r="O329" i="10"/>
  <c r="O397" i="10"/>
  <c r="O216" i="10"/>
  <c r="O150" i="10"/>
  <c r="O219" i="10"/>
  <c r="O330" i="10"/>
  <c r="O224" i="10"/>
  <c r="O176" i="10"/>
  <c r="O130" i="10"/>
  <c r="O348" i="10"/>
  <c r="O385" i="10"/>
  <c r="O344" i="10"/>
  <c r="O137" i="10"/>
  <c r="O201" i="10"/>
  <c r="O331" i="10"/>
  <c r="O363" i="10"/>
  <c r="O290" i="10"/>
  <c r="O147" i="10"/>
  <c r="O124" i="10"/>
  <c r="O339" i="10"/>
  <c r="O191" i="10"/>
  <c r="O256" i="10"/>
  <c r="O212" i="10"/>
  <c r="O159" i="10"/>
  <c r="O284" i="10"/>
  <c r="O369" i="10"/>
  <c r="O299" i="10"/>
  <c r="O266" i="10"/>
  <c r="O298" i="10"/>
  <c r="O192" i="10"/>
  <c r="O368" i="10"/>
  <c r="O326" i="10"/>
  <c r="O121" i="10"/>
  <c r="O238" i="10"/>
  <c r="O347" i="10"/>
  <c r="O370" i="10"/>
  <c r="O189" i="10"/>
  <c r="O254" i="10"/>
  <c r="O180" i="10"/>
  <c r="O115" i="10"/>
  <c r="O172" i="10"/>
  <c r="O297" i="10"/>
  <c r="O155" i="10"/>
  <c r="O198" i="10"/>
  <c r="O234" i="10"/>
  <c r="O181" i="10"/>
  <c r="O190" i="10"/>
  <c r="O281" i="10"/>
  <c r="O215" i="10"/>
  <c r="O320" i="10"/>
  <c r="O377" i="10"/>
  <c r="O280" i="10"/>
  <c r="O211" i="10"/>
  <c r="O149" i="10"/>
  <c r="O279" i="10"/>
  <c r="O226" i="10"/>
  <c r="O225" i="10"/>
  <c r="O278" i="10"/>
  <c r="O131" i="10"/>
  <c r="O361" i="10"/>
  <c r="O262" i="10"/>
  <c r="O351" i="10"/>
  <c r="O257" i="10"/>
  <c r="O296" i="10"/>
  <c r="O230" i="10"/>
  <c r="O317" i="10"/>
  <c r="O213" i="10"/>
  <c r="O177" i="10"/>
  <c r="O349" i="10"/>
  <c r="O144" i="10"/>
  <c r="O229" i="10"/>
  <c r="O332" i="10"/>
  <c r="O285" i="10"/>
  <c r="O375" i="10"/>
  <c r="O294" i="10"/>
  <c r="O327" i="10"/>
  <c r="O251" i="10"/>
  <c r="O338" i="10"/>
  <c r="O309" i="10"/>
  <c r="O157" i="10"/>
  <c r="O378" i="10"/>
  <c r="O231" i="10"/>
  <c r="O152" i="10"/>
  <c r="O227" i="10"/>
  <c r="O310" i="10"/>
  <c r="O340" i="10"/>
  <c r="O293" i="10"/>
  <c r="O233" i="10"/>
  <c r="O367" i="10"/>
  <c r="O235" i="10"/>
  <c r="O353" i="10"/>
  <c r="O325" i="10"/>
  <c r="O237" i="10"/>
  <c r="O364" i="10"/>
  <c r="O210" i="10"/>
  <c r="O301" i="10"/>
  <c r="O335" i="10"/>
  <c r="O261" i="10"/>
  <c r="O313" i="10"/>
  <c r="O328" i="10"/>
  <c r="O178" i="10"/>
  <c r="O146" i="10"/>
  <c r="O148" i="10"/>
  <c r="O382" i="10"/>
  <c r="O274" i="10"/>
  <c r="O356" i="10"/>
  <c r="O322" i="10"/>
  <c r="O135" i="10"/>
  <c r="O352" i="10"/>
  <c r="O249" i="10"/>
  <c r="O196" i="10"/>
  <c r="O165" i="10"/>
  <c r="O228" i="10"/>
  <c r="O160" i="10"/>
  <c r="O270" i="10"/>
  <c r="O248" i="10"/>
  <c r="O388" i="10"/>
  <c r="O118" i="10"/>
  <c r="O214" i="10"/>
  <c r="O185" i="10"/>
  <c r="O394" i="10"/>
  <c r="O275" i="10"/>
  <c r="O171" i="10"/>
  <c r="O323" i="10"/>
  <c r="O371" i="10"/>
  <c r="O204" i="10"/>
  <c r="O200" i="10"/>
  <c r="O337" i="10"/>
  <c r="O260" i="10"/>
  <c r="O184" i="10"/>
  <c r="O334" i="10"/>
  <c r="O197" i="10"/>
  <c r="O357" i="10"/>
  <c r="O194" i="10"/>
  <c r="O123" i="10"/>
  <c r="O314" i="10"/>
  <c r="O271" i="10"/>
  <c r="O163" i="10"/>
  <c r="O250" i="10"/>
  <c r="O141" i="10"/>
  <c r="O333" i="10"/>
  <c r="O316" i="10"/>
  <c r="O288" i="10"/>
  <c r="O240" i="10"/>
  <c r="O207" i="10"/>
  <c r="O303" i="10"/>
  <c r="O300" i="10"/>
  <c r="O345" i="10"/>
  <c r="O267" i="10"/>
  <c r="O133" i="10"/>
  <c r="O166" i="10"/>
  <c r="O264" i="10"/>
  <c r="O113" i="10"/>
  <c r="O287" i="10"/>
  <c r="O125" i="10"/>
  <c r="O164" i="10"/>
  <c r="O366" i="10"/>
  <c r="O154" i="10"/>
  <c r="O145" i="10"/>
  <c r="O315" i="10"/>
  <c r="O243" i="10"/>
  <c r="O188" i="10"/>
  <c r="O324" i="10"/>
  <c r="O276" i="10"/>
  <c r="O132" i="10"/>
  <c r="O218" i="10"/>
  <c r="O392" i="10"/>
  <c r="O289" i="10"/>
  <c r="O193" i="10"/>
  <c r="O120" i="10"/>
  <c r="O380" i="10"/>
  <c r="O263" i="10"/>
  <c r="O373" i="10"/>
  <c r="O286" i="10"/>
  <c r="O253" i="10"/>
  <c r="O221" i="10"/>
  <c r="O247" i="10"/>
  <c r="O295" i="10"/>
  <c r="O291" i="10"/>
  <c r="O259" i="10"/>
  <c r="O343" i="10"/>
  <c r="O393" i="10"/>
  <c r="O119" i="10"/>
  <c r="O112" i="10"/>
  <c r="O143" i="10"/>
  <c r="O269" i="10"/>
  <c r="O390" i="10"/>
  <c r="O179" i="10"/>
  <c r="O129" i="10"/>
  <c r="O362" i="10"/>
  <c r="O203" i="10"/>
  <c r="O365" i="10"/>
  <c r="O379" i="10"/>
  <c r="O283" i="10"/>
  <c r="O169" i="10"/>
  <c r="O292" i="10"/>
  <c r="O217" i="10"/>
  <c r="O350" i="10"/>
  <c r="O302" i="10"/>
  <c r="O359" i="10"/>
  <c r="O232" i="10"/>
  <c r="O170" i="10"/>
  <c r="O246" i="10"/>
  <c r="O162" i="10"/>
  <c r="O199" i="10"/>
  <c r="O376" i="10"/>
  <c r="O360" i="10"/>
  <c r="O187" i="10"/>
  <c r="O186" i="10"/>
  <c r="O223" i="10"/>
  <c r="O205" i="10"/>
  <c r="O220" i="10"/>
  <c r="O236" i="10"/>
  <c r="O273" i="10"/>
  <c r="O258" i="10"/>
  <c r="O134" i="10"/>
  <c r="O126" i="10"/>
  <c r="O306" i="10"/>
  <c r="O239" i="10"/>
  <c r="O138" i="10"/>
  <c r="O114" i="10"/>
  <c r="O156" i="10"/>
  <c r="O312" i="10"/>
  <c r="O116" i="10"/>
  <c r="O282" i="10"/>
  <c r="O374" i="10"/>
  <c r="O384" i="10"/>
  <c r="O195" i="10"/>
  <c r="O168" i="10"/>
  <c r="O311" i="10"/>
  <c r="O202" i="10"/>
  <c r="O321" i="10"/>
  <c r="O268" i="10"/>
  <c r="O174" i="10"/>
  <c r="O305" i="10"/>
  <c r="O319" i="10"/>
  <c r="O167" i="10"/>
  <c r="O161" i="10"/>
  <c r="O308" i="10"/>
  <c r="O241" i="10"/>
  <c r="O265" i="10"/>
  <c r="O252" i="10"/>
  <c r="O372" i="10"/>
  <c r="O208" i="10"/>
  <c r="O182" i="10"/>
  <c r="O255" i="10"/>
  <c r="O242" i="10"/>
  <c r="O383" i="10"/>
  <c r="O336" i="10"/>
  <c r="O158" i="10"/>
  <c r="O153" i="10"/>
  <c r="O355" i="10"/>
  <c r="O245" i="10"/>
  <c r="O209" i="10"/>
  <c r="O140" i="10"/>
  <c r="O341" i="10"/>
  <c r="O53" i="10"/>
  <c r="O67" i="10"/>
  <c r="O38" i="10"/>
  <c r="J38" i="10" s="1"/>
  <c r="O73" i="10"/>
  <c r="O60" i="10"/>
  <c r="O45" i="10"/>
  <c r="O84" i="10"/>
  <c r="O82" i="10"/>
  <c r="O76" i="10"/>
  <c r="O40" i="10"/>
  <c r="O94" i="10"/>
  <c r="O80" i="10"/>
  <c r="O52" i="10"/>
  <c r="O75" i="10"/>
  <c r="O100" i="10"/>
  <c r="O57" i="10"/>
  <c r="O48" i="10"/>
  <c r="O85" i="10"/>
  <c r="O44" i="10"/>
  <c r="O81" i="10"/>
  <c r="O41" i="10"/>
  <c r="O50" i="10"/>
  <c r="O95" i="10"/>
  <c r="O74" i="10"/>
  <c r="O55" i="10"/>
  <c r="O59" i="10"/>
  <c r="O47" i="10"/>
  <c r="O90" i="10"/>
  <c r="O83" i="10"/>
  <c r="O106" i="10"/>
  <c r="O62" i="10"/>
  <c r="O72" i="10"/>
  <c r="O99" i="10"/>
  <c r="O78" i="10"/>
  <c r="O89" i="10"/>
  <c r="O98" i="10"/>
  <c r="O70" i="10"/>
  <c r="O77" i="10"/>
  <c r="O43" i="10"/>
  <c r="O69" i="10"/>
  <c r="O68" i="10"/>
  <c r="O96" i="10"/>
  <c r="O46" i="10"/>
  <c r="O63" i="10"/>
  <c r="O58" i="10"/>
  <c r="O87" i="10"/>
  <c r="O103" i="10"/>
  <c r="O51" i="10"/>
  <c r="O54" i="10"/>
  <c r="O91" i="10"/>
  <c r="O79" i="10"/>
  <c r="O105" i="10"/>
  <c r="O97" i="10"/>
  <c r="O88" i="10"/>
  <c r="O102" i="10"/>
  <c r="O108" i="10"/>
  <c r="O56" i="10"/>
  <c r="O92" i="10"/>
  <c r="O101" i="10"/>
  <c r="O104" i="10"/>
  <c r="O86" i="10"/>
  <c r="O107" i="10"/>
  <c r="O93" i="10"/>
  <c r="O65" i="10"/>
  <c r="O71" i="10"/>
  <c r="O42" i="10"/>
  <c r="O66" i="10"/>
  <c r="U394" i="2"/>
  <c r="V394" i="2" s="1"/>
  <c r="R394" i="2"/>
  <c r="H395" i="2"/>
  <c r="Q395" i="2" s="1"/>
  <c r="T38" i="10" l="1"/>
  <c r="W38" i="10" s="1"/>
  <c r="P38" i="10"/>
  <c r="I39" i="10" s="1"/>
  <c r="U395" i="2"/>
  <c r="V395" i="2" s="1"/>
  <c r="H396" i="2"/>
  <c r="Q396" i="2" s="1"/>
  <c r="R395" i="2"/>
  <c r="K39" i="10" l="1"/>
  <c r="L39" i="10"/>
  <c r="U396" i="2"/>
  <c r="V396" i="2" s="1"/>
  <c r="R396" i="2"/>
  <c r="H397" i="2"/>
  <c r="Q397" i="2" s="1"/>
  <c r="Q36" i="2" s="1"/>
  <c r="O39" i="10" l="1"/>
  <c r="X39" i="10" s="1"/>
  <c r="U397" i="2"/>
  <c r="V397" i="2" s="1"/>
  <c r="R397" i="2"/>
  <c r="J39" i="10" l="1"/>
  <c r="T39" i="10" s="1"/>
  <c r="W39" i="10" s="1"/>
  <c r="Y39" i="10"/>
  <c r="R36" i="2"/>
  <c r="C30" i="2" s="1"/>
  <c r="O168" i="2" s="1"/>
  <c r="O163" i="2"/>
  <c r="O164" i="2"/>
  <c r="O165" i="2"/>
  <c r="O167" i="2"/>
  <c r="O174" i="2"/>
  <c r="O175" i="2"/>
  <c r="O176" i="2"/>
  <c r="O177" i="2"/>
  <c r="O179" i="2"/>
  <c r="O138" i="2"/>
  <c r="O139" i="2"/>
  <c r="O140" i="2"/>
  <c r="O141" i="2"/>
  <c r="O142" i="2"/>
  <c r="O143" i="2"/>
  <c r="O144" i="2"/>
  <c r="O145" i="2"/>
  <c r="O146" i="2"/>
  <c r="O147" i="2"/>
  <c r="O149" i="2"/>
  <c r="O150" i="2"/>
  <c r="O151" i="2"/>
  <c r="O152" i="2"/>
  <c r="O153" i="2"/>
  <c r="O154" i="2"/>
  <c r="O155" i="2"/>
  <c r="O156" i="2"/>
  <c r="O118" i="2"/>
  <c r="O119" i="2"/>
  <c r="O120" i="2"/>
  <c r="O121" i="2"/>
  <c r="O122" i="2"/>
  <c r="O123" i="2"/>
  <c r="O124" i="2"/>
  <c r="O125" i="2"/>
  <c r="O126" i="2"/>
  <c r="O128" i="2"/>
  <c r="O129" i="2"/>
  <c r="O130" i="2"/>
  <c r="O131" i="2"/>
  <c r="O132" i="2"/>
  <c r="O133" i="2"/>
  <c r="O134" i="2"/>
  <c r="O135" i="2"/>
  <c r="O136" i="2"/>
  <c r="O116" i="2"/>
  <c r="P39" i="10" l="1"/>
  <c r="I40" i="10" s="1"/>
  <c r="L40" i="10" s="1"/>
  <c r="O186" i="2"/>
  <c r="O162" i="2"/>
  <c r="O183" i="2"/>
  <c r="O181" i="2"/>
  <c r="O148" i="2"/>
  <c r="O185" i="2"/>
  <c r="O173" i="2"/>
  <c r="O161" i="2"/>
  <c r="O184" i="2"/>
  <c r="O172" i="2"/>
  <c r="O160" i="2"/>
  <c r="O171" i="2"/>
  <c r="O159" i="2"/>
  <c r="O182" i="2"/>
  <c r="O170" i="2"/>
  <c r="O158" i="2"/>
  <c r="O169" i="2"/>
  <c r="O180" i="2"/>
  <c r="O390" i="2"/>
  <c r="O310" i="2"/>
  <c r="O278" i="2"/>
  <c r="O262" i="2"/>
  <c r="O246" i="2"/>
  <c r="O230" i="2"/>
  <c r="O210" i="2"/>
  <c r="O194" i="2"/>
  <c r="O334" i="2"/>
  <c r="O294" i="2"/>
  <c r="O226" i="2"/>
  <c r="O394" i="2"/>
  <c r="O386" i="2"/>
  <c r="O378" i="2"/>
  <c r="O370" i="2"/>
  <c r="O362" i="2"/>
  <c r="O354" i="2"/>
  <c r="O346" i="2"/>
  <c r="O338" i="2"/>
  <c r="O330" i="2"/>
  <c r="O322" i="2"/>
  <c r="O314" i="2"/>
  <c r="O306" i="2"/>
  <c r="O234" i="2"/>
  <c r="O208" i="2"/>
  <c r="O192" i="2"/>
  <c r="O298" i="2"/>
  <c r="O205" i="2"/>
  <c r="O189" i="2"/>
  <c r="O193" i="2"/>
  <c r="O218" i="2"/>
  <c r="O212" i="2"/>
  <c r="O196" i="2"/>
  <c r="O374" i="2"/>
  <c r="O366" i="2"/>
  <c r="O358" i="2"/>
  <c r="O350" i="2"/>
  <c r="O342" i="2"/>
  <c r="O326" i="2"/>
  <c r="O318" i="2"/>
  <c r="O209" i="2"/>
  <c r="O206" i="2"/>
  <c r="O290" i="2"/>
  <c r="O274" i="2"/>
  <c r="O258" i="2"/>
  <c r="O242" i="2"/>
  <c r="O190" i="2"/>
  <c r="O302" i="2"/>
  <c r="O216" i="2"/>
  <c r="O200" i="2"/>
  <c r="O382" i="2"/>
  <c r="O340" i="2"/>
  <c r="O238" i="2"/>
  <c r="O286" i="2"/>
  <c r="O359" i="2"/>
  <c r="O237" i="2"/>
  <c r="O285" i="2"/>
  <c r="O376" i="2"/>
  <c r="O303" i="2"/>
  <c r="O267" i="2"/>
  <c r="O379" i="2"/>
  <c r="O313" i="2"/>
  <c r="O337" i="2"/>
  <c r="O361" i="2"/>
  <c r="O385" i="2"/>
  <c r="O195" i="2"/>
  <c r="O263" i="2"/>
  <c r="O245" i="2"/>
  <c r="O367" i="2"/>
  <c r="O221" i="2"/>
  <c r="O287" i="2"/>
  <c r="O244" i="2"/>
  <c r="O292" i="2"/>
  <c r="O384" i="2"/>
  <c r="O281" i="2"/>
  <c r="O387" i="2"/>
  <c r="O275" i="2"/>
  <c r="O241" i="2"/>
  <c r="O289" i="2"/>
  <c r="O375" i="2"/>
  <c r="O219" i="2"/>
  <c r="O222" i="2"/>
  <c r="O250" i="2"/>
  <c r="O299" i="2"/>
  <c r="O392" i="2"/>
  <c r="O199" i="2"/>
  <c r="O288" i="2"/>
  <c r="O395" i="2"/>
  <c r="O317" i="2"/>
  <c r="O341" i="2"/>
  <c r="O365" i="2"/>
  <c r="O389" i="2"/>
  <c r="O211" i="2"/>
  <c r="O261" i="2"/>
  <c r="O248" i="2"/>
  <c r="O383" i="2"/>
  <c r="O201" i="2"/>
  <c r="O215" i="2"/>
  <c r="O283" i="2"/>
  <c r="O300" i="2"/>
  <c r="O295" i="2"/>
  <c r="O279" i="2"/>
  <c r="O284" i="2"/>
  <c r="O191" i="2"/>
  <c r="O254" i="2"/>
  <c r="O391" i="2"/>
  <c r="O228" i="2"/>
  <c r="O239" i="2"/>
  <c r="O253" i="2"/>
  <c r="O312" i="2"/>
  <c r="O217" i="2"/>
  <c r="O233" i="2"/>
  <c r="O315" i="2"/>
  <c r="O321" i="2"/>
  <c r="O345" i="2"/>
  <c r="O369" i="2"/>
  <c r="O393" i="2"/>
  <c r="O291" i="2"/>
  <c r="O268" i="2"/>
  <c r="O260" i="2"/>
  <c r="O320" i="2"/>
  <c r="O223" i="2"/>
  <c r="O225" i="2"/>
  <c r="O240" i="2"/>
  <c r="O323" i="2"/>
  <c r="O197" i="2"/>
  <c r="O204" i="2"/>
  <c r="O229" i="2"/>
  <c r="O332" i="2"/>
  <c r="O348" i="2"/>
  <c r="O257" i="2"/>
  <c r="O311" i="2"/>
  <c r="O380" i="2"/>
  <c r="O266" i="2"/>
  <c r="O328" i="2"/>
  <c r="O235" i="2"/>
  <c r="O331" i="2"/>
  <c r="O293" i="2"/>
  <c r="O325" i="2"/>
  <c r="O349" i="2"/>
  <c r="O373" i="2"/>
  <c r="O397" i="2"/>
  <c r="O231" i="2"/>
  <c r="O308" i="2"/>
  <c r="O356" i="2"/>
  <c r="O372" i="2"/>
  <c r="O296" i="2"/>
  <c r="O264" i="2"/>
  <c r="O319" i="2"/>
  <c r="O277" i="2"/>
  <c r="O255" i="2"/>
  <c r="O336" i="2"/>
  <c r="O249" i="2"/>
  <c r="O339" i="2"/>
  <c r="O213" i="2"/>
  <c r="O297" i="2"/>
  <c r="O364" i="2"/>
  <c r="O243" i="2"/>
  <c r="O270" i="2"/>
  <c r="O327" i="2"/>
  <c r="O269" i="2"/>
  <c r="O344" i="2"/>
  <c r="O307" i="2"/>
  <c r="O256" i="2"/>
  <c r="O347" i="2"/>
  <c r="O220" i="2"/>
  <c r="O301" i="2"/>
  <c r="O329" i="2"/>
  <c r="O353" i="2"/>
  <c r="O377" i="2"/>
  <c r="O188" i="2"/>
  <c r="O252" i="2"/>
  <c r="O259" i="2"/>
  <c r="O232" i="2"/>
  <c r="O280" i="2"/>
  <c r="O351" i="2"/>
  <c r="O203" i="2"/>
  <c r="O368" i="2"/>
  <c r="O316" i="2"/>
  <c r="O272" i="2"/>
  <c r="O371" i="2"/>
  <c r="O214" i="2"/>
  <c r="O388" i="2"/>
  <c r="O381" i="2"/>
  <c r="O363" i="2"/>
  <c r="O396" i="2"/>
  <c r="O198" i="2"/>
  <c r="O224" i="2"/>
  <c r="O273" i="2"/>
  <c r="O236" i="2"/>
  <c r="O305" i="2"/>
  <c r="O227" i="2"/>
  <c r="O309" i="2"/>
  <c r="O271" i="2"/>
  <c r="O276" i="2"/>
  <c r="O282" i="2"/>
  <c r="O357" i="2"/>
  <c r="O335" i="2"/>
  <c r="O251" i="2"/>
  <c r="O333" i="2"/>
  <c r="O343" i="2"/>
  <c r="O247" i="2"/>
  <c r="O304" i="2"/>
  <c r="O352" i="2"/>
  <c r="O265" i="2"/>
  <c r="O202" i="2"/>
  <c r="O207" i="2"/>
  <c r="O324" i="2"/>
  <c r="O360" i="2"/>
  <c r="O355" i="2"/>
  <c r="O178" i="2"/>
  <c r="O166" i="2"/>
  <c r="K40" i="10"/>
  <c r="X40" i="10" l="1"/>
  <c r="Y40" i="10"/>
  <c r="J40" i="10"/>
  <c r="T40" i="10" l="1"/>
  <c r="W40" i="10" s="1"/>
  <c r="P40" i="10"/>
  <c r="I41" i="10" s="1"/>
  <c r="L41" i="10" l="1"/>
  <c r="K41" i="10"/>
  <c r="X41" i="10" l="1"/>
  <c r="J41" i="10"/>
  <c r="Y41" i="10"/>
  <c r="T41" i="10" l="1"/>
  <c r="W41" i="10" s="1"/>
  <c r="P41" i="10"/>
  <c r="I42" i="10" s="1"/>
  <c r="K42" i="10" l="1"/>
  <c r="L42" i="10"/>
  <c r="Y42" i="10" l="1"/>
  <c r="X42" i="10"/>
  <c r="J42" i="10"/>
  <c r="T42" i="10" l="1"/>
  <c r="W42" i="10" s="1"/>
  <c r="P42" i="10"/>
  <c r="I43" i="10" s="1"/>
  <c r="L43" i="10" l="1"/>
  <c r="K43" i="10"/>
  <c r="X43" i="10" l="1"/>
  <c r="Y43" i="10"/>
  <c r="J43" i="10"/>
  <c r="T43" i="10" l="1"/>
  <c r="W43" i="10" s="1"/>
  <c r="P43" i="10"/>
  <c r="I44" i="10" s="1"/>
  <c r="L44" i="10" l="1"/>
  <c r="K44" i="10"/>
  <c r="Y44" i="10" l="1"/>
  <c r="X44" i="10"/>
  <c r="J44" i="10"/>
  <c r="T44" i="10" l="1"/>
  <c r="W44" i="10" s="1"/>
  <c r="P44" i="10"/>
  <c r="I45" i="10" s="1"/>
  <c r="L45" i="10" l="1"/>
  <c r="K45" i="10"/>
  <c r="J45" i="10" l="1"/>
  <c r="Y45" i="10"/>
  <c r="X45" i="10"/>
  <c r="T45" i="10" l="1"/>
  <c r="W45" i="10" s="1"/>
  <c r="P45" i="10"/>
  <c r="I46" i="10" s="1"/>
  <c r="K46" i="10" l="1"/>
  <c r="L46" i="10"/>
  <c r="J46" i="10" l="1"/>
  <c r="Y46" i="10"/>
  <c r="X46" i="10"/>
  <c r="T46" i="10" l="1"/>
  <c r="W46" i="10" s="1"/>
  <c r="P46" i="10"/>
  <c r="I47" i="10" s="1"/>
  <c r="K47" i="10" l="1"/>
  <c r="L47" i="10"/>
  <c r="X47" i="10" l="1"/>
  <c r="Y47" i="10"/>
  <c r="J47" i="10"/>
  <c r="T47" i="10" l="1"/>
  <c r="W47" i="10" s="1"/>
  <c r="P47" i="10"/>
  <c r="I48" i="10" s="1"/>
  <c r="K48" i="10" l="1"/>
  <c r="L48" i="10"/>
  <c r="X48" i="10" l="1"/>
  <c r="Y48" i="10"/>
  <c r="J48" i="10"/>
  <c r="T48" i="10" l="1"/>
  <c r="W48" i="10" s="1"/>
  <c r="P48" i="10"/>
  <c r="I49" i="10" s="1"/>
  <c r="L49" i="10" l="1"/>
  <c r="K49" i="10"/>
  <c r="O49" i="10" l="1"/>
  <c r="J49" i="10" s="1"/>
  <c r="X49" i="10" l="1"/>
  <c r="Y49" i="10"/>
  <c r="T49" i="10"/>
  <c r="W49" i="10" s="1"/>
  <c r="P49" i="10"/>
  <c r="I50" i="10" s="1"/>
  <c r="K50" i="10" l="1"/>
  <c r="L50" i="10"/>
  <c r="Y50" i="10" l="1"/>
  <c r="X50" i="10"/>
  <c r="J50" i="10"/>
  <c r="T50" i="10" l="1"/>
  <c r="W50" i="10" s="1"/>
  <c r="P50" i="10"/>
  <c r="I51" i="10" s="1"/>
  <c r="L51" i="10" l="1"/>
  <c r="K51" i="10"/>
  <c r="J51" i="10" l="1"/>
  <c r="X51" i="10"/>
  <c r="Y51" i="10"/>
  <c r="T51" i="10" l="1"/>
  <c r="W51" i="10" s="1"/>
  <c r="P51" i="10"/>
  <c r="I52" i="10" s="1"/>
  <c r="K52" i="10" l="1"/>
  <c r="L52" i="10"/>
  <c r="X52" i="10" l="1"/>
  <c r="Y52" i="10"/>
  <c r="J52" i="10"/>
  <c r="T52" i="10" l="1"/>
  <c r="W52" i="10" s="1"/>
  <c r="P52" i="10"/>
  <c r="I53" i="10" s="1"/>
  <c r="L53" i="10" l="1"/>
  <c r="K53" i="10"/>
  <c r="J53" i="10" l="1"/>
  <c r="Y53" i="10"/>
  <c r="X53" i="10"/>
  <c r="T53" i="10" l="1"/>
  <c r="W53" i="10" s="1"/>
  <c r="P53" i="10"/>
  <c r="I54" i="10" s="1"/>
  <c r="K54" i="10" l="1"/>
  <c r="L54" i="10"/>
  <c r="X54" i="10" l="1"/>
  <c r="J54" i="10"/>
  <c r="Y54" i="10"/>
  <c r="T54" i="10" l="1"/>
  <c r="W54" i="10" s="1"/>
  <c r="P54" i="10"/>
  <c r="I55" i="10" s="1"/>
  <c r="K55" i="10" l="1"/>
  <c r="L55" i="10"/>
  <c r="X55" i="10" l="1"/>
  <c r="Y55" i="10"/>
  <c r="J55" i="10"/>
  <c r="T55" i="10" l="1"/>
  <c r="W55" i="10" s="1"/>
  <c r="P55" i="10"/>
  <c r="I56" i="10" s="1"/>
  <c r="L56" i="10" l="1"/>
  <c r="K56" i="10"/>
  <c r="X56" i="10" l="1"/>
  <c r="Y56" i="10"/>
  <c r="J56" i="10"/>
  <c r="T56" i="10" l="1"/>
  <c r="W56" i="10" s="1"/>
  <c r="P56" i="10"/>
  <c r="I57" i="10" s="1"/>
  <c r="L57" i="10" l="1"/>
  <c r="K57" i="10"/>
  <c r="X57" i="10" l="1"/>
  <c r="J57" i="10"/>
  <c r="Y57" i="10"/>
  <c r="O137" i="2"/>
  <c r="T57" i="10" l="1"/>
  <c r="W57" i="10" s="1"/>
  <c r="P57" i="10"/>
  <c r="I58" i="10" s="1"/>
  <c r="K58" i="10" l="1"/>
  <c r="L58" i="10"/>
  <c r="Y58" i="10" l="1"/>
  <c r="X58" i="10"/>
  <c r="J58" i="10"/>
  <c r="T58" i="10" l="1"/>
  <c r="W58" i="10" s="1"/>
  <c r="P58" i="10"/>
  <c r="I59" i="10" s="1"/>
  <c r="L59" i="10" l="1"/>
  <c r="K59" i="10"/>
  <c r="X59" i="10" l="1"/>
  <c r="Y59" i="10"/>
  <c r="J59" i="10"/>
  <c r="T59" i="10" l="1"/>
  <c r="W59" i="10" s="1"/>
  <c r="P59" i="10"/>
  <c r="I60" i="10" s="1"/>
  <c r="L60" i="10" l="1"/>
  <c r="K60" i="10"/>
  <c r="Y60" i="10" l="1"/>
  <c r="X60" i="10"/>
  <c r="J60" i="10"/>
  <c r="T60" i="10" l="1"/>
  <c r="W60" i="10" s="1"/>
  <c r="P60" i="10"/>
  <c r="I61" i="10" s="1"/>
  <c r="L61" i="10" l="1"/>
  <c r="K61" i="10"/>
  <c r="O61" i="10" s="1"/>
  <c r="J61" i="10" l="1"/>
  <c r="X61" i="10"/>
  <c r="Y61" i="10"/>
  <c r="T61" i="10" l="1"/>
  <c r="W61" i="10" s="1"/>
  <c r="P61" i="10"/>
  <c r="I62" i="10" s="1"/>
  <c r="L62" i="10" l="1"/>
  <c r="K62" i="10"/>
  <c r="X62" i="10" l="1"/>
  <c r="Y62" i="10"/>
  <c r="J62" i="10"/>
  <c r="T62" i="10" l="1"/>
  <c r="W62" i="10" s="1"/>
  <c r="P62" i="10"/>
  <c r="I63" i="10" s="1"/>
  <c r="L63" i="10" l="1"/>
  <c r="K63" i="10"/>
  <c r="X63" i="10" l="1"/>
  <c r="Y63" i="10"/>
  <c r="J63" i="10"/>
  <c r="T63" i="10" l="1"/>
  <c r="W63" i="10" s="1"/>
  <c r="P63" i="10"/>
  <c r="I64" i="10" s="1"/>
  <c r="K64" i="10" l="1"/>
  <c r="O64" i="10" s="1"/>
  <c r="L64" i="10"/>
  <c r="Y64" i="10" l="1"/>
  <c r="X64" i="10"/>
  <c r="J64" i="10"/>
  <c r="T64" i="10" l="1"/>
  <c r="W64" i="10" s="1"/>
  <c r="P64" i="10"/>
  <c r="I65" i="10" s="1"/>
  <c r="K65" i="10" l="1"/>
  <c r="L65" i="10"/>
  <c r="Y65" i="10" l="1"/>
  <c r="X65" i="10"/>
  <c r="J65" i="10"/>
  <c r="T65" i="10" l="1"/>
  <c r="W65" i="10" s="1"/>
  <c r="P65" i="10"/>
  <c r="I66" i="10" s="1"/>
  <c r="K66" i="10" l="1"/>
  <c r="L66" i="10"/>
  <c r="J66" i="10" l="1"/>
  <c r="X66" i="10"/>
  <c r="Y66" i="10"/>
  <c r="T66" i="10" l="1"/>
  <c r="W66" i="10" s="1"/>
  <c r="P66" i="10"/>
  <c r="I67" i="10" s="1"/>
  <c r="L67" i="10" l="1"/>
  <c r="K67" i="10"/>
  <c r="J67" i="10" l="1"/>
  <c r="X67" i="10"/>
  <c r="Y67" i="10"/>
  <c r="T67" i="10" l="1"/>
  <c r="W67" i="10" s="1"/>
  <c r="P67" i="10"/>
  <c r="I68" i="10" s="1"/>
  <c r="L68" i="10" l="1"/>
  <c r="K68" i="10"/>
  <c r="Y68" i="10" l="1"/>
  <c r="X68" i="10"/>
  <c r="J68" i="10"/>
  <c r="T68" i="10" l="1"/>
  <c r="W68" i="10" s="1"/>
  <c r="P68" i="10"/>
  <c r="I69" i="10" s="1"/>
  <c r="L69" i="10" l="1"/>
  <c r="K69" i="10"/>
  <c r="Y69" i="10" l="1"/>
  <c r="J69" i="10"/>
  <c r="X69" i="10"/>
  <c r="T69" i="10" l="1"/>
  <c r="W69" i="10" s="1"/>
  <c r="P69" i="10"/>
  <c r="I70" i="10" s="1"/>
  <c r="L70" i="10" l="1"/>
  <c r="K70" i="10"/>
  <c r="Y70" i="10" l="1"/>
  <c r="X70" i="10"/>
  <c r="J70" i="10"/>
  <c r="T70" i="10" l="1"/>
  <c r="W70" i="10" s="1"/>
  <c r="P70" i="10"/>
  <c r="I71" i="10" s="1"/>
  <c r="K71" i="10" l="1"/>
  <c r="L71" i="10"/>
  <c r="X71" i="10" l="1"/>
  <c r="Y71" i="10"/>
  <c r="J71" i="10"/>
  <c r="T71" i="10" l="1"/>
  <c r="W71" i="10" s="1"/>
  <c r="P71" i="10"/>
  <c r="I72" i="10" s="1"/>
  <c r="K72" i="10" l="1"/>
  <c r="L72" i="10"/>
  <c r="Y72" i="10" l="1"/>
  <c r="X72" i="10"/>
  <c r="J72" i="10"/>
  <c r="T72" i="10" l="1"/>
  <c r="W72" i="10" s="1"/>
  <c r="P72" i="10"/>
  <c r="I73" i="10" s="1"/>
  <c r="L73" i="10" l="1"/>
  <c r="K73" i="10"/>
  <c r="X73" i="10" l="1"/>
  <c r="Y73" i="10"/>
  <c r="J73" i="10"/>
  <c r="T73" i="10" l="1"/>
  <c r="W73" i="10" s="1"/>
  <c r="P73" i="10"/>
  <c r="I74" i="10" s="1"/>
  <c r="K74" i="10" l="1"/>
  <c r="L74" i="10"/>
  <c r="Y74" i="10" l="1"/>
  <c r="J74" i="10"/>
  <c r="X74" i="10"/>
  <c r="T74" i="10" l="1"/>
  <c r="W74" i="10" s="1"/>
  <c r="P74" i="10"/>
  <c r="I75" i="10" s="1"/>
  <c r="K75" i="10" l="1"/>
  <c r="L75" i="10"/>
  <c r="J75" i="10" l="1"/>
  <c r="Y75" i="10"/>
  <c r="X75" i="10"/>
  <c r="T75" i="10" l="1"/>
  <c r="W75" i="10" s="1"/>
  <c r="P75" i="10"/>
  <c r="I76" i="10" s="1"/>
  <c r="K76" i="10" l="1"/>
  <c r="L76" i="10"/>
  <c r="J76" i="10" l="1"/>
  <c r="Y76" i="10"/>
  <c r="X76" i="10"/>
  <c r="T76" i="10" l="1"/>
  <c r="W76" i="10" s="1"/>
  <c r="P76" i="10"/>
  <c r="I77" i="10" s="1"/>
  <c r="L77" i="10" l="1"/>
  <c r="K77" i="10"/>
  <c r="X77" i="10" l="1"/>
  <c r="Y77" i="10"/>
  <c r="J77" i="10"/>
  <c r="T77" i="10" l="1"/>
  <c r="W77" i="10" s="1"/>
  <c r="P77" i="10"/>
  <c r="I78" i="10" s="1"/>
  <c r="K78" i="10" l="1"/>
  <c r="L78" i="10"/>
  <c r="X78" i="10" l="1"/>
  <c r="J78" i="10"/>
  <c r="Y78" i="10"/>
  <c r="T78" i="10" l="1"/>
  <c r="W78" i="10" s="1"/>
  <c r="P78" i="10"/>
  <c r="I79" i="10" s="1"/>
  <c r="K79" i="10" l="1"/>
  <c r="L79" i="10"/>
  <c r="Y79" i="10" l="1"/>
  <c r="X79" i="10"/>
  <c r="J79" i="10"/>
  <c r="T79" i="10" l="1"/>
  <c r="W79" i="10" s="1"/>
  <c r="P79" i="10"/>
  <c r="I80" i="10" s="1"/>
  <c r="L80" i="10" l="1"/>
  <c r="K80" i="10"/>
  <c r="Y80" i="10" l="1"/>
  <c r="X80" i="10"/>
  <c r="J80" i="10"/>
  <c r="T80" i="10" l="1"/>
  <c r="W80" i="10" s="1"/>
  <c r="P80" i="10"/>
  <c r="I81" i="10" s="1"/>
  <c r="K81" i="10" l="1"/>
  <c r="L81" i="10"/>
  <c r="Y81" i="10" l="1"/>
  <c r="J81" i="10"/>
  <c r="X81" i="10"/>
  <c r="T81" i="10" l="1"/>
  <c r="W81" i="10" s="1"/>
  <c r="P81" i="10"/>
  <c r="I82" i="10" s="1"/>
  <c r="K82" i="10" l="1"/>
  <c r="L82" i="10"/>
  <c r="J82" i="10" l="1"/>
  <c r="Y82" i="10"/>
  <c r="X82" i="10"/>
  <c r="T82" i="10" l="1"/>
  <c r="W82" i="10" s="1"/>
  <c r="P82" i="10"/>
  <c r="I83" i="10" s="1"/>
  <c r="L83" i="10" l="1"/>
  <c r="K83" i="10"/>
  <c r="Y83" i="10" l="1"/>
  <c r="X83" i="10"/>
  <c r="J83" i="10"/>
  <c r="T83" i="10" l="1"/>
  <c r="W83" i="10" s="1"/>
  <c r="P83" i="10"/>
  <c r="I84" i="10" s="1"/>
  <c r="L84" i="10" l="1"/>
  <c r="K84" i="10"/>
  <c r="Y84" i="10" l="1"/>
  <c r="X84" i="10"/>
  <c r="J84" i="10"/>
  <c r="T84" i="10" l="1"/>
  <c r="W84" i="10" s="1"/>
  <c r="P84" i="10"/>
  <c r="I85" i="10" s="1"/>
  <c r="K85" i="10" l="1"/>
  <c r="L85" i="10"/>
  <c r="X85" i="10" l="1"/>
  <c r="Y85" i="10"/>
  <c r="J85" i="10"/>
  <c r="T85" i="10" l="1"/>
  <c r="W85" i="10" s="1"/>
  <c r="P85" i="10"/>
  <c r="I86" i="10" s="1"/>
  <c r="K86" i="10" l="1"/>
  <c r="L86" i="10"/>
  <c r="Y86" i="10" l="1"/>
  <c r="X86" i="10"/>
  <c r="J86" i="10"/>
  <c r="T86" i="10" l="1"/>
  <c r="W86" i="10" s="1"/>
  <c r="P86" i="10"/>
  <c r="I87" i="10" s="1"/>
  <c r="K87" i="10" l="1"/>
  <c r="L87" i="10"/>
  <c r="X87" i="10" l="1"/>
  <c r="J87" i="10"/>
  <c r="Y87" i="10"/>
  <c r="T87" i="10" l="1"/>
  <c r="W87" i="10" s="1"/>
  <c r="P87" i="10"/>
  <c r="I88" i="10" s="1"/>
  <c r="K88" i="10" l="1"/>
  <c r="L88" i="10"/>
  <c r="Y88" i="10" l="1"/>
  <c r="X88" i="10"/>
  <c r="J88" i="10"/>
  <c r="T88" i="10" l="1"/>
  <c r="W88" i="10" s="1"/>
  <c r="P88" i="10"/>
  <c r="I89" i="10" s="1"/>
  <c r="K89" i="10" l="1"/>
  <c r="L89" i="10"/>
  <c r="X89" i="10" l="1"/>
  <c r="Y89" i="10"/>
  <c r="J89" i="10"/>
  <c r="T89" i="10" l="1"/>
  <c r="W89" i="10" s="1"/>
  <c r="P89" i="10"/>
  <c r="I90" i="10" s="1"/>
  <c r="K90" i="10" l="1"/>
  <c r="L90" i="10"/>
  <c r="Y90" i="10" l="1"/>
  <c r="X90" i="10"/>
  <c r="J90" i="10"/>
  <c r="T90" i="10" l="1"/>
  <c r="W90" i="10" s="1"/>
  <c r="P90" i="10"/>
  <c r="I91" i="10" s="1"/>
  <c r="K91" i="10" l="1"/>
  <c r="L91" i="10"/>
  <c r="Y91" i="10" l="1"/>
  <c r="X91" i="10"/>
  <c r="J91" i="10"/>
  <c r="T91" i="10" l="1"/>
  <c r="W91" i="10" s="1"/>
  <c r="P91" i="10"/>
  <c r="I92" i="10" s="1"/>
  <c r="L92" i="10" l="1"/>
  <c r="K92" i="10"/>
  <c r="Y92" i="10" l="1"/>
  <c r="X92" i="10"/>
  <c r="J92" i="10"/>
  <c r="T92" i="10" l="1"/>
  <c r="W92" i="10" s="1"/>
  <c r="P92" i="10"/>
  <c r="I93" i="10" s="1"/>
  <c r="L93" i="10" l="1"/>
  <c r="K93" i="10"/>
  <c r="J93" i="10" l="1"/>
  <c r="X93" i="10"/>
  <c r="Y93" i="10"/>
  <c r="T93" i="10" l="1"/>
  <c r="W93" i="10" s="1"/>
  <c r="P93" i="10"/>
  <c r="I94" i="10" s="1"/>
  <c r="L94" i="10" l="1"/>
  <c r="K94" i="10"/>
  <c r="Y94" i="10" l="1"/>
  <c r="X94" i="10"/>
  <c r="J94" i="10"/>
  <c r="T94" i="10" l="1"/>
  <c r="W94" i="10" s="1"/>
  <c r="P94" i="10"/>
  <c r="I95" i="10" s="1"/>
  <c r="K95" i="10" l="1"/>
  <c r="L95" i="10"/>
  <c r="Y95" i="10" l="1"/>
  <c r="X95" i="10"/>
  <c r="J95" i="10"/>
  <c r="T95" i="10" l="1"/>
  <c r="W95" i="10" s="1"/>
  <c r="P95" i="10"/>
  <c r="I96" i="10" s="1"/>
  <c r="K96" i="10" l="1"/>
  <c r="L96" i="10"/>
  <c r="O112" i="2"/>
  <c r="O101" i="2"/>
  <c r="O105" i="2"/>
  <c r="O86" i="2"/>
  <c r="O90" i="2"/>
  <c r="O95" i="2"/>
  <c r="O76" i="2"/>
  <c r="O80" i="2"/>
  <c r="O84" i="2"/>
  <c r="O113" i="2"/>
  <c r="O98" i="2"/>
  <c r="O102" i="2"/>
  <c r="O106" i="2"/>
  <c r="O87" i="2"/>
  <c r="O91" i="2"/>
  <c r="O96" i="2"/>
  <c r="O77" i="2"/>
  <c r="O81" i="2"/>
  <c r="O114" i="2"/>
  <c r="O99" i="2"/>
  <c r="O103" i="2"/>
  <c r="O107" i="2"/>
  <c r="O88" i="2"/>
  <c r="O74" i="2"/>
  <c r="O82" i="2"/>
  <c r="O111" i="2"/>
  <c r="O100" i="2"/>
  <c r="O104" i="2"/>
  <c r="O108" i="2"/>
  <c r="O89" i="2"/>
  <c r="O94" i="2"/>
  <c r="O75" i="2"/>
  <c r="O79" i="2"/>
  <c r="O72" i="2"/>
  <c r="O70" i="2"/>
  <c r="O63" i="2"/>
  <c r="O69" i="2"/>
  <c r="O62" i="2"/>
  <c r="O66" i="2"/>
  <c r="O68" i="2"/>
  <c r="O65" i="2"/>
  <c r="Y96" i="10" l="1"/>
  <c r="J96" i="10"/>
  <c r="X96" i="10"/>
  <c r="O67" i="2"/>
  <c r="T96" i="10" l="1"/>
  <c r="W96" i="10" s="1"/>
  <c r="P96" i="10"/>
  <c r="I97" i="10" s="1"/>
  <c r="O78" i="2"/>
  <c r="L97" i="10" l="1"/>
  <c r="K97" i="10"/>
  <c r="Y97" i="10" l="1"/>
  <c r="J97" i="10"/>
  <c r="X97" i="10"/>
  <c r="T97" i="10" l="1"/>
  <c r="W97" i="10" s="1"/>
  <c r="P97" i="10"/>
  <c r="I98" i="10" s="1"/>
  <c r="K98" i="10" l="1"/>
  <c r="L98" i="10"/>
  <c r="Y98" i="10" l="1"/>
  <c r="X98" i="10"/>
  <c r="J98" i="10"/>
  <c r="T98" i="10" l="1"/>
  <c r="W98" i="10" s="1"/>
  <c r="P98" i="10"/>
  <c r="I99" i="10" s="1"/>
  <c r="K99" i="10" l="1"/>
  <c r="L99" i="10"/>
  <c r="X99" i="10" l="1"/>
  <c r="Y99" i="10"/>
  <c r="J99" i="10"/>
  <c r="T99" i="10" l="1"/>
  <c r="W99" i="10" s="1"/>
  <c r="P99" i="10"/>
  <c r="I100" i="10" s="1"/>
  <c r="K100" i="10" l="1"/>
  <c r="L100" i="10"/>
  <c r="Y100" i="10" l="1"/>
  <c r="X100" i="10"/>
  <c r="J100" i="10"/>
  <c r="T100" i="10" l="1"/>
  <c r="W100" i="10" s="1"/>
  <c r="P100" i="10"/>
  <c r="I101" i="10" s="1"/>
  <c r="K101" i="10" l="1"/>
  <c r="L101" i="10"/>
  <c r="Y101" i="10" l="1"/>
  <c r="J101" i="10"/>
  <c r="X101" i="10"/>
  <c r="T101" i="10" l="1"/>
  <c r="W101" i="10" s="1"/>
  <c r="P101" i="10"/>
  <c r="I102" i="10" s="1"/>
  <c r="L102" i="10" l="1"/>
  <c r="K102" i="10"/>
  <c r="Y102" i="10" l="1"/>
  <c r="X102" i="10"/>
  <c r="J102" i="10"/>
  <c r="O115" i="2"/>
  <c r="T102" i="10" l="1"/>
  <c r="W102" i="10" s="1"/>
  <c r="P102" i="10"/>
  <c r="I103" i="10" s="1"/>
  <c r="K103" i="10" l="1"/>
  <c r="L103" i="10"/>
  <c r="O38" i="2"/>
  <c r="X103" i="10" l="1"/>
  <c r="J103" i="10"/>
  <c r="Y103" i="10"/>
  <c r="O56" i="2"/>
  <c r="O51" i="2"/>
  <c r="O59" i="2"/>
  <c r="O50" i="2"/>
  <c r="O58" i="2"/>
  <c r="O52" i="2"/>
  <c r="O53" i="2"/>
  <c r="I38" i="2"/>
  <c r="L38" i="2" s="1"/>
  <c r="O41" i="2"/>
  <c r="O44" i="2"/>
  <c r="O47" i="2"/>
  <c r="O42" i="2"/>
  <c r="O40" i="2"/>
  <c r="O48" i="2"/>
  <c r="O46" i="2"/>
  <c r="O45" i="2"/>
  <c r="O43" i="2"/>
  <c r="T103" i="10" l="1"/>
  <c r="W103" i="10" s="1"/>
  <c r="P103" i="10"/>
  <c r="I104" i="10" s="1"/>
  <c r="K38" i="2"/>
  <c r="J38" i="2" s="1"/>
  <c r="X38" i="2"/>
  <c r="Y38" i="2"/>
  <c r="K104" i="10" l="1"/>
  <c r="L104" i="10"/>
  <c r="T38" i="2"/>
  <c r="W38" i="2" s="1"/>
  <c r="P38" i="2"/>
  <c r="I39" i="2" s="1"/>
  <c r="Y104" i="10" l="1"/>
  <c r="X104" i="10"/>
  <c r="J104" i="10"/>
  <c r="K39" i="2"/>
  <c r="L39" i="2"/>
  <c r="O39" i="2" l="1"/>
  <c r="J39" i="2" s="1"/>
  <c r="T39" i="2" s="1"/>
  <c r="W39" i="2" s="1"/>
  <c r="T104" i="10"/>
  <c r="W104" i="10" s="1"/>
  <c r="P104" i="10"/>
  <c r="I105" i="10" s="1"/>
  <c r="Y39" i="2" l="1"/>
  <c r="X39" i="2"/>
  <c r="K105" i="10"/>
  <c r="L105" i="10"/>
  <c r="P39" i="2"/>
  <c r="I40" i="2" s="1"/>
  <c r="L40" i="2" s="1"/>
  <c r="X105" i="10" l="1"/>
  <c r="Y105" i="10"/>
  <c r="J105" i="10"/>
  <c r="X40" i="2"/>
  <c r="Y40" i="2"/>
  <c r="K40" i="2"/>
  <c r="J40" i="2" s="1"/>
  <c r="P40" i="2" s="1"/>
  <c r="I41" i="2" s="1"/>
  <c r="L41" i="2" s="1"/>
  <c r="T105" i="10" l="1"/>
  <c r="W105" i="10" s="1"/>
  <c r="P105" i="10"/>
  <c r="I106" i="10" s="1"/>
  <c r="T40" i="2"/>
  <c r="W40" i="2" s="1"/>
  <c r="K41" i="2"/>
  <c r="K106" i="10" l="1"/>
  <c r="L106" i="10"/>
  <c r="J41" i="2"/>
  <c r="Y41" i="2"/>
  <c r="X41" i="2"/>
  <c r="Y106" i="10" l="1"/>
  <c r="X106" i="10"/>
  <c r="J106" i="10"/>
  <c r="T41" i="2"/>
  <c r="W41" i="2" s="1"/>
  <c r="P41" i="2"/>
  <c r="I42" i="2" s="1"/>
  <c r="L42" i="2" s="1"/>
  <c r="T106" i="10" l="1"/>
  <c r="W106" i="10" s="1"/>
  <c r="P106" i="10"/>
  <c r="I107" i="10" s="1"/>
  <c r="K42" i="2"/>
  <c r="K107" i="10" l="1"/>
  <c r="L107" i="10"/>
  <c r="X42" i="2"/>
  <c r="Y42" i="2"/>
  <c r="J42" i="2"/>
  <c r="J107" i="10" l="1"/>
  <c r="Y107" i="10"/>
  <c r="X107" i="10"/>
  <c r="T42" i="2"/>
  <c r="W42" i="2" s="1"/>
  <c r="P42" i="2"/>
  <c r="I43" i="2" s="1"/>
  <c r="L43" i="2" s="1"/>
  <c r="T107" i="10" l="1"/>
  <c r="W107" i="10" s="1"/>
  <c r="P107" i="10"/>
  <c r="I108" i="10" s="1"/>
  <c r="K43" i="2"/>
  <c r="K108" i="10" l="1"/>
  <c r="L108" i="10"/>
  <c r="J43" i="2"/>
  <c r="Y43" i="2"/>
  <c r="X43" i="2"/>
  <c r="X108" i="10" l="1"/>
  <c r="J108" i="10"/>
  <c r="Y108" i="10"/>
  <c r="T43" i="2"/>
  <c r="W43" i="2" s="1"/>
  <c r="P43" i="2"/>
  <c r="I44" i="2" s="1"/>
  <c r="L44" i="2" s="1"/>
  <c r="T108" i="10" l="1"/>
  <c r="W108" i="10" s="1"/>
  <c r="P108" i="10"/>
  <c r="I109" i="10" s="1"/>
  <c r="K44" i="2"/>
  <c r="K109" i="10" l="1"/>
  <c r="L109" i="10"/>
  <c r="X44" i="2"/>
  <c r="Y44" i="2"/>
  <c r="J44" i="2"/>
  <c r="O109" i="10" l="1"/>
  <c r="X109" i="10" s="1"/>
  <c r="T44" i="2"/>
  <c r="W44" i="2" s="1"/>
  <c r="P44" i="2"/>
  <c r="I45" i="2" s="1"/>
  <c r="L45" i="2" s="1"/>
  <c r="J109" i="10" l="1"/>
  <c r="T109" i="10" s="1"/>
  <c r="W109" i="10" s="1"/>
  <c r="Y109" i="10"/>
  <c r="K45" i="2"/>
  <c r="P109" i="10" l="1"/>
  <c r="I110" i="10" s="1"/>
  <c r="Y45" i="2"/>
  <c r="X45" i="2"/>
  <c r="J45" i="2"/>
  <c r="K110" i="10" l="1"/>
  <c r="L110" i="10"/>
  <c r="T45" i="2"/>
  <c r="W45" i="2" s="1"/>
  <c r="P45" i="2"/>
  <c r="I46" i="2" s="1"/>
  <c r="L46" i="2" s="1"/>
  <c r="O110" i="10" l="1"/>
  <c r="J110" i="10" s="1"/>
  <c r="Y110" i="10"/>
  <c r="X110" i="10"/>
  <c r="K46" i="2"/>
  <c r="T110" i="10" l="1"/>
  <c r="W110" i="10" s="1"/>
  <c r="P110" i="10"/>
  <c r="I111" i="10" s="1"/>
  <c r="J46" i="2"/>
  <c r="X46" i="2"/>
  <c r="Y46" i="2"/>
  <c r="L111" i="10" l="1"/>
  <c r="K111" i="10"/>
  <c r="T46" i="2"/>
  <c r="W46" i="2" s="1"/>
  <c r="P46" i="2"/>
  <c r="I47" i="2" s="1"/>
  <c r="L47" i="2" s="1"/>
  <c r="J111" i="10" l="1"/>
  <c r="Y111" i="10"/>
  <c r="X111" i="10"/>
  <c r="K47" i="2"/>
  <c r="T111" i="10" l="1"/>
  <c r="W111" i="10" s="1"/>
  <c r="P111" i="10"/>
  <c r="I112" i="10" s="1"/>
  <c r="Y47" i="2"/>
  <c r="J47" i="2"/>
  <c r="X47" i="2"/>
  <c r="L112" i="10" l="1"/>
  <c r="K112" i="10"/>
  <c r="T47" i="2"/>
  <c r="W47" i="2" s="1"/>
  <c r="P47" i="2"/>
  <c r="I48" i="2" s="1"/>
  <c r="L48" i="2" s="1"/>
  <c r="J112" i="10" l="1"/>
  <c r="Y112" i="10"/>
  <c r="X112" i="10"/>
  <c r="K48" i="2"/>
  <c r="T112" i="10" l="1"/>
  <c r="W112" i="10" s="1"/>
  <c r="P112" i="10"/>
  <c r="I113" i="10" s="1"/>
  <c r="J48" i="2"/>
  <c r="Y48" i="2"/>
  <c r="X48" i="2"/>
  <c r="K113" i="10" l="1"/>
  <c r="L113" i="10"/>
  <c r="T48" i="2"/>
  <c r="W48" i="2" s="1"/>
  <c r="P48" i="2"/>
  <c r="I49" i="2" s="1"/>
  <c r="L49" i="2" s="1"/>
  <c r="J113" i="10" l="1"/>
  <c r="X113" i="10"/>
  <c r="Y113" i="10"/>
  <c r="K49" i="2"/>
  <c r="T113" i="10" l="1"/>
  <c r="W113" i="10" s="1"/>
  <c r="P113" i="10"/>
  <c r="I114" i="10" s="1"/>
  <c r="O49" i="2"/>
  <c r="Y49" i="2" s="1"/>
  <c r="L114" i="10" l="1"/>
  <c r="K114" i="10"/>
  <c r="J49" i="2"/>
  <c r="T49" i="2" s="1"/>
  <c r="W49" i="2" s="1"/>
  <c r="X49" i="2"/>
  <c r="J114" i="10" l="1"/>
  <c r="Y114" i="10"/>
  <c r="X114" i="10"/>
  <c r="P49" i="2"/>
  <c r="I50" i="2" s="1"/>
  <c r="L50" i="2" s="1"/>
  <c r="T114" i="10" l="1"/>
  <c r="W114" i="10" s="1"/>
  <c r="P114" i="10"/>
  <c r="I115" i="10" s="1"/>
  <c r="K50" i="2"/>
  <c r="K115" i="10" l="1"/>
  <c r="L115" i="10"/>
  <c r="Y50" i="2"/>
  <c r="X50" i="2"/>
  <c r="J50" i="2"/>
  <c r="J115" i="10" l="1"/>
  <c r="Y115" i="10"/>
  <c r="X115" i="10"/>
  <c r="T50" i="2"/>
  <c r="W50" i="2" s="1"/>
  <c r="P50" i="2"/>
  <c r="I51" i="2" s="1"/>
  <c r="L51" i="2" s="1"/>
  <c r="T115" i="10" l="1"/>
  <c r="W115" i="10" s="1"/>
  <c r="P115" i="10"/>
  <c r="I116" i="10" s="1"/>
  <c r="K51" i="2"/>
  <c r="K116" i="10" l="1"/>
  <c r="L116" i="10"/>
  <c r="Y51" i="2"/>
  <c r="J51" i="2"/>
  <c r="X51" i="2"/>
  <c r="Y116" i="10" l="1"/>
  <c r="J116" i="10"/>
  <c r="X116" i="10"/>
  <c r="T51" i="2"/>
  <c r="W51" i="2" s="1"/>
  <c r="P51" i="2"/>
  <c r="I52" i="2" s="1"/>
  <c r="L52" i="2" s="1"/>
  <c r="T116" i="10" l="1"/>
  <c r="W116" i="10" s="1"/>
  <c r="P116" i="10"/>
  <c r="I117" i="10" s="1"/>
  <c r="K52" i="2"/>
  <c r="K117" i="10" l="1"/>
  <c r="L117" i="10"/>
  <c r="X52" i="2"/>
  <c r="J52" i="2"/>
  <c r="Y52" i="2"/>
  <c r="J117" i="10" l="1"/>
  <c r="X117" i="10"/>
  <c r="Y117" i="10"/>
  <c r="T52" i="2"/>
  <c r="W52" i="2" s="1"/>
  <c r="P52" i="2"/>
  <c r="I53" i="2" s="1"/>
  <c r="L53" i="2" s="1"/>
  <c r="T117" i="10" l="1"/>
  <c r="W117" i="10" s="1"/>
  <c r="P117" i="10"/>
  <c r="I118" i="10" s="1"/>
  <c r="K53" i="2"/>
  <c r="L118" i="10" l="1"/>
  <c r="K118" i="10"/>
  <c r="Y53" i="2"/>
  <c r="J53" i="2"/>
  <c r="X53" i="2"/>
  <c r="J118" i="10" l="1"/>
  <c r="Y118" i="10"/>
  <c r="X118" i="10"/>
  <c r="T53" i="2"/>
  <c r="W53" i="2" s="1"/>
  <c r="P53" i="2"/>
  <c r="I54" i="2" s="1"/>
  <c r="L54" i="2" s="1"/>
  <c r="T118" i="10" l="1"/>
  <c r="W118" i="10" s="1"/>
  <c r="P118" i="10"/>
  <c r="I119" i="10" s="1"/>
  <c r="K54" i="2"/>
  <c r="O54" i="2" s="1"/>
  <c r="K119" i="10" l="1"/>
  <c r="L119" i="10"/>
  <c r="Y54" i="2"/>
  <c r="J54" i="2"/>
  <c r="X54" i="2"/>
  <c r="X119" i="10" l="1"/>
  <c r="J119" i="10"/>
  <c r="Y119" i="10"/>
  <c r="T54" i="2"/>
  <c r="W54" i="2" s="1"/>
  <c r="P54" i="2"/>
  <c r="I55" i="2" s="1"/>
  <c r="L55" i="2" s="1"/>
  <c r="T119" i="10" l="1"/>
  <c r="W119" i="10" s="1"/>
  <c r="P119" i="10"/>
  <c r="I120" i="10" s="1"/>
  <c r="K55" i="2"/>
  <c r="O55" i="2" s="1"/>
  <c r="K120" i="10" l="1"/>
  <c r="L120" i="10"/>
  <c r="Y55" i="2"/>
  <c r="J55" i="2"/>
  <c r="X55" i="2"/>
  <c r="J120" i="10" l="1"/>
  <c r="Y120" i="10"/>
  <c r="X120" i="10"/>
  <c r="T55" i="2"/>
  <c r="W55" i="2" s="1"/>
  <c r="P55" i="2"/>
  <c r="I56" i="2" s="1"/>
  <c r="L56" i="2" s="1"/>
  <c r="T120" i="10" l="1"/>
  <c r="W120" i="10" s="1"/>
  <c r="P120" i="10"/>
  <c r="I121" i="10" s="1"/>
  <c r="K56" i="2"/>
  <c r="L121" i="10" l="1"/>
  <c r="K121" i="10"/>
  <c r="Y56" i="2"/>
  <c r="X56" i="2"/>
  <c r="J56" i="2"/>
  <c r="Y121" i="10" l="1"/>
  <c r="J121" i="10"/>
  <c r="X121" i="10"/>
  <c r="T56" i="2"/>
  <c r="W56" i="2" s="1"/>
  <c r="P56" i="2"/>
  <c r="I57" i="2" s="1"/>
  <c r="T121" i="10" l="1"/>
  <c r="W121" i="10" s="1"/>
  <c r="P121" i="10"/>
  <c r="I122" i="10" s="1"/>
  <c r="L57" i="2"/>
  <c r="K57" i="2"/>
  <c r="L122" i="10" l="1"/>
  <c r="K122" i="10"/>
  <c r="O57" i="2"/>
  <c r="Y57" i="2" s="1"/>
  <c r="J122" i="10" l="1"/>
  <c r="Y122" i="10"/>
  <c r="X122" i="10"/>
  <c r="X57" i="2"/>
  <c r="J57" i="2"/>
  <c r="T57" i="2" s="1"/>
  <c r="W57" i="2" s="1"/>
  <c r="T122" i="10" l="1"/>
  <c r="W122" i="10" s="1"/>
  <c r="P122" i="10"/>
  <c r="I123" i="10" s="1"/>
  <c r="P57" i="2"/>
  <c r="I58" i="2" s="1"/>
  <c r="L58" i="2" s="1"/>
  <c r="K123" i="10" l="1"/>
  <c r="L123" i="10"/>
  <c r="K58" i="2"/>
  <c r="J58" i="2" s="1"/>
  <c r="Y58" i="2"/>
  <c r="X58" i="2"/>
  <c r="X123" i="10" l="1"/>
  <c r="J123" i="10"/>
  <c r="Y123" i="10"/>
  <c r="T58" i="2"/>
  <c r="W58" i="2" s="1"/>
  <c r="P58" i="2"/>
  <c r="I59" i="2" s="1"/>
  <c r="L59" i="2" s="1"/>
  <c r="T123" i="10" l="1"/>
  <c r="W123" i="10" s="1"/>
  <c r="P123" i="10"/>
  <c r="I124" i="10" s="1"/>
  <c r="K59" i="2"/>
  <c r="L124" i="10" l="1"/>
  <c r="K124" i="10"/>
  <c r="J59" i="2"/>
  <c r="T59" i="2" s="1"/>
  <c r="W59" i="2" s="1"/>
  <c r="Y59" i="2"/>
  <c r="X59" i="2"/>
  <c r="Y124" i="10" l="1"/>
  <c r="J124" i="10"/>
  <c r="X124" i="10"/>
  <c r="P59" i="2"/>
  <c r="I60" i="2" s="1"/>
  <c r="T124" i="10" l="1"/>
  <c r="W124" i="10" s="1"/>
  <c r="P124" i="10"/>
  <c r="I125" i="10" s="1"/>
  <c r="K60" i="2"/>
  <c r="L60" i="2"/>
  <c r="L125" i="10" l="1"/>
  <c r="K125" i="10"/>
  <c r="O60" i="2"/>
  <c r="Y60" i="2" s="1"/>
  <c r="J125" i="10" l="1"/>
  <c r="Y125" i="10"/>
  <c r="X125" i="10"/>
  <c r="X60" i="2"/>
  <c r="J60" i="2"/>
  <c r="T60" i="2" s="1"/>
  <c r="W60" i="2" s="1"/>
  <c r="T125" i="10" l="1"/>
  <c r="W125" i="10" s="1"/>
  <c r="P125" i="10"/>
  <c r="I126" i="10" s="1"/>
  <c r="P60" i="2"/>
  <c r="I61" i="2" s="1"/>
  <c r="L61" i="2" s="1"/>
  <c r="L126" i="10" l="1"/>
  <c r="K126" i="10"/>
  <c r="K61" i="2"/>
  <c r="O61" i="2" s="1"/>
  <c r="Y61" i="2" s="1"/>
  <c r="J126" i="10" l="1"/>
  <c r="Y126" i="10"/>
  <c r="X126" i="10"/>
  <c r="J61" i="2"/>
  <c r="T61" i="2" s="1"/>
  <c r="W61" i="2" s="1"/>
  <c r="X61" i="2"/>
  <c r="T126" i="10" l="1"/>
  <c r="W126" i="10" s="1"/>
  <c r="P126" i="10"/>
  <c r="I127" i="10" s="1"/>
  <c r="P61" i="2"/>
  <c r="I62" i="2" s="1"/>
  <c r="L62" i="2" s="1"/>
  <c r="K127" i="10" l="1"/>
  <c r="L127" i="10"/>
  <c r="K62" i="2"/>
  <c r="J62" i="2" s="1"/>
  <c r="Y62" i="2"/>
  <c r="X62" i="2"/>
  <c r="J127" i="10" l="1"/>
  <c r="Y127" i="10"/>
  <c r="X127" i="10"/>
  <c r="T62" i="2"/>
  <c r="W62" i="2" s="1"/>
  <c r="P62" i="2"/>
  <c r="I63" i="2" s="1"/>
  <c r="T127" i="10" l="1"/>
  <c r="W127" i="10" s="1"/>
  <c r="P127" i="10"/>
  <c r="I128" i="10" s="1"/>
  <c r="L63" i="2"/>
  <c r="K63" i="2"/>
  <c r="L128" i="10" l="1"/>
  <c r="K128" i="10"/>
  <c r="Y63" i="2"/>
  <c r="J63" i="2"/>
  <c r="X63" i="2"/>
  <c r="J128" i="10" l="1"/>
  <c r="Y128" i="10"/>
  <c r="X128" i="10"/>
  <c r="T63" i="2"/>
  <c r="W63" i="2" s="1"/>
  <c r="P63" i="2"/>
  <c r="I64" i="2" s="1"/>
  <c r="T128" i="10" l="1"/>
  <c r="W128" i="10" s="1"/>
  <c r="P128" i="10"/>
  <c r="I129" i="10" s="1"/>
  <c r="L64" i="2"/>
  <c r="K64" i="2"/>
  <c r="O64" i="2" s="1"/>
  <c r="L129" i="10" l="1"/>
  <c r="K129" i="10"/>
  <c r="Y64" i="2"/>
  <c r="X64" i="2"/>
  <c r="J64" i="2"/>
  <c r="J129" i="10" l="1"/>
  <c r="X129" i="10"/>
  <c r="Y129" i="10"/>
  <c r="T64" i="2"/>
  <c r="W64" i="2" s="1"/>
  <c r="P64" i="2"/>
  <c r="I65" i="2" s="1"/>
  <c r="T129" i="10" l="1"/>
  <c r="W129" i="10" s="1"/>
  <c r="P129" i="10"/>
  <c r="I130" i="10" s="1"/>
  <c r="L65" i="2"/>
  <c r="K65" i="2"/>
  <c r="L130" i="10" l="1"/>
  <c r="K130" i="10"/>
  <c r="Y65" i="2"/>
  <c r="J65" i="2"/>
  <c r="X65" i="2"/>
  <c r="J130" i="10" l="1"/>
  <c r="Y130" i="10"/>
  <c r="X130" i="10"/>
  <c r="T65" i="2"/>
  <c r="W65" i="2" s="1"/>
  <c r="P65" i="2"/>
  <c r="I66" i="2" s="1"/>
  <c r="T130" i="10" l="1"/>
  <c r="W130" i="10" s="1"/>
  <c r="P130" i="10"/>
  <c r="I131" i="10" s="1"/>
  <c r="L66" i="2"/>
  <c r="K66" i="2"/>
  <c r="L131" i="10" l="1"/>
  <c r="K131" i="10"/>
  <c r="Y66" i="2"/>
  <c r="X66" i="2"/>
  <c r="J66" i="2"/>
  <c r="J131" i="10" l="1"/>
  <c r="Y131" i="10"/>
  <c r="X131" i="10"/>
  <c r="T66" i="2"/>
  <c r="W66" i="2" s="1"/>
  <c r="P66" i="2"/>
  <c r="I67" i="2" s="1"/>
  <c r="T131" i="10" l="1"/>
  <c r="W131" i="10" s="1"/>
  <c r="P131" i="10"/>
  <c r="I132" i="10" s="1"/>
  <c r="L67" i="2"/>
  <c r="K67" i="2"/>
  <c r="K132" i="10" l="1"/>
  <c r="L132" i="10"/>
  <c r="Y67" i="2"/>
  <c r="J67" i="2"/>
  <c r="X67" i="2"/>
  <c r="J132" i="10" l="1"/>
  <c r="Y132" i="10"/>
  <c r="X132" i="10"/>
  <c r="P67" i="2"/>
  <c r="I68" i="2" s="1"/>
  <c r="T67" i="2"/>
  <c r="W67" i="2" s="1"/>
  <c r="T132" i="10" l="1"/>
  <c r="W132" i="10" s="1"/>
  <c r="P132" i="10"/>
  <c r="I133" i="10" s="1"/>
  <c r="L68" i="2"/>
  <c r="K68" i="2"/>
  <c r="L133" i="10" l="1"/>
  <c r="K133" i="10"/>
  <c r="Y68" i="2"/>
  <c r="J68" i="2"/>
  <c r="X68" i="2"/>
  <c r="J133" i="10" l="1"/>
  <c r="Y133" i="10"/>
  <c r="X133" i="10"/>
  <c r="T68" i="2"/>
  <c r="W68" i="2" s="1"/>
  <c r="P68" i="2"/>
  <c r="I69" i="2" s="1"/>
  <c r="T133" i="10" l="1"/>
  <c r="W133" i="10" s="1"/>
  <c r="P133" i="10"/>
  <c r="I134" i="10" s="1"/>
  <c r="L69" i="2"/>
  <c r="K69" i="2"/>
  <c r="L134" i="10" l="1"/>
  <c r="K134" i="10"/>
  <c r="Y69" i="2"/>
  <c r="X69" i="2"/>
  <c r="J69" i="2"/>
  <c r="J134" i="10" l="1"/>
  <c r="X134" i="10"/>
  <c r="Y134" i="10"/>
  <c r="T69" i="2"/>
  <c r="W69" i="2" s="1"/>
  <c r="P69" i="2"/>
  <c r="I70" i="2" s="1"/>
  <c r="T134" i="10" l="1"/>
  <c r="W134" i="10" s="1"/>
  <c r="P134" i="10"/>
  <c r="I135" i="10" s="1"/>
  <c r="L70" i="2"/>
  <c r="K70" i="2"/>
  <c r="K135" i="10" l="1"/>
  <c r="L135" i="10"/>
  <c r="Y70" i="2"/>
  <c r="J70" i="2"/>
  <c r="X70" i="2"/>
  <c r="J135" i="10" l="1"/>
  <c r="Y135" i="10"/>
  <c r="X135" i="10"/>
  <c r="T70" i="2"/>
  <c r="W70" i="2" s="1"/>
  <c r="P70" i="2"/>
  <c r="I71" i="2" s="1"/>
  <c r="T135" i="10" l="1"/>
  <c r="W135" i="10" s="1"/>
  <c r="P135" i="10"/>
  <c r="I136" i="10" s="1"/>
  <c r="L71" i="2"/>
  <c r="K71" i="2"/>
  <c r="K136" i="10" l="1"/>
  <c r="L136" i="10"/>
  <c r="O71" i="2"/>
  <c r="Y71" i="2" s="1"/>
  <c r="J136" i="10" l="1"/>
  <c r="Y136" i="10"/>
  <c r="X136" i="10"/>
  <c r="J71" i="2"/>
  <c r="T71" i="2" s="1"/>
  <c r="W71" i="2" s="1"/>
  <c r="X71" i="2"/>
  <c r="T136" i="10" l="1"/>
  <c r="W136" i="10" s="1"/>
  <c r="P136" i="10"/>
  <c r="I137" i="10" s="1"/>
  <c r="P71" i="2"/>
  <c r="I72" i="2" s="1"/>
  <c r="L72" i="2" s="1"/>
  <c r="L137" i="10" l="1"/>
  <c r="K137" i="10"/>
  <c r="K72" i="2"/>
  <c r="J72" i="2" s="1"/>
  <c r="Y72" i="2"/>
  <c r="X72" i="2"/>
  <c r="J137" i="10" l="1"/>
  <c r="X137" i="10"/>
  <c r="Y137" i="10"/>
  <c r="T72" i="2"/>
  <c r="W72" i="2" s="1"/>
  <c r="P72" i="2"/>
  <c r="I73" i="2" s="1"/>
  <c r="T137" i="10" l="1"/>
  <c r="W137" i="10" s="1"/>
  <c r="P137" i="10"/>
  <c r="I138" i="10" s="1"/>
  <c r="L73" i="2"/>
  <c r="K73" i="2"/>
  <c r="K138" i="10" l="1"/>
  <c r="L138" i="10"/>
  <c r="O73" i="2"/>
  <c r="Y73" i="2" s="1"/>
  <c r="J138" i="10" l="1"/>
  <c r="Y138" i="10"/>
  <c r="X138" i="10"/>
  <c r="J73" i="2"/>
  <c r="T73" i="2" s="1"/>
  <c r="W73" i="2" s="1"/>
  <c r="X73" i="2"/>
  <c r="T138" i="10" l="1"/>
  <c r="W138" i="10" s="1"/>
  <c r="P138" i="10"/>
  <c r="I139" i="10" s="1"/>
  <c r="P73" i="2"/>
  <c r="I74" i="2" s="1"/>
  <c r="L74" i="2" s="1"/>
  <c r="K139" i="10" l="1"/>
  <c r="L139" i="10"/>
  <c r="K74" i="2"/>
  <c r="J74" i="2" s="1"/>
  <c r="Y74" i="2"/>
  <c r="X74" i="2"/>
  <c r="J139" i="10" l="1"/>
  <c r="X139" i="10"/>
  <c r="Y139" i="10"/>
  <c r="T74" i="2"/>
  <c r="W74" i="2" s="1"/>
  <c r="P74" i="2"/>
  <c r="I75" i="2" s="1"/>
  <c r="T139" i="10" l="1"/>
  <c r="W139" i="10" s="1"/>
  <c r="P139" i="10"/>
  <c r="I140" i="10" s="1"/>
  <c r="L75" i="2"/>
  <c r="K75" i="2"/>
  <c r="K140" i="10" l="1"/>
  <c r="L140" i="10"/>
  <c r="Y75" i="2"/>
  <c r="X75" i="2"/>
  <c r="J75" i="2"/>
  <c r="Y140" i="10" l="1"/>
  <c r="J140" i="10"/>
  <c r="X140" i="10"/>
  <c r="T75" i="2"/>
  <c r="W75" i="2" s="1"/>
  <c r="P75" i="2"/>
  <c r="I76" i="2" s="1"/>
  <c r="T140" i="10" l="1"/>
  <c r="W140" i="10" s="1"/>
  <c r="P140" i="10"/>
  <c r="I141" i="10" s="1"/>
  <c r="L76" i="2"/>
  <c r="K76" i="2"/>
  <c r="L141" i="10" l="1"/>
  <c r="K141" i="10"/>
  <c r="Y76" i="2"/>
  <c r="J76" i="2"/>
  <c r="X76" i="2"/>
  <c r="J141" i="10" l="1"/>
  <c r="X141" i="10"/>
  <c r="Y141" i="10"/>
  <c r="T76" i="2"/>
  <c r="W76" i="2" s="1"/>
  <c r="P76" i="2"/>
  <c r="I77" i="2" s="1"/>
  <c r="T141" i="10" l="1"/>
  <c r="W141" i="10" s="1"/>
  <c r="P141" i="10"/>
  <c r="I142" i="10" s="1"/>
  <c r="L77" i="2"/>
  <c r="K77" i="2"/>
  <c r="K142" i="10" l="1"/>
  <c r="L142" i="10"/>
  <c r="Y77" i="2"/>
  <c r="X77" i="2"/>
  <c r="J77" i="2"/>
  <c r="J142" i="10" l="1"/>
  <c r="X142" i="10"/>
  <c r="Y142" i="10"/>
  <c r="T77" i="2"/>
  <c r="W77" i="2" s="1"/>
  <c r="P77" i="2"/>
  <c r="I78" i="2" s="1"/>
  <c r="T142" i="10" l="1"/>
  <c r="W142" i="10" s="1"/>
  <c r="P142" i="10"/>
  <c r="I143" i="10" s="1"/>
  <c r="L78" i="2"/>
  <c r="K78" i="2"/>
  <c r="L143" i="10" l="1"/>
  <c r="K143" i="10"/>
  <c r="Y78" i="2"/>
  <c r="X78" i="2"/>
  <c r="J78" i="2"/>
  <c r="J143" i="10" l="1"/>
  <c r="Y143" i="10"/>
  <c r="X143" i="10"/>
  <c r="T78" i="2"/>
  <c r="W78" i="2" s="1"/>
  <c r="P78" i="2"/>
  <c r="I79" i="2" s="1"/>
  <c r="T143" i="10" l="1"/>
  <c r="W143" i="10" s="1"/>
  <c r="P143" i="10"/>
  <c r="I144" i="10" s="1"/>
  <c r="K79" i="2"/>
  <c r="L79" i="2"/>
  <c r="L144" i="10" l="1"/>
  <c r="K144" i="10"/>
  <c r="Y79" i="2"/>
  <c r="X79" i="2"/>
  <c r="J79" i="2"/>
  <c r="J144" i="10" l="1"/>
  <c r="X144" i="10"/>
  <c r="Y144" i="10"/>
  <c r="T79" i="2"/>
  <c r="W79" i="2" s="1"/>
  <c r="P79" i="2"/>
  <c r="I80" i="2" s="1"/>
  <c r="T144" i="10" l="1"/>
  <c r="W144" i="10" s="1"/>
  <c r="P144" i="10"/>
  <c r="I145" i="10" s="1"/>
  <c r="K80" i="2"/>
  <c r="L80" i="2"/>
  <c r="K145" i="10" l="1"/>
  <c r="L145" i="10"/>
  <c r="Y80" i="2"/>
  <c r="X80" i="2"/>
  <c r="J80" i="2"/>
  <c r="J145" i="10" l="1"/>
  <c r="Y145" i="10"/>
  <c r="X145" i="10"/>
  <c r="T80" i="2"/>
  <c r="W80" i="2" s="1"/>
  <c r="P80" i="2"/>
  <c r="I81" i="2" s="1"/>
  <c r="T145" i="10" l="1"/>
  <c r="W145" i="10" s="1"/>
  <c r="P145" i="10"/>
  <c r="I146" i="10" s="1"/>
  <c r="L81" i="2"/>
  <c r="K81" i="2"/>
  <c r="K146" i="10" l="1"/>
  <c r="L146" i="10"/>
  <c r="Y81" i="2"/>
  <c r="J81" i="2"/>
  <c r="X81" i="2"/>
  <c r="J146" i="10" l="1"/>
  <c r="Y146" i="10"/>
  <c r="X146" i="10"/>
  <c r="T81" i="2"/>
  <c r="W81" i="2" s="1"/>
  <c r="P81" i="2"/>
  <c r="I82" i="2" s="1"/>
  <c r="T146" i="10" l="1"/>
  <c r="W146" i="10" s="1"/>
  <c r="P146" i="10"/>
  <c r="I147" i="10" s="1"/>
  <c r="K82" i="2"/>
  <c r="L82" i="2"/>
  <c r="K147" i="10" l="1"/>
  <c r="L147" i="10"/>
  <c r="Y82" i="2"/>
  <c r="J82" i="2"/>
  <c r="X82" i="2"/>
  <c r="J147" i="10" l="1"/>
  <c r="Y147" i="10"/>
  <c r="X147" i="10"/>
  <c r="T82" i="2"/>
  <c r="W82" i="2" s="1"/>
  <c r="P82" i="2"/>
  <c r="I83" i="2" s="1"/>
  <c r="T147" i="10" l="1"/>
  <c r="W147" i="10" s="1"/>
  <c r="P147" i="10"/>
  <c r="I148" i="10" s="1"/>
  <c r="K83" i="2"/>
  <c r="L83" i="2"/>
  <c r="L148" i="10" l="1"/>
  <c r="K148" i="10"/>
  <c r="O83" i="2"/>
  <c r="Y83" i="2" s="1"/>
  <c r="Y148" i="10" l="1"/>
  <c r="J148" i="10"/>
  <c r="X148" i="10"/>
  <c r="X83" i="2"/>
  <c r="J83" i="2"/>
  <c r="P83" i="2" s="1"/>
  <c r="I84" i="2" s="1"/>
  <c r="T148" i="10" l="1"/>
  <c r="W148" i="10" s="1"/>
  <c r="P148" i="10"/>
  <c r="I149" i="10" s="1"/>
  <c r="T83" i="2"/>
  <c r="W83" i="2" s="1"/>
  <c r="L84" i="2"/>
  <c r="K84" i="2"/>
  <c r="L149" i="10" l="1"/>
  <c r="K149" i="10"/>
  <c r="Y84" i="2"/>
  <c r="J84" i="2"/>
  <c r="X84" i="2"/>
  <c r="X149" i="10" l="1"/>
  <c r="J149" i="10"/>
  <c r="Y149" i="10"/>
  <c r="T84" i="2"/>
  <c r="W84" i="2" s="1"/>
  <c r="P84" i="2"/>
  <c r="I85" i="2" s="1"/>
  <c r="T149" i="10" l="1"/>
  <c r="W149" i="10" s="1"/>
  <c r="P149" i="10"/>
  <c r="I150" i="10" s="1"/>
  <c r="L85" i="2"/>
  <c r="K85" i="2"/>
  <c r="L150" i="10" l="1"/>
  <c r="K150" i="10"/>
  <c r="O85" i="2"/>
  <c r="Y85" i="2" s="1"/>
  <c r="X150" i="10" l="1"/>
  <c r="J150" i="10"/>
  <c r="Y150" i="10"/>
  <c r="J85" i="2"/>
  <c r="T85" i="2" s="1"/>
  <c r="W85" i="2" s="1"/>
  <c r="X85" i="2"/>
  <c r="T150" i="10" l="1"/>
  <c r="W150" i="10" s="1"/>
  <c r="P150" i="10"/>
  <c r="I151" i="10" s="1"/>
  <c r="P85" i="2"/>
  <c r="I86" i="2" s="1"/>
  <c r="L86" i="2" s="1"/>
  <c r="L151" i="10" l="1"/>
  <c r="K151" i="10"/>
  <c r="K86" i="2"/>
  <c r="J86" i="2" s="1"/>
  <c r="Y86" i="2"/>
  <c r="X86" i="2"/>
  <c r="J151" i="10" l="1"/>
  <c r="Y151" i="10"/>
  <c r="X151" i="10"/>
  <c r="T86" i="2"/>
  <c r="W86" i="2" s="1"/>
  <c r="P86" i="2"/>
  <c r="I87" i="2" s="1"/>
  <c r="T151" i="10" l="1"/>
  <c r="W151" i="10" s="1"/>
  <c r="P151" i="10"/>
  <c r="I152" i="10" s="1"/>
  <c r="L87" i="2"/>
  <c r="K87" i="2"/>
  <c r="L152" i="10" l="1"/>
  <c r="K152" i="10"/>
  <c r="Y87" i="2"/>
  <c r="J87" i="2"/>
  <c r="X87" i="2"/>
  <c r="J152" i="10" l="1"/>
  <c r="Y152" i="10"/>
  <c r="X152" i="10"/>
  <c r="T87" i="2"/>
  <c r="W87" i="2" s="1"/>
  <c r="P87" i="2"/>
  <c r="I88" i="2" s="1"/>
  <c r="T152" i="10" l="1"/>
  <c r="W152" i="10" s="1"/>
  <c r="P152" i="10"/>
  <c r="I153" i="10" s="1"/>
  <c r="L88" i="2"/>
  <c r="K88" i="2"/>
  <c r="L153" i="10" l="1"/>
  <c r="K153" i="10"/>
  <c r="Y88" i="2"/>
  <c r="X88" i="2"/>
  <c r="J88" i="2"/>
  <c r="J153" i="10" l="1"/>
  <c r="X153" i="10"/>
  <c r="Y153" i="10"/>
  <c r="T88" i="2"/>
  <c r="W88" i="2" s="1"/>
  <c r="P88" i="2"/>
  <c r="I89" i="2" s="1"/>
  <c r="T153" i="10" l="1"/>
  <c r="W153" i="10" s="1"/>
  <c r="P153" i="10"/>
  <c r="I154" i="10" s="1"/>
  <c r="L89" i="2"/>
  <c r="K89" i="2"/>
  <c r="K154" i="10" l="1"/>
  <c r="L154" i="10"/>
  <c r="Y89" i="2"/>
  <c r="X89" i="2"/>
  <c r="J89" i="2"/>
  <c r="X154" i="10" l="1"/>
  <c r="J154" i="10"/>
  <c r="Y154" i="10"/>
  <c r="T89" i="2"/>
  <c r="W89" i="2" s="1"/>
  <c r="P89" i="2"/>
  <c r="I90" i="2" s="1"/>
  <c r="T154" i="10" l="1"/>
  <c r="W154" i="10" s="1"/>
  <c r="P154" i="10"/>
  <c r="I155" i="10" s="1"/>
  <c r="L90" i="2"/>
  <c r="K90" i="2"/>
  <c r="K155" i="10" l="1"/>
  <c r="L155" i="10"/>
  <c r="Y90" i="2"/>
  <c r="X90" i="2"/>
  <c r="J90" i="2"/>
  <c r="J155" i="10" l="1"/>
  <c r="Y155" i="10"/>
  <c r="X155" i="10"/>
  <c r="T90" i="2"/>
  <c r="W90" i="2" s="1"/>
  <c r="P90" i="2"/>
  <c r="I91" i="2" s="1"/>
  <c r="T155" i="10" l="1"/>
  <c r="W155" i="10" s="1"/>
  <c r="P155" i="10"/>
  <c r="I156" i="10" s="1"/>
  <c r="L91" i="2"/>
  <c r="K91" i="2"/>
  <c r="L156" i="10" l="1"/>
  <c r="K156" i="10"/>
  <c r="Y91" i="2"/>
  <c r="X91" i="2"/>
  <c r="J91" i="2"/>
  <c r="Y156" i="10" l="1"/>
  <c r="J156" i="10"/>
  <c r="X156" i="10"/>
  <c r="T91" i="2"/>
  <c r="W91" i="2" s="1"/>
  <c r="P91" i="2"/>
  <c r="I92" i="2" s="1"/>
  <c r="T156" i="10" l="1"/>
  <c r="W156" i="10" s="1"/>
  <c r="P156" i="10"/>
  <c r="I157" i="10" s="1"/>
  <c r="L92" i="2"/>
  <c r="K92" i="2"/>
  <c r="O92" i="2" s="1"/>
  <c r="K157" i="10" l="1"/>
  <c r="L157" i="10"/>
  <c r="Y92" i="2"/>
  <c r="X92" i="2"/>
  <c r="J92" i="2"/>
  <c r="J157" i="10" l="1"/>
  <c r="Y157" i="10"/>
  <c r="X157" i="10"/>
  <c r="T92" i="2"/>
  <c r="W92" i="2" s="1"/>
  <c r="P92" i="2"/>
  <c r="I93" i="2" s="1"/>
  <c r="T157" i="10" l="1"/>
  <c r="W157" i="10" s="1"/>
  <c r="P157" i="10"/>
  <c r="I158" i="10" s="1"/>
  <c r="L93" i="2"/>
  <c r="K93" i="2"/>
  <c r="L158" i="10" l="1"/>
  <c r="K158" i="10"/>
  <c r="O93" i="2"/>
  <c r="J93" i="2" s="1"/>
  <c r="Y158" i="10" l="1"/>
  <c r="J158" i="10"/>
  <c r="X158" i="10"/>
  <c r="Y93" i="2"/>
  <c r="X93" i="2"/>
  <c r="T93" i="2"/>
  <c r="W93" i="2" s="1"/>
  <c r="P93" i="2"/>
  <c r="I94" i="2" s="1"/>
  <c r="T158" i="10" l="1"/>
  <c r="W158" i="10" s="1"/>
  <c r="P158" i="10"/>
  <c r="I159" i="10" s="1"/>
  <c r="L94" i="2"/>
  <c r="K94" i="2"/>
  <c r="L159" i="10" l="1"/>
  <c r="K159" i="10"/>
  <c r="Y94" i="2"/>
  <c r="J94" i="2"/>
  <c r="X94" i="2"/>
  <c r="J159" i="10" l="1"/>
  <c r="X159" i="10"/>
  <c r="Y159" i="10"/>
  <c r="T94" i="2"/>
  <c r="W94" i="2" s="1"/>
  <c r="P94" i="2"/>
  <c r="I95" i="2" s="1"/>
  <c r="T159" i="10" l="1"/>
  <c r="W159" i="10" s="1"/>
  <c r="P159" i="10"/>
  <c r="I160" i="10" s="1"/>
  <c r="L95" i="2"/>
  <c r="K95" i="2"/>
  <c r="K160" i="10" l="1"/>
  <c r="L160" i="10"/>
  <c r="Y95" i="2"/>
  <c r="J95" i="2"/>
  <c r="X95" i="2"/>
  <c r="J160" i="10" l="1"/>
  <c r="Y160" i="10"/>
  <c r="X160" i="10"/>
  <c r="T95" i="2"/>
  <c r="W95" i="2" s="1"/>
  <c r="P95" i="2"/>
  <c r="I96" i="2" s="1"/>
  <c r="T160" i="10" l="1"/>
  <c r="W160" i="10" s="1"/>
  <c r="P160" i="10"/>
  <c r="I161" i="10" s="1"/>
  <c r="L96" i="2"/>
  <c r="K96" i="2"/>
  <c r="L161" i="10" l="1"/>
  <c r="K161" i="10"/>
  <c r="Y96" i="2"/>
  <c r="J96" i="2"/>
  <c r="X96" i="2"/>
  <c r="J161" i="10" l="1"/>
  <c r="Y161" i="10"/>
  <c r="X161" i="10"/>
  <c r="T96" i="2"/>
  <c r="W96" i="2" s="1"/>
  <c r="P96" i="2"/>
  <c r="I97" i="2" s="1"/>
  <c r="T161" i="10" l="1"/>
  <c r="W161" i="10" s="1"/>
  <c r="P161" i="10"/>
  <c r="I162" i="10" s="1"/>
  <c r="L97" i="2"/>
  <c r="K97" i="2"/>
  <c r="L162" i="10" l="1"/>
  <c r="K162" i="10"/>
  <c r="O97" i="2"/>
  <c r="Y97" i="2" s="1"/>
  <c r="J162" i="10" l="1"/>
  <c r="Y162" i="10"/>
  <c r="X162" i="10"/>
  <c r="J97" i="2"/>
  <c r="T97" i="2" s="1"/>
  <c r="W97" i="2" s="1"/>
  <c r="X97" i="2"/>
  <c r="T162" i="10" l="1"/>
  <c r="W162" i="10" s="1"/>
  <c r="P162" i="10"/>
  <c r="I163" i="10" s="1"/>
  <c r="P97" i="2"/>
  <c r="I98" i="2" s="1"/>
  <c r="L98" i="2" s="1"/>
  <c r="K163" i="10" l="1"/>
  <c r="L163" i="10"/>
  <c r="K98" i="2"/>
  <c r="J98" i="2" s="1"/>
  <c r="X98" i="2"/>
  <c r="Y98" i="2"/>
  <c r="J163" i="10" l="1"/>
  <c r="X163" i="10"/>
  <c r="Y163" i="10"/>
  <c r="T98" i="2"/>
  <c r="W98" i="2" s="1"/>
  <c r="P98" i="2"/>
  <c r="I99" i="2" s="1"/>
  <c r="T163" i="10" l="1"/>
  <c r="W163" i="10" s="1"/>
  <c r="P163" i="10"/>
  <c r="I164" i="10" s="1"/>
  <c r="L99" i="2"/>
  <c r="K99" i="2"/>
  <c r="K164" i="10" l="1"/>
  <c r="L164" i="10"/>
  <c r="J99" i="2"/>
  <c r="X99" i="2"/>
  <c r="Y99" i="2"/>
  <c r="J164" i="10" l="1"/>
  <c r="Y164" i="10"/>
  <c r="X164" i="10"/>
  <c r="T99" i="2"/>
  <c r="W99" i="2" s="1"/>
  <c r="P99" i="2"/>
  <c r="I100" i="2" s="1"/>
  <c r="T164" i="10" l="1"/>
  <c r="W164" i="10" s="1"/>
  <c r="P164" i="10"/>
  <c r="I165" i="10" s="1"/>
  <c r="L100" i="2"/>
  <c r="K100" i="2"/>
  <c r="K165" i="10" l="1"/>
  <c r="L165" i="10"/>
  <c r="J100" i="2"/>
  <c r="T100" i="2" s="1"/>
  <c r="W100" i="2" s="1"/>
  <c r="X100" i="2"/>
  <c r="Y100" i="2"/>
  <c r="J165" i="10" l="1"/>
  <c r="X165" i="10"/>
  <c r="Y165" i="10"/>
  <c r="P100" i="2"/>
  <c r="I101" i="2" s="1"/>
  <c r="K101" i="2" s="1"/>
  <c r="T165" i="10" l="1"/>
  <c r="W165" i="10" s="1"/>
  <c r="P165" i="10"/>
  <c r="I166" i="10" s="1"/>
  <c r="L101" i="2"/>
  <c r="X101" i="2" s="1"/>
  <c r="K166" i="10" l="1"/>
  <c r="L166" i="10"/>
  <c r="Y101" i="2"/>
  <c r="J101" i="2"/>
  <c r="T101" i="2" s="1"/>
  <c r="W101" i="2" s="1"/>
  <c r="Y166" i="10" l="1"/>
  <c r="J166" i="10"/>
  <c r="X166" i="10"/>
  <c r="P101" i="2"/>
  <c r="I102" i="2" s="1"/>
  <c r="K102" i="2" s="1"/>
  <c r="T166" i="10" l="1"/>
  <c r="W166" i="10" s="1"/>
  <c r="P166" i="10"/>
  <c r="I167" i="10" s="1"/>
  <c r="L102" i="2"/>
  <c r="Y102" i="2" s="1"/>
  <c r="K167" i="10" l="1"/>
  <c r="L167" i="10"/>
  <c r="X102" i="2"/>
  <c r="J102" i="2"/>
  <c r="T102" i="2" s="1"/>
  <c r="W102" i="2" s="1"/>
  <c r="J167" i="10" l="1"/>
  <c r="Y167" i="10"/>
  <c r="X167" i="10"/>
  <c r="P102" i="2"/>
  <c r="I103" i="2" s="1"/>
  <c r="L103" i="2" s="1"/>
  <c r="T167" i="10" l="1"/>
  <c r="W167" i="10" s="1"/>
  <c r="P167" i="10"/>
  <c r="I168" i="10" s="1"/>
  <c r="K103" i="2"/>
  <c r="J103" i="2" s="1"/>
  <c r="Y103" i="2"/>
  <c r="X103" i="2"/>
  <c r="K168" i="10" l="1"/>
  <c r="L168" i="10"/>
  <c r="T103" i="2"/>
  <c r="W103" i="2" s="1"/>
  <c r="P103" i="2"/>
  <c r="I104" i="2" s="1"/>
  <c r="X168" i="10" l="1"/>
  <c r="J168" i="10"/>
  <c r="Y168" i="10"/>
  <c r="L104" i="2"/>
  <c r="K104" i="2"/>
  <c r="T168" i="10" l="1"/>
  <c r="W168" i="10" s="1"/>
  <c r="P168" i="10"/>
  <c r="I169" i="10" s="1"/>
  <c r="Y104" i="2"/>
  <c r="X104" i="2"/>
  <c r="J104" i="2"/>
  <c r="K169" i="10" l="1"/>
  <c r="L169" i="10"/>
  <c r="T104" i="2"/>
  <c r="W104" i="2" s="1"/>
  <c r="P104" i="2"/>
  <c r="I105" i="2" s="1"/>
  <c r="J169" i="10" l="1"/>
  <c r="Y169" i="10"/>
  <c r="X169" i="10"/>
  <c r="L105" i="2"/>
  <c r="K105" i="2"/>
  <c r="T169" i="10" l="1"/>
  <c r="W169" i="10" s="1"/>
  <c r="P169" i="10"/>
  <c r="I170" i="10" s="1"/>
  <c r="Y105" i="2"/>
  <c r="J105" i="2"/>
  <c r="X105" i="2"/>
  <c r="L170" i="10" l="1"/>
  <c r="K170" i="10"/>
  <c r="T105" i="2"/>
  <c r="W105" i="2" s="1"/>
  <c r="P105" i="2"/>
  <c r="I106" i="2" s="1"/>
  <c r="J170" i="10" l="1"/>
  <c r="Y170" i="10"/>
  <c r="X170" i="10"/>
  <c r="L106" i="2"/>
  <c r="K106" i="2"/>
  <c r="T170" i="10" l="1"/>
  <c r="W170" i="10" s="1"/>
  <c r="P170" i="10"/>
  <c r="I171" i="10" s="1"/>
  <c r="Y106" i="2"/>
  <c r="J106" i="2"/>
  <c r="X106" i="2"/>
  <c r="L171" i="10" l="1"/>
  <c r="K171" i="10"/>
  <c r="T106" i="2"/>
  <c r="W106" i="2" s="1"/>
  <c r="P106" i="2"/>
  <c r="I107" i="2" s="1"/>
  <c r="J171" i="10" l="1"/>
  <c r="Y171" i="10"/>
  <c r="X171" i="10"/>
  <c r="L107" i="2"/>
  <c r="K107" i="2"/>
  <c r="T171" i="10" l="1"/>
  <c r="W171" i="10" s="1"/>
  <c r="P171" i="10"/>
  <c r="I172" i="10" s="1"/>
  <c r="Y107" i="2"/>
  <c r="X107" i="2"/>
  <c r="J107" i="2"/>
  <c r="K172" i="10" l="1"/>
  <c r="L172" i="10"/>
  <c r="T107" i="2"/>
  <c r="W107" i="2" s="1"/>
  <c r="P107" i="2"/>
  <c r="I108" i="2" s="1"/>
  <c r="X172" i="10" l="1"/>
  <c r="J172" i="10"/>
  <c r="Y172" i="10"/>
  <c r="L108" i="2"/>
  <c r="K108" i="2"/>
  <c r="T172" i="10" l="1"/>
  <c r="W172" i="10" s="1"/>
  <c r="P172" i="10"/>
  <c r="I173" i="10" s="1"/>
  <c r="Y108" i="2"/>
  <c r="J108" i="2"/>
  <c r="X108" i="2"/>
  <c r="L173" i="10" l="1"/>
  <c r="K173" i="10"/>
  <c r="T108" i="2"/>
  <c r="W108" i="2" s="1"/>
  <c r="P108" i="2"/>
  <c r="I109" i="2" s="1"/>
  <c r="J173" i="10" l="1"/>
  <c r="Y173" i="10"/>
  <c r="X173" i="10"/>
  <c r="L109" i="2"/>
  <c r="K109" i="2"/>
  <c r="T173" i="10" l="1"/>
  <c r="W173" i="10" s="1"/>
  <c r="P173" i="10"/>
  <c r="I174" i="10" s="1"/>
  <c r="O109" i="2"/>
  <c r="Y109" i="2" s="1"/>
  <c r="K174" i="10" l="1"/>
  <c r="L174" i="10"/>
  <c r="J109" i="2"/>
  <c r="T109" i="2" s="1"/>
  <c r="W109" i="2" s="1"/>
  <c r="X109" i="2"/>
  <c r="J174" i="10" l="1"/>
  <c r="X174" i="10"/>
  <c r="Y174" i="10"/>
  <c r="P109" i="2"/>
  <c r="I110" i="2" s="1"/>
  <c r="T174" i="10" l="1"/>
  <c r="W174" i="10" s="1"/>
  <c r="P174" i="10"/>
  <c r="I175" i="10" s="1"/>
  <c r="L110" i="2"/>
  <c r="K110" i="2"/>
  <c r="O110" i="2" l="1"/>
  <c r="Y110" i="2" s="1"/>
  <c r="L175" i="10"/>
  <c r="K175" i="10"/>
  <c r="X110" i="2" l="1"/>
  <c r="J110" i="2"/>
  <c r="T110" i="2" s="1"/>
  <c r="W110" i="2" s="1"/>
  <c r="J175" i="10"/>
  <c r="Y175" i="10"/>
  <c r="X175" i="10"/>
  <c r="P110" i="2"/>
  <c r="I111" i="2" s="1"/>
  <c r="G48" i="11"/>
  <c r="L111" i="2" l="1"/>
  <c r="K111" i="2"/>
  <c r="T175" i="10"/>
  <c r="W175" i="10" s="1"/>
  <c r="P175" i="10"/>
  <c r="I176" i="10" s="1"/>
  <c r="P48" i="11"/>
  <c r="O48" i="11"/>
  <c r="S48" i="11"/>
  <c r="T48" i="11" s="1"/>
  <c r="G49" i="11"/>
  <c r="Y111" i="2" l="1"/>
  <c r="J111" i="2"/>
  <c r="X111" i="2"/>
  <c r="L176" i="10"/>
  <c r="K176" i="10"/>
  <c r="S49" i="11"/>
  <c r="T49" i="11" s="1"/>
  <c r="P49" i="11"/>
  <c r="O49" i="11"/>
  <c r="G50" i="11"/>
  <c r="S50" i="11" s="1"/>
  <c r="T50" i="11" s="1"/>
  <c r="X176" i="10" l="1"/>
  <c r="J176" i="10"/>
  <c r="Y176" i="10"/>
  <c r="T111" i="2"/>
  <c r="W111" i="2" s="1"/>
  <c r="P111" i="2"/>
  <c r="I112" i="2" s="1"/>
  <c r="G51" i="11"/>
  <c r="S51" i="11" s="1"/>
  <c r="T51" i="11" s="1"/>
  <c r="P50" i="11"/>
  <c r="O50" i="11"/>
  <c r="L112" i="2" l="1"/>
  <c r="K112" i="2"/>
  <c r="T176" i="10"/>
  <c r="W176" i="10" s="1"/>
  <c r="P176" i="10"/>
  <c r="I177" i="10" s="1"/>
  <c r="G52" i="11"/>
  <c r="S52" i="11" s="1"/>
  <c r="T52" i="11" s="1"/>
  <c r="P51" i="11"/>
  <c r="O51" i="11"/>
  <c r="L177" i="10" l="1"/>
  <c r="K177" i="10"/>
  <c r="Y112" i="2"/>
  <c r="X112" i="2"/>
  <c r="J112" i="2"/>
  <c r="G53" i="11"/>
  <c r="S53" i="11" s="1"/>
  <c r="T53" i="11" s="1"/>
  <c r="P52" i="11"/>
  <c r="O52" i="11"/>
  <c r="T112" i="2" l="1"/>
  <c r="W112" i="2" s="1"/>
  <c r="P112" i="2"/>
  <c r="I113" i="2" s="1"/>
  <c r="J177" i="10"/>
  <c r="Y177" i="10"/>
  <c r="X177" i="10"/>
  <c r="G54" i="11"/>
  <c r="S54" i="11" s="1"/>
  <c r="T54" i="11" s="1"/>
  <c r="P53" i="11"/>
  <c r="O53" i="11"/>
  <c r="T177" i="10" l="1"/>
  <c r="W177" i="10" s="1"/>
  <c r="P177" i="10"/>
  <c r="I178" i="10" s="1"/>
  <c r="L113" i="2"/>
  <c r="K113" i="2"/>
  <c r="G55" i="11"/>
  <c r="S55" i="11" s="1"/>
  <c r="T55" i="11" s="1"/>
  <c r="P54" i="11"/>
  <c r="O54" i="11"/>
  <c r="Y113" i="2" l="1"/>
  <c r="X113" i="2"/>
  <c r="J113" i="2"/>
  <c r="L178" i="10"/>
  <c r="K178" i="10"/>
  <c r="G56" i="11"/>
  <c r="S56" i="11" s="1"/>
  <c r="T56" i="11" s="1"/>
  <c r="P55" i="11"/>
  <c r="O55" i="11"/>
  <c r="T113" i="2" l="1"/>
  <c r="W113" i="2" s="1"/>
  <c r="P113" i="2"/>
  <c r="I114" i="2" s="1"/>
  <c r="X178" i="10"/>
  <c r="J178" i="10"/>
  <c r="Y178" i="10"/>
  <c r="G57" i="11"/>
  <c r="S57" i="11" s="1"/>
  <c r="T57" i="11" s="1"/>
  <c r="P56" i="11"/>
  <c r="O56" i="11"/>
  <c r="T178" i="10" l="1"/>
  <c r="W178" i="10" s="1"/>
  <c r="P178" i="10"/>
  <c r="I179" i="10" s="1"/>
  <c r="L114" i="2"/>
  <c r="K114" i="2"/>
  <c r="G58" i="11"/>
  <c r="S58" i="11" s="1"/>
  <c r="T58" i="11" s="1"/>
  <c r="P57" i="11"/>
  <c r="O57" i="11"/>
  <c r="Y114" i="2" l="1"/>
  <c r="J114" i="2"/>
  <c r="X114" i="2"/>
  <c r="K179" i="10"/>
  <c r="L179" i="10"/>
  <c r="G59" i="11"/>
  <c r="S59" i="11" s="1"/>
  <c r="T59" i="11" s="1"/>
  <c r="P58" i="11"/>
  <c r="O58" i="11"/>
  <c r="J179" i="10" l="1"/>
  <c r="Y179" i="10"/>
  <c r="X179" i="10"/>
  <c r="T114" i="2"/>
  <c r="W114" i="2" s="1"/>
  <c r="P114" i="2"/>
  <c r="I115" i="2" s="1"/>
  <c r="P59" i="11"/>
  <c r="O59" i="11"/>
  <c r="G60" i="11"/>
  <c r="O60" i="11" s="1"/>
  <c r="L115" i="2" l="1"/>
  <c r="K115" i="2"/>
  <c r="T179" i="10"/>
  <c r="W179" i="10" s="1"/>
  <c r="P179" i="10"/>
  <c r="I180" i="10" s="1"/>
  <c r="S60" i="11"/>
  <c r="T60" i="11" s="1"/>
  <c r="P60" i="11"/>
  <c r="G61" i="11"/>
  <c r="O61" i="11" s="1"/>
  <c r="K180" i="10" l="1"/>
  <c r="L180" i="10"/>
  <c r="J115" i="2"/>
  <c r="Y115" i="2"/>
  <c r="X115" i="2"/>
  <c r="S61" i="11"/>
  <c r="T61" i="11" s="1"/>
  <c r="P61" i="11"/>
  <c r="G62" i="11"/>
  <c r="O62" i="11" s="1"/>
  <c r="T115" i="2" l="1"/>
  <c r="W115" i="2" s="1"/>
  <c r="P115" i="2"/>
  <c r="I116" i="2" s="1"/>
  <c r="J180" i="10"/>
  <c r="Y180" i="10"/>
  <c r="X180" i="10"/>
  <c r="S62" i="11"/>
  <c r="T62" i="11" s="1"/>
  <c r="P62" i="11"/>
  <c r="G63" i="11"/>
  <c r="O63" i="11" s="1"/>
  <c r="T180" i="10" l="1"/>
  <c r="W180" i="10" s="1"/>
  <c r="P180" i="10"/>
  <c r="I181" i="10" s="1"/>
  <c r="L116" i="2"/>
  <c r="K116" i="2"/>
  <c r="S63" i="11"/>
  <c r="T63" i="11" s="1"/>
  <c r="P63" i="11"/>
  <c r="G64" i="11"/>
  <c r="O64" i="11" s="1"/>
  <c r="X116" i="2" l="1"/>
  <c r="Y116" i="2"/>
  <c r="J116" i="2"/>
  <c r="L181" i="10"/>
  <c r="K181" i="10"/>
  <c r="S64" i="11"/>
  <c r="T64" i="11" s="1"/>
  <c r="P64" i="11"/>
  <c r="G65" i="11"/>
  <c r="O65" i="11" s="1"/>
  <c r="T116" i="2" l="1"/>
  <c r="W116" i="2" s="1"/>
  <c r="P116" i="2"/>
  <c r="I117" i="2" s="1"/>
  <c r="Y181" i="10"/>
  <c r="J181" i="10"/>
  <c r="X181" i="10"/>
  <c r="S65" i="11"/>
  <c r="T65" i="11" s="1"/>
  <c r="P65" i="11"/>
  <c r="G66" i="11"/>
  <c r="O66" i="11" s="1"/>
  <c r="T181" i="10" l="1"/>
  <c r="W181" i="10" s="1"/>
  <c r="P181" i="10"/>
  <c r="I182" i="10" s="1"/>
  <c r="L117" i="2"/>
  <c r="K117" i="2"/>
  <c r="O117" i="2" s="1"/>
  <c r="S66" i="11"/>
  <c r="T66" i="11" s="1"/>
  <c r="P66" i="11"/>
  <c r="G67" i="11"/>
  <c r="O67" i="11" s="1"/>
  <c r="Y117" i="2" l="1"/>
  <c r="J117" i="2"/>
  <c r="X117" i="2"/>
  <c r="K182" i="10"/>
  <c r="L182" i="10"/>
  <c r="S67" i="11"/>
  <c r="T67" i="11" s="1"/>
  <c r="P67" i="11"/>
  <c r="G68" i="11"/>
  <c r="O68" i="11" s="1"/>
  <c r="J182" i="10" l="1"/>
  <c r="Y182" i="10"/>
  <c r="X182" i="10"/>
  <c r="T117" i="2"/>
  <c r="W117" i="2" s="1"/>
  <c r="P117" i="2"/>
  <c r="I118" i="2" s="1"/>
  <c r="S68" i="11"/>
  <c r="T68" i="11" s="1"/>
  <c r="P68" i="11"/>
  <c r="G69" i="11"/>
  <c r="O69" i="11" s="1"/>
  <c r="L118" i="2" l="1"/>
  <c r="K118" i="2"/>
  <c r="T182" i="10"/>
  <c r="W182" i="10" s="1"/>
  <c r="P182" i="10"/>
  <c r="I183" i="10" s="1"/>
  <c r="S69" i="11"/>
  <c r="T69" i="11" s="1"/>
  <c r="P69" i="11"/>
  <c r="G70" i="11"/>
  <c r="O70" i="11" s="1"/>
  <c r="L183" i="10" l="1"/>
  <c r="K183" i="10"/>
  <c r="X118" i="2"/>
  <c r="Y118" i="2"/>
  <c r="J118" i="2"/>
  <c r="S70" i="11"/>
  <c r="T70" i="11" s="1"/>
  <c r="P70" i="11"/>
  <c r="G71" i="11"/>
  <c r="O71" i="11" s="1"/>
  <c r="J183" i="10" l="1"/>
  <c r="Y183" i="10"/>
  <c r="X183" i="10"/>
  <c r="T118" i="2"/>
  <c r="W118" i="2" s="1"/>
  <c r="P118" i="2"/>
  <c r="I119" i="2" s="1"/>
  <c r="S71" i="11"/>
  <c r="T71" i="11" s="1"/>
  <c r="P71" i="11"/>
  <c r="G72" i="11"/>
  <c r="O72" i="11" s="1"/>
  <c r="L119" i="2" l="1"/>
  <c r="K119" i="2"/>
  <c r="T183" i="10"/>
  <c r="W183" i="10" s="1"/>
  <c r="P183" i="10"/>
  <c r="I184" i="10" s="1"/>
  <c r="S72" i="11"/>
  <c r="T72" i="11" s="1"/>
  <c r="P72" i="11"/>
  <c r="G73" i="11"/>
  <c r="O73" i="11" s="1"/>
  <c r="L184" i="10" l="1"/>
  <c r="K184" i="10"/>
  <c r="X119" i="2"/>
  <c r="Y119" i="2"/>
  <c r="J119" i="2"/>
  <c r="S73" i="11"/>
  <c r="T73" i="11" s="1"/>
  <c r="P73" i="11"/>
  <c r="G74" i="11"/>
  <c r="O74" i="11" s="1"/>
  <c r="J184" i="10" l="1"/>
  <c r="X184" i="10"/>
  <c r="Y184" i="10"/>
  <c r="T119" i="2"/>
  <c r="W119" i="2" s="1"/>
  <c r="P119" i="2"/>
  <c r="I120" i="2" s="1"/>
  <c r="S74" i="11"/>
  <c r="T74" i="11" s="1"/>
  <c r="P74" i="11"/>
  <c r="G75" i="11"/>
  <c r="O75" i="11" s="1"/>
  <c r="L120" i="2" l="1"/>
  <c r="K120" i="2"/>
  <c r="T184" i="10"/>
  <c r="W184" i="10" s="1"/>
  <c r="P184" i="10"/>
  <c r="I185" i="10" s="1"/>
  <c r="S75" i="11"/>
  <c r="T75" i="11" s="1"/>
  <c r="P75" i="11"/>
  <c r="G76" i="11"/>
  <c r="O76" i="11" s="1"/>
  <c r="K185" i="10" l="1"/>
  <c r="L185" i="10"/>
  <c r="X120" i="2"/>
  <c r="Y120" i="2"/>
  <c r="J120" i="2"/>
  <c r="S76" i="11"/>
  <c r="T76" i="11" s="1"/>
  <c r="P76" i="11"/>
  <c r="G77" i="11"/>
  <c r="O77" i="11" s="1"/>
  <c r="T120" i="2" l="1"/>
  <c r="W120" i="2" s="1"/>
  <c r="P120" i="2"/>
  <c r="I121" i="2" s="1"/>
  <c r="J185" i="10"/>
  <c r="Y185" i="10"/>
  <c r="X185" i="10"/>
  <c r="S77" i="11"/>
  <c r="T77" i="11" s="1"/>
  <c r="P77" i="11"/>
  <c r="G78" i="11"/>
  <c r="O78" i="11" s="1"/>
  <c r="T185" i="10" l="1"/>
  <c r="W185" i="10" s="1"/>
  <c r="P185" i="10"/>
  <c r="I186" i="10" s="1"/>
  <c r="L121" i="2"/>
  <c r="K121" i="2"/>
  <c r="S78" i="11"/>
  <c r="T78" i="11" s="1"/>
  <c r="P78" i="11"/>
  <c r="G79" i="11"/>
  <c r="O79" i="11" s="1"/>
  <c r="X121" i="2" l="1"/>
  <c r="Y121" i="2"/>
  <c r="J121" i="2"/>
  <c r="L186" i="10"/>
  <c r="K186" i="10"/>
  <c r="S79" i="11"/>
  <c r="T79" i="11" s="1"/>
  <c r="P79" i="11"/>
  <c r="G80" i="11"/>
  <c r="O80" i="11" s="1"/>
  <c r="T121" i="2" l="1"/>
  <c r="W121" i="2" s="1"/>
  <c r="P121" i="2"/>
  <c r="I122" i="2" s="1"/>
  <c r="J186" i="10"/>
  <c r="Y186" i="10"/>
  <c r="X186" i="10"/>
  <c r="S80" i="11"/>
  <c r="T80" i="11" s="1"/>
  <c r="P80" i="11"/>
  <c r="G81" i="11"/>
  <c r="O81" i="11" s="1"/>
  <c r="T186" i="10" l="1"/>
  <c r="W186" i="10" s="1"/>
  <c r="P186" i="10"/>
  <c r="I187" i="10" s="1"/>
  <c r="L122" i="2"/>
  <c r="K122" i="2"/>
  <c r="S81" i="11"/>
  <c r="T81" i="11" s="1"/>
  <c r="P81" i="11"/>
  <c r="G82" i="11"/>
  <c r="O82" i="11" s="1"/>
  <c r="X122" i="2" l="1"/>
  <c r="Y122" i="2"/>
  <c r="J122" i="2"/>
  <c r="L187" i="10"/>
  <c r="K187" i="10"/>
  <c r="S82" i="11"/>
  <c r="T82" i="11" s="1"/>
  <c r="P82" i="11"/>
  <c r="G83" i="11"/>
  <c r="O83" i="11" s="1"/>
  <c r="J187" i="10" l="1"/>
  <c r="X187" i="10"/>
  <c r="Y187" i="10"/>
  <c r="T122" i="2"/>
  <c r="W122" i="2" s="1"/>
  <c r="P122" i="2"/>
  <c r="I123" i="2" s="1"/>
  <c r="S83" i="11"/>
  <c r="T83" i="11" s="1"/>
  <c r="P83" i="11"/>
  <c r="G84" i="11"/>
  <c r="O84" i="11" s="1"/>
  <c r="L123" i="2" l="1"/>
  <c r="K123" i="2"/>
  <c r="T187" i="10"/>
  <c r="W187" i="10" s="1"/>
  <c r="P187" i="10"/>
  <c r="I188" i="10" s="1"/>
  <c r="S84" i="11"/>
  <c r="T84" i="11" s="1"/>
  <c r="P84" i="11"/>
  <c r="G85" i="11"/>
  <c r="O85" i="11" s="1"/>
  <c r="K188" i="10" l="1"/>
  <c r="L188" i="10"/>
  <c r="X123" i="2"/>
  <c r="Y123" i="2"/>
  <c r="J123" i="2"/>
  <c r="S85" i="11"/>
  <c r="T85" i="11" s="1"/>
  <c r="P85" i="11"/>
  <c r="G86" i="11"/>
  <c r="O86" i="11" s="1"/>
  <c r="J188" i="10" l="1"/>
  <c r="X188" i="10"/>
  <c r="Y188" i="10"/>
  <c r="T123" i="2"/>
  <c r="W123" i="2" s="1"/>
  <c r="P123" i="2"/>
  <c r="I124" i="2" s="1"/>
  <c r="S86" i="11"/>
  <c r="T86" i="11" s="1"/>
  <c r="P86" i="11"/>
  <c r="G87" i="11"/>
  <c r="O87" i="11" s="1"/>
  <c r="L124" i="2" l="1"/>
  <c r="K124" i="2"/>
  <c r="T188" i="10"/>
  <c r="W188" i="10" s="1"/>
  <c r="P188" i="10"/>
  <c r="I189" i="10" s="1"/>
  <c r="S87" i="11"/>
  <c r="T87" i="11" s="1"/>
  <c r="P87" i="11"/>
  <c r="G88" i="11"/>
  <c r="O88" i="11" s="1"/>
  <c r="L189" i="10" l="1"/>
  <c r="K189" i="10"/>
  <c r="X124" i="2"/>
  <c r="Y124" i="2"/>
  <c r="J124" i="2"/>
  <c r="S88" i="11"/>
  <c r="T88" i="11" s="1"/>
  <c r="P88" i="11"/>
  <c r="G89" i="11"/>
  <c r="O89" i="11" s="1"/>
  <c r="T124" i="2" l="1"/>
  <c r="W124" i="2" s="1"/>
  <c r="P124" i="2"/>
  <c r="I125" i="2" s="1"/>
  <c r="J189" i="10"/>
  <c r="Y189" i="10"/>
  <c r="X189" i="10"/>
  <c r="S89" i="11"/>
  <c r="T89" i="11" s="1"/>
  <c r="P89" i="11"/>
  <c r="G90" i="11"/>
  <c r="O90" i="11" s="1"/>
  <c r="T189" i="10" l="1"/>
  <c r="W189" i="10" s="1"/>
  <c r="P189" i="10"/>
  <c r="I190" i="10" s="1"/>
  <c r="L125" i="2"/>
  <c r="K125" i="2"/>
  <c r="S90" i="11"/>
  <c r="T90" i="11" s="1"/>
  <c r="P90" i="11"/>
  <c r="G91" i="11"/>
  <c r="O91" i="11" s="1"/>
  <c r="X125" i="2" l="1"/>
  <c r="Y125" i="2"/>
  <c r="J125" i="2"/>
  <c r="L190" i="10"/>
  <c r="K190" i="10"/>
  <c r="S91" i="11"/>
  <c r="T91" i="11" s="1"/>
  <c r="P91" i="11"/>
  <c r="G92" i="11"/>
  <c r="O92" i="11" s="1"/>
  <c r="J190" i="10" l="1"/>
  <c r="Y190" i="10"/>
  <c r="X190" i="10"/>
  <c r="T125" i="2"/>
  <c r="W125" i="2" s="1"/>
  <c r="P125" i="2"/>
  <c r="I126" i="2" s="1"/>
  <c r="S92" i="11"/>
  <c r="T92" i="11" s="1"/>
  <c r="P92" i="11"/>
  <c r="G93" i="11"/>
  <c r="O93" i="11" s="1"/>
  <c r="L126" i="2" l="1"/>
  <c r="K126" i="2"/>
  <c r="T190" i="10"/>
  <c r="W190" i="10" s="1"/>
  <c r="P190" i="10"/>
  <c r="I191" i="10" s="1"/>
  <c r="S93" i="11"/>
  <c r="T93" i="11" s="1"/>
  <c r="P93" i="11"/>
  <c r="G94" i="11"/>
  <c r="O94" i="11" s="1"/>
  <c r="L191" i="10" l="1"/>
  <c r="K191" i="10"/>
  <c r="X126" i="2"/>
  <c r="Y126" i="2"/>
  <c r="J126" i="2"/>
  <c r="S94" i="11"/>
  <c r="T94" i="11" s="1"/>
  <c r="P94" i="11"/>
  <c r="G95" i="11"/>
  <c r="O95" i="11" s="1"/>
  <c r="J191" i="10" l="1"/>
  <c r="Y191" i="10"/>
  <c r="X191" i="10"/>
  <c r="T126" i="2"/>
  <c r="W126" i="2" s="1"/>
  <c r="P126" i="2"/>
  <c r="I127" i="2" s="1"/>
  <c r="S95" i="11"/>
  <c r="T95" i="11" s="1"/>
  <c r="P95" i="11"/>
  <c r="G96" i="11"/>
  <c r="O96" i="11" s="1"/>
  <c r="L127" i="2" l="1"/>
  <c r="K127" i="2"/>
  <c r="O127" i="2" s="1"/>
  <c r="T191" i="10"/>
  <c r="W191" i="10" s="1"/>
  <c r="P191" i="10"/>
  <c r="I192" i="10" s="1"/>
  <c r="S96" i="11"/>
  <c r="T96" i="11" s="1"/>
  <c r="P96" i="11"/>
  <c r="G97" i="11"/>
  <c r="O97" i="11" s="1"/>
  <c r="K192" i="10" l="1"/>
  <c r="L192" i="10"/>
  <c r="X127" i="2"/>
  <c r="Y127" i="2"/>
  <c r="J127" i="2"/>
  <c r="S97" i="11"/>
  <c r="T97" i="11" s="1"/>
  <c r="P97" i="11"/>
  <c r="G98" i="11"/>
  <c r="O98" i="11" s="1"/>
  <c r="T127" i="2" l="1"/>
  <c r="W127" i="2" s="1"/>
  <c r="P127" i="2"/>
  <c r="I128" i="2" s="1"/>
  <c r="J192" i="10"/>
  <c r="X192" i="10"/>
  <c r="Y192" i="10"/>
  <c r="S98" i="11"/>
  <c r="T98" i="11" s="1"/>
  <c r="P98" i="11"/>
  <c r="G99" i="11"/>
  <c r="O99" i="11" s="1"/>
  <c r="T192" i="10" l="1"/>
  <c r="W192" i="10" s="1"/>
  <c r="P192" i="10"/>
  <c r="I193" i="10" s="1"/>
  <c r="L128" i="2"/>
  <c r="K128" i="2"/>
  <c r="S99" i="11"/>
  <c r="T99" i="11" s="1"/>
  <c r="P99" i="11"/>
  <c r="G100" i="11"/>
  <c r="O100" i="11" s="1"/>
  <c r="Y128" i="2" l="1"/>
  <c r="X128" i="2"/>
  <c r="J128" i="2"/>
  <c r="L193" i="10"/>
  <c r="K193" i="10"/>
  <c r="S100" i="11"/>
  <c r="T100" i="11" s="1"/>
  <c r="P100" i="11"/>
  <c r="G101" i="11"/>
  <c r="O101" i="11" s="1"/>
  <c r="J193" i="10" l="1"/>
  <c r="Y193" i="10"/>
  <c r="X193" i="10"/>
  <c r="T128" i="2"/>
  <c r="W128" i="2" s="1"/>
  <c r="P128" i="2"/>
  <c r="I129" i="2" s="1"/>
  <c r="S101" i="11"/>
  <c r="T101" i="11" s="1"/>
  <c r="P101" i="11"/>
  <c r="G102" i="11"/>
  <c r="O102" i="11" s="1"/>
  <c r="L129" i="2" l="1"/>
  <c r="K129" i="2"/>
  <c r="T193" i="10"/>
  <c r="W193" i="10" s="1"/>
  <c r="P193" i="10"/>
  <c r="I194" i="10" s="1"/>
  <c r="S102" i="11"/>
  <c r="T102" i="11" s="1"/>
  <c r="P102" i="11"/>
  <c r="G103" i="11"/>
  <c r="O103" i="11" s="1"/>
  <c r="K194" i="10" l="1"/>
  <c r="L194" i="10"/>
  <c r="X129" i="2"/>
  <c r="Y129" i="2"/>
  <c r="J129" i="2"/>
  <c r="S103" i="11"/>
  <c r="T103" i="11" s="1"/>
  <c r="P103" i="11"/>
  <c r="G104" i="11"/>
  <c r="O104" i="11" s="1"/>
  <c r="J194" i="10" l="1"/>
  <c r="X194" i="10"/>
  <c r="Y194" i="10"/>
  <c r="T129" i="2"/>
  <c r="W129" i="2" s="1"/>
  <c r="P129" i="2"/>
  <c r="I130" i="2" s="1"/>
  <c r="S104" i="11"/>
  <c r="T104" i="11" s="1"/>
  <c r="P104" i="11"/>
  <c r="G105" i="11"/>
  <c r="O105" i="11" s="1"/>
  <c r="L130" i="2" l="1"/>
  <c r="K130" i="2"/>
  <c r="T194" i="10"/>
  <c r="W194" i="10" s="1"/>
  <c r="P194" i="10"/>
  <c r="I195" i="10" s="1"/>
  <c r="S105" i="11"/>
  <c r="T105" i="11" s="1"/>
  <c r="P105" i="11"/>
  <c r="G106" i="11"/>
  <c r="O106" i="11" s="1"/>
  <c r="K195" i="10" l="1"/>
  <c r="L195" i="10"/>
  <c r="X130" i="2"/>
  <c r="Y130" i="2"/>
  <c r="J130" i="2"/>
  <c r="S106" i="11"/>
  <c r="T106" i="11" s="1"/>
  <c r="P106" i="11"/>
  <c r="G107" i="11"/>
  <c r="O107" i="11" s="1"/>
  <c r="T130" i="2" l="1"/>
  <c r="W130" i="2" s="1"/>
  <c r="P130" i="2"/>
  <c r="I131" i="2" s="1"/>
  <c r="J195" i="10"/>
  <c r="Y195" i="10"/>
  <c r="X195" i="10"/>
  <c r="S107" i="11"/>
  <c r="T107" i="11" s="1"/>
  <c r="P107" i="11"/>
  <c r="G108" i="11"/>
  <c r="O108" i="11" s="1"/>
  <c r="T195" i="10" l="1"/>
  <c r="W195" i="10" s="1"/>
  <c r="P195" i="10"/>
  <c r="I196" i="10" s="1"/>
  <c r="L131" i="2"/>
  <c r="K131" i="2"/>
  <c r="S108" i="11"/>
  <c r="T108" i="11" s="1"/>
  <c r="P108" i="11"/>
  <c r="G109" i="11"/>
  <c r="O109" i="11" s="1"/>
  <c r="X131" i="2" l="1"/>
  <c r="Y131" i="2"/>
  <c r="J131" i="2"/>
  <c r="K196" i="10"/>
  <c r="L196" i="10"/>
  <c r="S109" i="11"/>
  <c r="T109" i="11" s="1"/>
  <c r="P109" i="11"/>
  <c r="G110" i="11"/>
  <c r="O110" i="11" s="1"/>
  <c r="J196" i="10" l="1"/>
  <c r="X196" i="10"/>
  <c r="Y196" i="10"/>
  <c r="T131" i="2"/>
  <c r="W131" i="2" s="1"/>
  <c r="P131" i="2"/>
  <c r="I132" i="2" s="1"/>
  <c r="S110" i="11"/>
  <c r="T110" i="11" s="1"/>
  <c r="P110" i="11"/>
  <c r="G111" i="11"/>
  <c r="O111" i="11" s="1"/>
  <c r="L132" i="2" l="1"/>
  <c r="K132" i="2"/>
  <c r="T196" i="10"/>
  <c r="W196" i="10" s="1"/>
  <c r="P196" i="10"/>
  <c r="I197" i="10" s="1"/>
  <c r="S111" i="11"/>
  <c r="T111" i="11" s="1"/>
  <c r="P111" i="11"/>
  <c r="G112" i="11"/>
  <c r="O112" i="11" s="1"/>
  <c r="K197" i="10" l="1"/>
  <c r="L197" i="10"/>
  <c r="X132" i="2"/>
  <c r="Y132" i="2"/>
  <c r="J132" i="2"/>
  <c r="S112" i="11"/>
  <c r="T112" i="11" s="1"/>
  <c r="P112" i="11"/>
  <c r="G113" i="11"/>
  <c r="O113" i="11" s="1"/>
  <c r="T132" i="2" l="1"/>
  <c r="W132" i="2" s="1"/>
  <c r="P132" i="2"/>
  <c r="I133" i="2" s="1"/>
  <c r="J197" i="10"/>
  <c r="Y197" i="10"/>
  <c r="X197" i="10"/>
  <c r="S113" i="11"/>
  <c r="T113" i="11" s="1"/>
  <c r="P113" i="11"/>
  <c r="G114" i="11"/>
  <c r="O114" i="11" s="1"/>
  <c r="T197" i="10" l="1"/>
  <c r="W197" i="10" s="1"/>
  <c r="P197" i="10"/>
  <c r="I198" i="10" s="1"/>
  <c r="L133" i="2"/>
  <c r="K133" i="2"/>
  <c r="S114" i="11"/>
  <c r="T114" i="11" s="1"/>
  <c r="P114" i="11"/>
  <c r="G115" i="11"/>
  <c r="O115" i="11" s="1"/>
  <c r="X133" i="2" l="1"/>
  <c r="Y133" i="2"/>
  <c r="J133" i="2"/>
  <c r="K198" i="10"/>
  <c r="L198" i="10"/>
  <c r="S115" i="11"/>
  <c r="T115" i="11" s="1"/>
  <c r="P115" i="11"/>
  <c r="G116" i="11"/>
  <c r="O116" i="11" s="1"/>
  <c r="J198" i="10" l="1"/>
  <c r="Y198" i="10"/>
  <c r="X198" i="10"/>
  <c r="P133" i="2"/>
  <c r="I134" i="2" s="1"/>
  <c r="T133" i="2"/>
  <c r="W133" i="2" s="1"/>
  <c r="S116" i="11"/>
  <c r="T116" i="11" s="1"/>
  <c r="P116" i="11"/>
  <c r="G117" i="11"/>
  <c r="O117" i="11" s="1"/>
  <c r="L134" i="2" l="1"/>
  <c r="K134" i="2"/>
  <c r="T198" i="10"/>
  <c r="W198" i="10" s="1"/>
  <c r="P198" i="10"/>
  <c r="I199" i="10" s="1"/>
  <c r="S117" i="11"/>
  <c r="T117" i="11" s="1"/>
  <c r="P117" i="11"/>
  <c r="G118" i="11"/>
  <c r="O118" i="11" s="1"/>
  <c r="K199" i="10" l="1"/>
  <c r="L199" i="10"/>
  <c r="X134" i="2"/>
  <c r="Y134" i="2"/>
  <c r="J134" i="2"/>
  <c r="S118" i="11"/>
  <c r="T118" i="11" s="1"/>
  <c r="P118" i="11"/>
  <c r="G119" i="11"/>
  <c r="O119" i="11" s="1"/>
  <c r="J199" i="10" l="1"/>
  <c r="Y199" i="10"/>
  <c r="X199" i="10"/>
  <c r="T134" i="2"/>
  <c r="W134" i="2" s="1"/>
  <c r="P134" i="2"/>
  <c r="I135" i="2" s="1"/>
  <c r="S119" i="11"/>
  <c r="T119" i="11" s="1"/>
  <c r="P119" i="11"/>
  <c r="L135" i="2" l="1"/>
  <c r="K135" i="2"/>
  <c r="T199" i="10"/>
  <c r="W199" i="10" s="1"/>
  <c r="P199" i="10"/>
  <c r="I200" i="10" s="1"/>
  <c r="L200" i="10" l="1"/>
  <c r="K200" i="10"/>
  <c r="X135" i="2"/>
  <c r="Y135" i="2"/>
  <c r="J135" i="2"/>
  <c r="T135" i="2" l="1"/>
  <c r="W135" i="2" s="1"/>
  <c r="P135" i="2"/>
  <c r="I136" i="2" s="1"/>
  <c r="J200" i="10"/>
  <c r="X200" i="10"/>
  <c r="Y200" i="10"/>
  <c r="T200" i="10" l="1"/>
  <c r="W200" i="10" s="1"/>
  <c r="P200" i="10"/>
  <c r="I201" i="10" s="1"/>
  <c r="L136" i="2"/>
  <c r="K136" i="2"/>
  <c r="X136" i="2" l="1"/>
  <c r="Y136" i="2"/>
  <c r="J136" i="2"/>
  <c r="K201" i="10"/>
  <c r="L201" i="10"/>
  <c r="T136" i="2" l="1"/>
  <c r="W136" i="2" s="1"/>
  <c r="P136" i="2"/>
  <c r="I137" i="2" s="1"/>
  <c r="J201" i="10"/>
  <c r="Y201" i="10"/>
  <c r="X201" i="10"/>
  <c r="T201" i="10" l="1"/>
  <c r="W201" i="10" s="1"/>
  <c r="P201" i="10"/>
  <c r="I202" i="10" s="1"/>
  <c r="L137" i="2"/>
  <c r="K137" i="2"/>
  <c r="L202" i="10" l="1"/>
  <c r="K202" i="10"/>
  <c r="Y137" i="2"/>
  <c r="J137" i="2"/>
  <c r="X137" i="2"/>
  <c r="X202" i="10" l="1"/>
  <c r="J202" i="10"/>
  <c r="Y202" i="10"/>
  <c r="T137" i="2"/>
  <c r="W137" i="2" s="1"/>
  <c r="P137" i="2"/>
  <c r="I138" i="2" s="1"/>
  <c r="T202" i="10" l="1"/>
  <c r="W202" i="10" s="1"/>
  <c r="P202" i="10"/>
  <c r="I203" i="10" s="1"/>
  <c r="L138" i="2"/>
  <c r="K138" i="2"/>
  <c r="X138" i="2" l="1"/>
  <c r="Y138" i="2"/>
  <c r="J138" i="2"/>
  <c r="L203" i="10"/>
  <c r="K203" i="10"/>
  <c r="J203" i="10" l="1"/>
  <c r="Y203" i="10"/>
  <c r="X203" i="10"/>
  <c r="T138" i="2"/>
  <c r="W138" i="2" s="1"/>
  <c r="P138" i="2"/>
  <c r="I139" i="2" s="1"/>
  <c r="L139" i="2" l="1"/>
  <c r="K139" i="2"/>
  <c r="T203" i="10"/>
  <c r="W203" i="10" s="1"/>
  <c r="P203" i="10"/>
  <c r="I204" i="10" s="1"/>
  <c r="L204" i="10" l="1"/>
  <c r="K204" i="10"/>
  <c r="X139" i="2"/>
  <c r="Y139" i="2"/>
  <c r="J139" i="2"/>
  <c r="T139" i="2" l="1"/>
  <c r="W139" i="2" s="1"/>
  <c r="P139" i="2"/>
  <c r="I140" i="2" s="1"/>
  <c r="J204" i="10"/>
  <c r="Y204" i="10"/>
  <c r="X204" i="10"/>
  <c r="T204" i="10" l="1"/>
  <c r="W204" i="10" s="1"/>
  <c r="P204" i="10"/>
  <c r="I205" i="10" s="1"/>
  <c r="L140" i="2"/>
  <c r="K140" i="2"/>
  <c r="X140" i="2" l="1"/>
  <c r="Y140" i="2"/>
  <c r="J140" i="2"/>
  <c r="L205" i="10"/>
  <c r="K205" i="10"/>
  <c r="J205" i="10" l="1"/>
  <c r="Y205" i="10"/>
  <c r="X205" i="10"/>
  <c r="T140" i="2"/>
  <c r="W140" i="2" s="1"/>
  <c r="P140" i="2"/>
  <c r="I141" i="2" s="1"/>
  <c r="L141" i="2" l="1"/>
  <c r="K141" i="2"/>
  <c r="T205" i="10"/>
  <c r="W205" i="10" s="1"/>
  <c r="P205" i="10"/>
  <c r="I206" i="10" s="1"/>
  <c r="L206" i="10" l="1"/>
  <c r="K206" i="10"/>
  <c r="X141" i="2"/>
  <c r="Y141" i="2"/>
  <c r="J141" i="2"/>
  <c r="T141" i="2" l="1"/>
  <c r="W141" i="2" s="1"/>
  <c r="P141" i="2"/>
  <c r="I142" i="2" s="1"/>
  <c r="J206" i="10"/>
  <c r="Y206" i="10"/>
  <c r="X206" i="10"/>
  <c r="T206" i="10" l="1"/>
  <c r="W206" i="10" s="1"/>
  <c r="P206" i="10"/>
  <c r="I207" i="10" s="1"/>
  <c r="L142" i="2"/>
  <c r="K142" i="2"/>
  <c r="K207" i="10" l="1"/>
  <c r="L207" i="10"/>
  <c r="X142" i="2"/>
  <c r="Y142" i="2"/>
  <c r="J142" i="2"/>
  <c r="T142" i="2" l="1"/>
  <c r="W142" i="2" s="1"/>
  <c r="P142" i="2"/>
  <c r="I143" i="2" s="1"/>
  <c r="J207" i="10"/>
  <c r="Y207" i="10"/>
  <c r="X207" i="10"/>
  <c r="T207" i="10" l="1"/>
  <c r="W207" i="10" s="1"/>
  <c r="P207" i="10"/>
  <c r="I208" i="10" s="1"/>
  <c r="K143" i="2"/>
  <c r="L143" i="2"/>
  <c r="X143" i="2" l="1"/>
  <c r="Y143" i="2"/>
  <c r="J143" i="2"/>
  <c r="K208" i="10"/>
  <c r="L208" i="10"/>
  <c r="J208" i="10" l="1"/>
  <c r="X208" i="10"/>
  <c r="Y208" i="10"/>
  <c r="T143" i="2"/>
  <c r="W143" i="2" s="1"/>
  <c r="P143" i="2"/>
  <c r="I144" i="2" s="1"/>
  <c r="L144" i="2" l="1"/>
  <c r="K144" i="2"/>
  <c r="T208" i="10"/>
  <c r="W208" i="10" s="1"/>
  <c r="P208" i="10"/>
  <c r="I209" i="10" s="1"/>
  <c r="K209" i="10" l="1"/>
  <c r="L209" i="10"/>
  <c r="X144" i="2"/>
  <c r="Y144" i="2"/>
  <c r="J144" i="2"/>
  <c r="T144" i="2" l="1"/>
  <c r="W144" i="2" s="1"/>
  <c r="P144" i="2"/>
  <c r="I145" i="2" s="1"/>
  <c r="J209" i="10"/>
  <c r="Y209" i="10"/>
  <c r="X209" i="10"/>
  <c r="T209" i="10" l="1"/>
  <c r="W209" i="10" s="1"/>
  <c r="P209" i="10"/>
  <c r="I210" i="10" s="1"/>
  <c r="L145" i="2"/>
  <c r="K145" i="2"/>
  <c r="X145" i="2" l="1"/>
  <c r="Y145" i="2"/>
  <c r="J145" i="2"/>
  <c r="L210" i="10"/>
  <c r="K210" i="10"/>
  <c r="J210" i="10" l="1"/>
  <c r="Y210" i="10"/>
  <c r="X210" i="10"/>
  <c r="T145" i="2"/>
  <c r="W145" i="2" s="1"/>
  <c r="P145" i="2"/>
  <c r="I146" i="2" s="1"/>
  <c r="L146" i="2" l="1"/>
  <c r="K146" i="2"/>
  <c r="T210" i="10"/>
  <c r="W210" i="10" s="1"/>
  <c r="P210" i="10"/>
  <c r="I211" i="10" s="1"/>
  <c r="K211" i="10" l="1"/>
  <c r="L211" i="10"/>
  <c r="X146" i="2"/>
  <c r="Y146" i="2"/>
  <c r="J146" i="2"/>
  <c r="T146" i="2" l="1"/>
  <c r="W146" i="2" s="1"/>
  <c r="P146" i="2"/>
  <c r="I147" i="2" s="1"/>
  <c r="J211" i="10"/>
  <c r="Y211" i="10"/>
  <c r="X211" i="10"/>
  <c r="T211" i="10" l="1"/>
  <c r="W211" i="10" s="1"/>
  <c r="P211" i="10"/>
  <c r="I212" i="10" s="1"/>
  <c r="L147" i="2"/>
  <c r="K147" i="2"/>
  <c r="K212" i="10" l="1"/>
  <c r="L212" i="10"/>
  <c r="X147" i="2"/>
  <c r="Y147" i="2"/>
  <c r="J147" i="2"/>
  <c r="T147" i="2" l="1"/>
  <c r="W147" i="2" s="1"/>
  <c r="P147" i="2"/>
  <c r="I148" i="2" s="1"/>
  <c r="J212" i="10"/>
  <c r="X212" i="10"/>
  <c r="Y212" i="10"/>
  <c r="L148" i="2" l="1"/>
  <c r="K148" i="2"/>
  <c r="T212" i="10"/>
  <c r="W212" i="10" s="1"/>
  <c r="P212" i="10"/>
  <c r="I213" i="10" s="1"/>
  <c r="L213" i="10" l="1"/>
  <c r="K213" i="10"/>
  <c r="X148" i="2"/>
  <c r="Y148" i="2"/>
  <c r="J148" i="2"/>
  <c r="J213" i="10" l="1"/>
  <c r="Y213" i="10"/>
  <c r="X213" i="10"/>
  <c r="T148" i="2"/>
  <c r="W148" i="2" s="1"/>
  <c r="P148" i="2"/>
  <c r="I149" i="2" s="1"/>
  <c r="L149" i="2" l="1"/>
  <c r="K149" i="2"/>
  <c r="T213" i="10"/>
  <c r="W213" i="10" s="1"/>
  <c r="P213" i="10"/>
  <c r="I214" i="10" s="1"/>
  <c r="K214" i="10" l="1"/>
  <c r="L214" i="10"/>
  <c r="X149" i="2"/>
  <c r="Y149" i="2"/>
  <c r="J149" i="2"/>
  <c r="T149" i="2" l="1"/>
  <c r="W149" i="2" s="1"/>
  <c r="P149" i="2"/>
  <c r="I150" i="2" s="1"/>
  <c r="J214" i="10"/>
  <c r="Y214" i="10"/>
  <c r="X214" i="10"/>
  <c r="L150" i="2" l="1"/>
  <c r="K150" i="2"/>
  <c r="T214" i="10"/>
  <c r="W214" i="10" s="1"/>
  <c r="P214" i="10"/>
  <c r="I215" i="10" s="1"/>
  <c r="K215" i="10" l="1"/>
  <c r="L215" i="10"/>
  <c r="X150" i="2"/>
  <c r="Y150" i="2"/>
  <c r="J150" i="2"/>
  <c r="Y215" i="10" l="1"/>
  <c r="J215" i="10"/>
  <c r="X215" i="10"/>
  <c r="T150" i="2"/>
  <c r="W150" i="2" s="1"/>
  <c r="P150" i="2"/>
  <c r="I151" i="2" s="1"/>
  <c r="L151" i="2" l="1"/>
  <c r="K151" i="2"/>
  <c r="T215" i="10"/>
  <c r="W215" i="10" s="1"/>
  <c r="P215" i="10"/>
  <c r="I216" i="10" s="1"/>
  <c r="L216" i="10" l="1"/>
  <c r="K216" i="10"/>
  <c r="X151" i="2"/>
  <c r="Y151" i="2"/>
  <c r="J151" i="2"/>
  <c r="T151" i="2" l="1"/>
  <c r="W151" i="2" s="1"/>
  <c r="P151" i="2"/>
  <c r="I152" i="2" s="1"/>
  <c r="J216" i="10"/>
  <c r="X216" i="10"/>
  <c r="Y216" i="10"/>
  <c r="L152" i="2" l="1"/>
  <c r="K152" i="2"/>
  <c r="T216" i="10"/>
  <c r="W216" i="10" s="1"/>
  <c r="P216" i="10"/>
  <c r="I217" i="10" s="1"/>
  <c r="L217" i="10" l="1"/>
  <c r="K217" i="10"/>
  <c r="X152" i="2"/>
  <c r="Y152" i="2"/>
  <c r="J152" i="2"/>
  <c r="T152" i="2" l="1"/>
  <c r="W152" i="2" s="1"/>
  <c r="P152" i="2"/>
  <c r="I153" i="2" s="1"/>
  <c r="Y217" i="10"/>
  <c r="X217" i="10"/>
  <c r="J217" i="10"/>
  <c r="T217" i="10" l="1"/>
  <c r="W217" i="10" s="1"/>
  <c r="P217" i="10"/>
  <c r="I218" i="10" s="1"/>
  <c r="L153" i="2"/>
  <c r="K153" i="2"/>
  <c r="X153" i="2" l="1"/>
  <c r="Y153" i="2"/>
  <c r="J153" i="2"/>
  <c r="L218" i="10"/>
  <c r="K218" i="10"/>
  <c r="J218" i="10" l="1"/>
  <c r="Y218" i="10"/>
  <c r="X218" i="10"/>
  <c r="T153" i="2"/>
  <c r="W153" i="2" s="1"/>
  <c r="P153" i="2"/>
  <c r="I154" i="2" s="1"/>
  <c r="L154" i="2" l="1"/>
  <c r="K154" i="2"/>
  <c r="T218" i="10"/>
  <c r="W218" i="10" s="1"/>
  <c r="P218" i="10"/>
  <c r="I219" i="10" s="1"/>
  <c r="K219" i="10" l="1"/>
  <c r="L219" i="10"/>
  <c r="X154" i="2"/>
  <c r="Y154" i="2"/>
  <c r="J154" i="2"/>
  <c r="T154" i="2" l="1"/>
  <c r="W154" i="2" s="1"/>
  <c r="P154" i="2"/>
  <c r="I155" i="2" s="1"/>
  <c r="J219" i="10"/>
  <c r="X219" i="10"/>
  <c r="Y219" i="10"/>
  <c r="T219" i="10" l="1"/>
  <c r="W219" i="10" s="1"/>
  <c r="P219" i="10"/>
  <c r="I220" i="10" s="1"/>
  <c r="L155" i="2"/>
  <c r="K155" i="2"/>
  <c r="X155" i="2" l="1"/>
  <c r="Y155" i="2"/>
  <c r="J155" i="2"/>
  <c r="L220" i="10"/>
  <c r="K220" i="10"/>
  <c r="J220" i="10" l="1"/>
  <c r="X220" i="10"/>
  <c r="Y220" i="10"/>
  <c r="T155" i="2"/>
  <c r="W155" i="2" s="1"/>
  <c r="P155" i="2"/>
  <c r="I156" i="2" s="1"/>
  <c r="L156" i="2" l="1"/>
  <c r="K156" i="2"/>
  <c r="T220" i="10"/>
  <c r="W220" i="10" s="1"/>
  <c r="P220" i="10"/>
  <c r="I221" i="10" s="1"/>
  <c r="K221" i="10" l="1"/>
  <c r="L221" i="10"/>
  <c r="Y156" i="2"/>
  <c r="X156" i="2"/>
  <c r="J156" i="2"/>
  <c r="T156" i="2" l="1"/>
  <c r="W156" i="2" s="1"/>
  <c r="P156" i="2"/>
  <c r="I157" i="2" s="1"/>
  <c r="J221" i="10"/>
  <c r="Y221" i="10"/>
  <c r="X221" i="10"/>
  <c r="T221" i="10" l="1"/>
  <c r="W221" i="10" s="1"/>
  <c r="P221" i="10"/>
  <c r="I222" i="10" s="1"/>
  <c r="L157" i="2"/>
  <c r="K157" i="2"/>
  <c r="O157" i="2" s="1"/>
  <c r="Y157" i="2" l="1"/>
  <c r="J157" i="2"/>
  <c r="X157" i="2"/>
  <c r="L222" i="10"/>
  <c r="K222" i="10"/>
  <c r="J222" i="10" l="1"/>
  <c r="X222" i="10"/>
  <c r="Y222" i="10"/>
  <c r="T157" i="2"/>
  <c r="W157" i="2" s="1"/>
  <c r="P157" i="2"/>
  <c r="I158" i="2" s="1"/>
  <c r="L158" i="2" l="1"/>
  <c r="K158" i="2"/>
  <c r="T222" i="10"/>
  <c r="W222" i="10" s="1"/>
  <c r="P222" i="10"/>
  <c r="I223" i="10" s="1"/>
  <c r="L223" i="10" l="1"/>
  <c r="K223" i="10"/>
  <c r="X158" i="2"/>
  <c r="Y158" i="2"/>
  <c r="J158" i="2"/>
  <c r="T158" i="2" l="1"/>
  <c r="W158" i="2" s="1"/>
  <c r="P158" i="2"/>
  <c r="I159" i="2" s="1"/>
  <c r="J223" i="10"/>
  <c r="Y223" i="10"/>
  <c r="X223" i="10"/>
  <c r="T223" i="10" l="1"/>
  <c r="W223" i="10" s="1"/>
  <c r="P223" i="10"/>
  <c r="I224" i="10" s="1"/>
  <c r="L159" i="2"/>
  <c r="K159" i="2"/>
  <c r="X159" i="2" l="1"/>
  <c r="Y159" i="2"/>
  <c r="J159" i="2"/>
  <c r="L224" i="10"/>
  <c r="K224" i="10"/>
  <c r="J224" i="10" l="1"/>
  <c r="Y224" i="10"/>
  <c r="X224" i="10"/>
  <c r="T159" i="2"/>
  <c r="W159" i="2" s="1"/>
  <c r="P159" i="2"/>
  <c r="I160" i="2" s="1"/>
  <c r="L160" i="2" l="1"/>
  <c r="K160" i="2"/>
  <c r="T224" i="10"/>
  <c r="W224" i="10" s="1"/>
  <c r="P224" i="10"/>
  <c r="I225" i="10" s="1"/>
  <c r="L225" i="10" l="1"/>
  <c r="K225" i="10"/>
  <c r="X160" i="2"/>
  <c r="Y160" i="2"/>
  <c r="J160" i="2"/>
  <c r="T160" i="2" l="1"/>
  <c r="W160" i="2" s="1"/>
  <c r="P160" i="2"/>
  <c r="I161" i="2" s="1"/>
  <c r="J225" i="10"/>
  <c r="Y225" i="10"/>
  <c r="X225" i="10"/>
  <c r="T225" i="10" l="1"/>
  <c r="W225" i="10" s="1"/>
  <c r="P225" i="10"/>
  <c r="I226" i="10" s="1"/>
  <c r="L161" i="2"/>
  <c r="K161" i="2"/>
  <c r="X161" i="2" l="1"/>
  <c r="Y161" i="2"/>
  <c r="J161" i="2"/>
  <c r="K226" i="10"/>
  <c r="L226" i="10"/>
  <c r="Y226" i="10" l="1"/>
  <c r="X226" i="10"/>
  <c r="J226" i="10"/>
  <c r="T161" i="2"/>
  <c r="W161" i="2" s="1"/>
  <c r="P161" i="2"/>
  <c r="I162" i="2" s="1"/>
  <c r="L162" i="2" l="1"/>
  <c r="K162" i="2"/>
  <c r="T226" i="10"/>
  <c r="W226" i="10" s="1"/>
  <c r="P226" i="10"/>
  <c r="I227" i="10" s="1"/>
  <c r="K227" i="10" l="1"/>
  <c r="L227" i="10"/>
  <c r="X162" i="2"/>
  <c r="Y162" i="2"/>
  <c r="J162" i="2"/>
  <c r="T162" i="2" l="1"/>
  <c r="W162" i="2" s="1"/>
  <c r="P162" i="2"/>
  <c r="I163" i="2" s="1"/>
  <c r="J227" i="10"/>
  <c r="Y227" i="10"/>
  <c r="X227" i="10"/>
  <c r="L163" i="2" l="1"/>
  <c r="K163" i="2"/>
  <c r="T227" i="10"/>
  <c r="W227" i="10" s="1"/>
  <c r="P227" i="10"/>
  <c r="I228" i="10" s="1"/>
  <c r="K228" i="10" l="1"/>
  <c r="L228" i="10"/>
  <c r="Y163" i="2"/>
  <c r="X163" i="2"/>
  <c r="J163" i="2"/>
  <c r="T163" i="2" l="1"/>
  <c r="W163" i="2" s="1"/>
  <c r="P163" i="2"/>
  <c r="I164" i="2" s="1"/>
  <c r="J228" i="10"/>
  <c r="X228" i="10"/>
  <c r="Y228" i="10"/>
  <c r="T228" i="10" l="1"/>
  <c r="W228" i="10" s="1"/>
  <c r="P228" i="10"/>
  <c r="I229" i="10" s="1"/>
  <c r="L164" i="2"/>
  <c r="K164" i="2"/>
  <c r="X164" i="2" l="1"/>
  <c r="Y164" i="2"/>
  <c r="J164" i="2"/>
  <c r="K229" i="10"/>
  <c r="L229" i="10"/>
  <c r="J229" i="10" l="1"/>
  <c r="Y229" i="10"/>
  <c r="X229" i="10"/>
  <c r="T164" i="2"/>
  <c r="W164" i="2" s="1"/>
  <c r="P164" i="2"/>
  <c r="I165" i="2" s="1"/>
  <c r="L165" i="2" l="1"/>
  <c r="K165" i="2"/>
  <c r="T229" i="10"/>
  <c r="W229" i="10" s="1"/>
  <c r="P229" i="10"/>
  <c r="I230" i="10" s="1"/>
  <c r="L230" i="10" l="1"/>
  <c r="K230" i="10"/>
  <c r="X165" i="2"/>
  <c r="Y165" i="2"/>
  <c r="J165" i="2"/>
  <c r="J230" i="10" l="1"/>
  <c r="Y230" i="10"/>
  <c r="X230" i="10"/>
  <c r="T165" i="2"/>
  <c r="W165" i="2" s="1"/>
  <c r="P165" i="2"/>
  <c r="I166" i="2" s="1"/>
  <c r="L166" i="2" l="1"/>
  <c r="K166" i="2"/>
  <c r="T230" i="10"/>
  <c r="W230" i="10" s="1"/>
  <c r="P230" i="10"/>
  <c r="I231" i="10" s="1"/>
  <c r="Y166" i="2" l="1"/>
  <c r="X166" i="2"/>
  <c r="J166" i="2"/>
  <c r="L231" i="10"/>
  <c r="K231" i="10"/>
  <c r="J231" i="10" l="1"/>
  <c r="Y231" i="10"/>
  <c r="X231" i="10"/>
  <c r="T166" i="2"/>
  <c r="W166" i="2" s="1"/>
  <c r="P166" i="2"/>
  <c r="I167" i="2" s="1"/>
  <c r="L167" i="2" l="1"/>
  <c r="K167" i="2"/>
  <c r="T231" i="10"/>
  <c r="W231" i="10" s="1"/>
  <c r="P231" i="10"/>
  <c r="I232" i="10" s="1"/>
  <c r="K232" i="10" l="1"/>
  <c r="L232" i="10"/>
  <c r="X167" i="2"/>
  <c r="Y167" i="2"/>
  <c r="J167" i="2"/>
  <c r="J232" i="10" l="1"/>
  <c r="Y232" i="10"/>
  <c r="X232" i="10"/>
  <c r="T167" i="2"/>
  <c r="W167" i="2" s="1"/>
  <c r="P167" i="2"/>
  <c r="I168" i="2" s="1"/>
  <c r="L168" i="2" l="1"/>
  <c r="K168" i="2"/>
  <c r="T232" i="10"/>
  <c r="W232" i="10" s="1"/>
  <c r="P232" i="10"/>
  <c r="I233" i="10" s="1"/>
  <c r="K233" i="10" l="1"/>
  <c r="L233" i="10"/>
  <c r="X168" i="2"/>
  <c r="Y168" i="2"/>
  <c r="J168" i="2"/>
  <c r="T168" i="2" l="1"/>
  <c r="W168" i="2" s="1"/>
  <c r="P168" i="2"/>
  <c r="I169" i="2" s="1"/>
  <c r="J233" i="10"/>
  <c r="Y233" i="10"/>
  <c r="X233" i="10"/>
  <c r="T233" i="10" l="1"/>
  <c r="W233" i="10" s="1"/>
  <c r="P233" i="10"/>
  <c r="I234" i="10" s="1"/>
  <c r="L169" i="2"/>
  <c r="K169" i="2"/>
  <c r="X169" i="2" l="1"/>
  <c r="Y169" i="2"/>
  <c r="J169" i="2"/>
  <c r="L234" i="10"/>
  <c r="K234" i="10"/>
  <c r="J234" i="10" l="1"/>
  <c r="Y234" i="10"/>
  <c r="X234" i="10"/>
  <c r="T169" i="2"/>
  <c r="W169" i="2" s="1"/>
  <c r="P169" i="2"/>
  <c r="I170" i="2" s="1"/>
  <c r="L170" i="2" l="1"/>
  <c r="K170" i="2"/>
  <c r="T234" i="10"/>
  <c r="W234" i="10" s="1"/>
  <c r="P234" i="10"/>
  <c r="I235" i="10" s="1"/>
  <c r="K235" i="10" l="1"/>
  <c r="L235" i="10"/>
  <c r="X170" i="2"/>
  <c r="Y170" i="2"/>
  <c r="J170" i="2"/>
  <c r="T170" i="2" l="1"/>
  <c r="W170" i="2" s="1"/>
  <c r="P170" i="2"/>
  <c r="I171" i="2" s="1"/>
  <c r="J235" i="10"/>
  <c r="X235" i="10"/>
  <c r="Y235" i="10"/>
  <c r="T235" i="10" l="1"/>
  <c r="W235" i="10" s="1"/>
  <c r="P235" i="10"/>
  <c r="I236" i="10" s="1"/>
  <c r="L171" i="2"/>
  <c r="K171" i="2"/>
  <c r="X171" i="2" l="1"/>
  <c r="Y171" i="2"/>
  <c r="J171" i="2"/>
  <c r="L236" i="10"/>
  <c r="K236" i="10"/>
  <c r="J236" i="10" l="1"/>
  <c r="X236" i="10"/>
  <c r="Y236" i="10"/>
  <c r="T171" i="2"/>
  <c r="W171" i="2" s="1"/>
  <c r="P171" i="2"/>
  <c r="I172" i="2" s="1"/>
  <c r="T236" i="10" l="1"/>
  <c r="W236" i="10" s="1"/>
  <c r="P236" i="10"/>
  <c r="I237" i="10" s="1"/>
  <c r="L172" i="2"/>
  <c r="K172" i="2"/>
  <c r="X172" i="2" l="1"/>
  <c r="Y172" i="2"/>
  <c r="J172" i="2"/>
  <c r="L237" i="10"/>
  <c r="K237" i="10"/>
  <c r="J237" i="10" l="1"/>
  <c r="X237" i="10"/>
  <c r="Y237" i="10"/>
  <c r="T172" i="2"/>
  <c r="W172" i="2" s="1"/>
  <c r="P172" i="2"/>
  <c r="I173" i="2" s="1"/>
  <c r="L173" i="2" l="1"/>
  <c r="K173" i="2"/>
  <c r="T237" i="10"/>
  <c r="W237" i="10" s="1"/>
  <c r="P237" i="10"/>
  <c r="I238" i="10" s="1"/>
  <c r="L238" i="10" l="1"/>
  <c r="K238" i="10"/>
  <c r="X173" i="2"/>
  <c r="Y173" i="2"/>
  <c r="J173" i="2"/>
  <c r="T173" i="2" l="1"/>
  <c r="W173" i="2" s="1"/>
  <c r="P173" i="2"/>
  <c r="I174" i="2" s="1"/>
  <c r="J238" i="10"/>
  <c r="Y238" i="10"/>
  <c r="X238" i="10"/>
  <c r="T238" i="10" l="1"/>
  <c r="W238" i="10" s="1"/>
  <c r="P238" i="10"/>
  <c r="I239" i="10" s="1"/>
  <c r="L174" i="2"/>
  <c r="K174" i="2"/>
  <c r="X174" i="2" l="1"/>
  <c r="Y174" i="2"/>
  <c r="J174" i="2"/>
  <c r="L239" i="10"/>
  <c r="K239" i="10"/>
  <c r="X239" i="10" l="1"/>
  <c r="J239" i="10"/>
  <c r="Y239" i="10"/>
  <c r="T174" i="2"/>
  <c r="W174" i="2" s="1"/>
  <c r="P174" i="2"/>
  <c r="I175" i="2" s="1"/>
  <c r="L175" i="2" l="1"/>
  <c r="K175" i="2"/>
  <c r="T239" i="10"/>
  <c r="W239" i="10" s="1"/>
  <c r="P239" i="10"/>
  <c r="I240" i="10" s="1"/>
  <c r="K240" i="10" l="1"/>
  <c r="L240" i="10"/>
  <c r="X175" i="2"/>
  <c r="Y175" i="2"/>
  <c r="J175" i="2"/>
  <c r="T175" i="2" l="1"/>
  <c r="W175" i="2" s="1"/>
  <c r="P175" i="2"/>
  <c r="I176" i="2" s="1"/>
  <c r="Y240" i="10"/>
  <c r="J240" i="10"/>
  <c r="X240" i="10"/>
  <c r="L176" i="2" l="1"/>
  <c r="K176" i="2"/>
  <c r="T240" i="10"/>
  <c r="W240" i="10" s="1"/>
  <c r="P240" i="10"/>
  <c r="I241" i="10" s="1"/>
  <c r="K241" i="10" l="1"/>
  <c r="L241" i="10"/>
  <c r="X176" i="2"/>
  <c r="Y176" i="2"/>
  <c r="J176" i="2"/>
  <c r="T176" i="2" l="1"/>
  <c r="W176" i="2" s="1"/>
  <c r="P176" i="2"/>
  <c r="I177" i="2" s="1"/>
  <c r="J241" i="10"/>
  <c r="Y241" i="10"/>
  <c r="X241" i="10"/>
  <c r="T241" i="10" l="1"/>
  <c r="W241" i="10" s="1"/>
  <c r="P241" i="10"/>
  <c r="I242" i="10" s="1"/>
  <c r="L177" i="2"/>
  <c r="K177" i="2"/>
  <c r="Y177" i="2" l="1"/>
  <c r="X177" i="2"/>
  <c r="J177" i="2"/>
  <c r="L242" i="10"/>
  <c r="K242" i="10"/>
  <c r="T177" i="2" l="1"/>
  <c r="W177" i="2" s="1"/>
  <c r="P177" i="2"/>
  <c r="I178" i="2" s="1"/>
  <c r="X242" i="10"/>
  <c r="J242" i="10"/>
  <c r="Y242" i="10"/>
  <c r="T242" i="10" l="1"/>
  <c r="W242" i="10" s="1"/>
  <c r="P242" i="10"/>
  <c r="I243" i="10" s="1"/>
  <c r="L178" i="2"/>
  <c r="K178" i="2"/>
  <c r="X178" i="2" l="1"/>
  <c r="Y178" i="2"/>
  <c r="J178" i="2"/>
  <c r="K243" i="10"/>
  <c r="L243" i="10"/>
  <c r="T178" i="2" l="1"/>
  <c r="W178" i="2" s="1"/>
  <c r="P178" i="2"/>
  <c r="I179" i="2" s="1"/>
  <c r="J243" i="10"/>
  <c r="Y243" i="10"/>
  <c r="X243" i="10"/>
  <c r="T243" i="10" l="1"/>
  <c r="W243" i="10" s="1"/>
  <c r="P243" i="10"/>
  <c r="I244" i="10" s="1"/>
  <c r="L179" i="2"/>
  <c r="K179" i="2"/>
  <c r="X179" i="2" l="1"/>
  <c r="Y179" i="2"/>
  <c r="J179" i="2"/>
  <c r="K244" i="10"/>
  <c r="L244" i="10"/>
  <c r="X244" i="10" l="1"/>
  <c r="J244" i="10"/>
  <c r="Y244" i="10"/>
  <c r="T179" i="2"/>
  <c r="W179" i="2" s="1"/>
  <c r="P179" i="2"/>
  <c r="I180" i="2" s="1"/>
  <c r="L180" i="2" l="1"/>
  <c r="K180" i="2"/>
  <c r="T244" i="10"/>
  <c r="W244" i="10" s="1"/>
  <c r="P244" i="10"/>
  <c r="I245" i="10" s="1"/>
  <c r="K245" i="10" l="1"/>
  <c r="L245" i="10"/>
  <c r="X180" i="2"/>
  <c r="Y180" i="2"/>
  <c r="J180" i="2"/>
  <c r="T180" i="2" l="1"/>
  <c r="W180" i="2" s="1"/>
  <c r="P180" i="2"/>
  <c r="I181" i="2" s="1"/>
  <c r="X245" i="10"/>
  <c r="J245" i="10"/>
  <c r="Y245" i="10"/>
  <c r="T245" i="10" l="1"/>
  <c r="W245" i="10" s="1"/>
  <c r="P245" i="10"/>
  <c r="I246" i="10" s="1"/>
  <c r="L181" i="2"/>
  <c r="K181" i="2"/>
  <c r="X181" i="2" l="1"/>
  <c r="Y181" i="2"/>
  <c r="J181" i="2"/>
  <c r="K246" i="10"/>
  <c r="L246" i="10"/>
  <c r="J246" i="10" l="1"/>
  <c r="Y246" i="10"/>
  <c r="X246" i="10"/>
  <c r="T181" i="2"/>
  <c r="W181" i="2" s="1"/>
  <c r="P181" i="2"/>
  <c r="I182" i="2" s="1"/>
  <c r="L182" i="2" l="1"/>
  <c r="K182" i="2"/>
  <c r="T246" i="10"/>
  <c r="W246" i="10" s="1"/>
  <c r="P246" i="10"/>
  <c r="I247" i="10" s="1"/>
  <c r="L247" i="10" l="1"/>
  <c r="K247" i="10"/>
  <c r="X182" i="2"/>
  <c r="Y182" i="2"/>
  <c r="J182" i="2"/>
  <c r="T182" i="2" l="1"/>
  <c r="W182" i="2" s="1"/>
  <c r="P182" i="2"/>
  <c r="I183" i="2" s="1"/>
  <c r="J247" i="10"/>
  <c r="X247" i="10"/>
  <c r="Y247" i="10"/>
  <c r="T247" i="10" l="1"/>
  <c r="W247" i="10" s="1"/>
  <c r="P247" i="10"/>
  <c r="I248" i="10" s="1"/>
  <c r="L183" i="2"/>
  <c r="K183" i="2"/>
  <c r="X183" i="2" l="1"/>
  <c r="Y183" i="2"/>
  <c r="J183" i="2"/>
  <c r="K248" i="10"/>
  <c r="L248" i="10"/>
  <c r="J248" i="10" l="1"/>
  <c r="Y248" i="10"/>
  <c r="X248" i="10"/>
  <c r="T183" i="2"/>
  <c r="W183" i="2" s="1"/>
  <c r="P183" i="2"/>
  <c r="I184" i="2" s="1"/>
  <c r="L184" i="2" l="1"/>
  <c r="K184" i="2"/>
  <c r="T248" i="10"/>
  <c r="W248" i="10" s="1"/>
  <c r="P248" i="10"/>
  <c r="I249" i="10" s="1"/>
  <c r="L249" i="10" l="1"/>
  <c r="K249" i="10"/>
  <c r="X184" i="2"/>
  <c r="Y184" i="2"/>
  <c r="J184" i="2"/>
  <c r="T184" i="2" l="1"/>
  <c r="W184" i="2" s="1"/>
  <c r="P184" i="2"/>
  <c r="I185" i="2" s="1"/>
  <c r="J249" i="10"/>
  <c r="X249" i="10"/>
  <c r="Y249" i="10"/>
  <c r="T249" i="10" l="1"/>
  <c r="W249" i="10" s="1"/>
  <c r="P249" i="10"/>
  <c r="I250" i="10" s="1"/>
  <c r="L185" i="2"/>
  <c r="K185" i="2"/>
  <c r="X185" i="2" l="1"/>
  <c r="Y185" i="2"/>
  <c r="J185" i="2"/>
  <c r="L250" i="10"/>
  <c r="K250" i="10"/>
  <c r="J250" i="10" l="1"/>
  <c r="Y250" i="10"/>
  <c r="X250" i="10"/>
  <c r="T185" i="2"/>
  <c r="W185" i="2" s="1"/>
  <c r="P185" i="2"/>
  <c r="I186" i="2" s="1"/>
  <c r="L186" i="2" l="1"/>
  <c r="K186" i="2"/>
  <c r="T250" i="10"/>
  <c r="W250" i="10" s="1"/>
  <c r="P250" i="10"/>
  <c r="I251" i="10" s="1"/>
  <c r="L251" i="10" l="1"/>
  <c r="K251" i="10"/>
  <c r="X186" i="2"/>
  <c r="Y186" i="2"/>
  <c r="J186" i="2"/>
  <c r="J251" i="10" l="1"/>
  <c r="Y251" i="10"/>
  <c r="X251" i="10"/>
  <c r="T186" i="2"/>
  <c r="W186" i="2" s="1"/>
  <c r="P186" i="2"/>
  <c r="I187" i="2" s="1"/>
  <c r="T251" i="10" l="1"/>
  <c r="W251" i="10" s="1"/>
  <c r="P251" i="10"/>
  <c r="I252" i="10" s="1"/>
  <c r="L187" i="2"/>
  <c r="K187" i="2"/>
  <c r="O187" i="2" s="1"/>
  <c r="Y187" i="2" l="1"/>
  <c r="J187" i="2"/>
  <c r="X187" i="2"/>
  <c r="L252" i="10"/>
  <c r="K252" i="10"/>
  <c r="J252" i="10" l="1"/>
  <c r="X252" i="10"/>
  <c r="Y252" i="10"/>
  <c r="T187" i="2"/>
  <c r="W187" i="2" s="1"/>
  <c r="P187" i="2"/>
  <c r="I188" i="2" s="1"/>
  <c r="K188" i="2" l="1"/>
  <c r="L188" i="2"/>
  <c r="T252" i="10"/>
  <c r="W252" i="10" s="1"/>
  <c r="P252" i="10"/>
  <c r="I253" i="10" s="1"/>
  <c r="K253" i="10" l="1"/>
  <c r="L253" i="10"/>
  <c r="J188" i="2"/>
  <c r="X188" i="2"/>
  <c r="Y188" i="2"/>
  <c r="T188" i="2" l="1"/>
  <c r="W188" i="2" s="1"/>
  <c r="P188" i="2"/>
  <c r="I189" i="2" s="1"/>
  <c r="J253" i="10"/>
  <c r="X253" i="10"/>
  <c r="Y253" i="10"/>
  <c r="T253" i="10" l="1"/>
  <c r="W253" i="10" s="1"/>
  <c r="P253" i="10"/>
  <c r="I254" i="10" s="1"/>
  <c r="K189" i="2"/>
  <c r="L189" i="2"/>
  <c r="X189" i="2" l="1"/>
  <c r="J189" i="2"/>
  <c r="Y189" i="2"/>
  <c r="L254" i="10"/>
  <c r="K254" i="10"/>
  <c r="J254" i="10" l="1"/>
  <c r="Y254" i="10"/>
  <c r="X254" i="10"/>
  <c r="T189" i="2"/>
  <c r="W189" i="2" s="1"/>
  <c r="P189" i="2"/>
  <c r="I190" i="2" s="1"/>
  <c r="K190" i="2" l="1"/>
  <c r="L190" i="2"/>
  <c r="T254" i="10"/>
  <c r="W254" i="10" s="1"/>
  <c r="P254" i="10"/>
  <c r="I255" i="10" s="1"/>
  <c r="X190" i="2" l="1"/>
  <c r="Y190" i="2"/>
  <c r="J190" i="2"/>
  <c r="K255" i="10"/>
  <c r="L255" i="10"/>
  <c r="J255" i="10" l="1"/>
  <c r="Y255" i="10"/>
  <c r="X255" i="10"/>
  <c r="T190" i="2"/>
  <c r="W190" i="2" s="1"/>
  <c r="P190" i="2"/>
  <c r="I191" i="2" s="1"/>
  <c r="K191" i="2" l="1"/>
  <c r="L191" i="2"/>
  <c r="T255" i="10"/>
  <c r="W255" i="10" s="1"/>
  <c r="P255" i="10"/>
  <c r="I256" i="10" s="1"/>
  <c r="L256" i="10" l="1"/>
  <c r="K256" i="10"/>
  <c r="J191" i="2"/>
  <c r="X191" i="2"/>
  <c r="Y191" i="2"/>
  <c r="T191" i="2" l="1"/>
  <c r="W191" i="2" s="1"/>
  <c r="P191" i="2"/>
  <c r="I192" i="2" s="1"/>
  <c r="J256" i="10"/>
  <c r="Y256" i="10"/>
  <c r="X256" i="10"/>
  <c r="K192" i="2" l="1"/>
  <c r="L192" i="2"/>
  <c r="T256" i="10"/>
  <c r="W256" i="10" s="1"/>
  <c r="P256" i="10"/>
  <c r="I257" i="10" s="1"/>
  <c r="L257" i="10" l="1"/>
  <c r="K257" i="10"/>
  <c r="X192" i="2"/>
  <c r="Y192" i="2"/>
  <c r="J192" i="2"/>
  <c r="T192" i="2" l="1"/>
  <c r="W192" i="2" s="1"/>
  <c r="P192" i="2"/>
  <c r="I193" i="2" s="1"/>
  <c r="J257" i="10"/>
  <c r="Y257" i="10"/>
  <c r="X257" i="10"/>
  <c r="T257" i="10" l="1"/>
  <c r="W257" i="10" s="1"/>
  <c r="P257" i="10"/>
  <c r="I258" i="10" s="1"/>
  <c r="K193" i="2"/>
  <c r="L193" i="2"/>
  <c r="K258" i="10" l="1"/>
  <c r="L258" i="10"/>
  <c r="Y193" i="2"/>
  <c r="X193" i="2"/>
  <c r="J193" i="2"/>
  <c r="J258" i="10" l="1"/>
  <c r="Y258" i="10"/>
  <c r="X258" i="10"/>
  <c r="T193" i="2"/>
  <c r="W193" i="2" s="1"/>
  <c r="P193" i="2"/>
  <c r="I194" i="2" s="1"/>
  <c r="K194" i="2" l="1"/>
  <c r="L194" i="2"/>
  <c r="T258" i="10"/>
  <c r="W258" i="10" s="1"/>
  <c r="P258" i="10"/>
  <c r="I259" i="10" s="1"/>
  <c r="J194" i="2" l="1"/>
  <c r="X194" i="2"/>
  <c r="Y194" i="2"/>
  <c r="L259" i="10"/>
  <c r="K259" i="10"/>
  <c r="T194" i="2" l="1"/>
  <c r="W194" i="2" s="1"/>
  <c r="P194" i="2"/>
  <c r="I195" i="2" s="1"/>
  <c r="J259" i="10"/>
  <c r="X259" i="10"/>
  <c r="Y259" i="10"/>
  <c r="T259" i="10" l="1"/>
  <c r="W259" i="10" s="1"/>
  <c r="P259" i="10"/>
  <c r="I260" i="10" s="1"/>
  <c r="K195" i="2"/>
  <c r="L195" i="2"/>
  <c r="J195" i="2" l="1"/>
  <c r="X195" i="2"/>
  <c r="Y195" i="2"/>
  <c r="L260" i="10"/>
  <c r="K260" i="10"/>
  <c r="J260" i="10" l="1"/>
  <c r="Y260" i="10"/>
  <c r="X260" i="10"/>
  <c r="T195" i="2"/>
  <c r="W195" i="2" s="1"/>
  <c r="P195" i="2"/>
  <c r="I196" i="2" s="1"/>
  <c r="K196" i="2" l="1"/>
  <c r="L196" i="2"/>
  <c r="T260" i="10"/>
  <c r="W260" i="10" s="1"/>
  <c r="P260" i="10"/>
  <c r="I261" i="10" s="1"/>
  <c r="J196" i="2" l="1"/>
  <c r="X196" i="2"/>
  <c r="Y196" i="2"/>
  <c r="L261" i="10"/>
  <c r="K261" i="10"/>
  <c r="J261" i="10" l="1"/>
  <c r="Y261" i="10"/>
  <c r="X261" i="10"/>
  <c r="T196" i="2"/>
  <c r="W196" i="2" s="1"/>
  <c r="P196" i="2"/>
  <c r="I197" i="2" s="1"/>
  <c r="K197" i="2" l="1"/>
  <c r="L197" i="2"/>
  <c r="T261" i="10"/>
  <c r="W261" i="10" s="1"/>
  <c r="P261" i="10"/>
  <c r="I262" i="10" s="1"/>
  <c r="K262" i="10" l="1"/>
  <c r="L262" i="10"/>
  <c r="X197" i="2"/>
  <c r="Y197" i="2"/>
  <c r="J197" i="2"/>
  <c r="J262" i="10" l="1"/>
  <c r="Y262" i="10"/>
  <c r="X262" i="10"/>
  <c r="T197" i="2"/>
  <c r="W197" i="2" s="1"/>
  <c r="P197" i="2"/>
  <c r="I198" i="2" s="1"/>
  <c r="K198" i="2" l="1"/>
  <c r="L198" i="2"/>
  <c r="T262" i="10"/>
  <c r="W262" i="10" s="1"/>
  <c r="P262" i="10"/>
  <c r="I263" i="10" s="1"/>
  <c r="X198" i="2" l="1"/>
  <c r="Y198" i="2"/>
  <c r="J198" i="2"/>
  <c r="L263" i="10"/>
  <c r="K263" i="10"/>
  <c r="J263" i="10" l="1"/>
  <c r="X263" i="10"/>
  <c r="Y263" i="10"/>
  <c r="T198" i="2"/>
  <c r="W198" i="2" s="1"/>
  <c r="P198" i="2"/>
  <c r="I199" i="2" s="1"/>
  <c r="K199" i="2" l="1"/>
  <c r="L199" i="2"/>
  <c r="T263" i="10"/>
  <c r="W263" i="10" s="1"/>
  <c r="P263" i="10"/>
  <c r="I264" i="10" s="1"/>
  <c r="L264" i="10" l="1"/>
  <c r="K264" i="10"/>
  <c r="J199" i="2"/>
  <c r="X199" i="2"/>
  <c r="Y199" i="2"/>
  <c r="J264" i="10" l="1"/>
  <c r="Y264" i="10"/>
  <c r="X264" i="10"/>
  <c r="T199" i="2"/>
  <c r="W199" i="2" s="1"/>
  <c r="P199" i="2"/>
  <c r="I200" i="2" s="1"/>
  <c r="K200" i="2" l="1"/>
  <c r="L200" i="2"/>
  <c r="T264" i="10"/>
  <c r="W264" i="10" s="1"/>
  <c r="P264" i="10"/>
  <c r="I265" i="10" s="1"/>
  <c r="K265" i="10" l="1"/>
  <c r="L265" i="10"/>
  <c r="J200" i="2"/>
  <c r="X200" i="2"/>
  <c r="Y200" i="2"/>
  <c r="J265" i="10" l="1"/>
  <c r="Y265" i="10"/>
  <c r="X265" i="10"/>
  <c r="T200" i="2"/>
  <c r="W200" i="2" s="1"/>
  <c r="P200" i="2"/>
  <c r="I201" i="2" s="1"/>
  <c r="K201" i="2" l="1"/>
  <c r="L201" i="2"/>
  <c r="T265" i="10"/>
  <c r="W265" i="10" s="1"/>
  <c r="P265" i="10"/>
  <c r="I266" i="10" s="1"/>
  <c r="L266" i="10" l="1"/>
  <c r="K266" i="10"/>
  <c r="J201" i="2"/>
  <c r="X201" i="2"/>
  <c r="Y201" i="2"/>
  <c r="J266" i="10" l="1"/>
  <c r="Y266" i="10"/>
  <c r="X266" i="10"/>
  <c r="T201" i="2"/>
  <c r="W201" i="2" s="1"/>
  <c r="P201" i="2"/>
  <c r="I202" i="2" s="1"/>
  <c r="T266" i="10" l="1"/>
  <c r="W266" i="10" s="1"/>
  <c r="P266" i="10"/>
  <c r="I267" i="10" s="1"/>
  <c r="K202" i="2"/>
  <c r="L202" i="2"/>
  <c r="J202" i="2" l="1"/>
  <c r="X202" i="2"/>
  <c r="Y202" i="2"/>
  <c r="K267" i="10"/>
  <c r="L267" i="10"/>
  <c r="J267" i="10" l="1"/>
  <c r="Y267" i="10"/>
  <c r="X267" i="10"/>
  <c r="T202" i="2"/>
  <c r="W202" i="2" s="1"/>
  <c r="P202" i="2"/>
  <c r="I203" i="2" s="1"/>
  <c r="K203" i="2" l="1"/>
  <c r="L203" i="2"/>
  <c r="T267" i="10"/>
  <c r="W267" i="10" s="1"/>
  <c r="P267" i="10"/>
  <c r="I268" i="10" s="1"/>
  <c r="L268" i="10" l="1"/>
  <c r="K268" i="10"/>
  <c r="Y203" i="2"/>
  <c r="J203" i="2"/>
  <c r="X203" i="2"/>
  <c r="T203" i="2" l="1"/>
  <c r="W203" i="2" s="1"/>
  <c r="P203" i="2"/>
  <c r="I204" i="2" s="1"/>
  <c r="J268" i="10"/>
  <c r="Y268" i="10"/>
  <c r="X268" i="10"/>
  <c r="T268" i="10" l="1"/>
  <c r="W268" i="10" s="1"/>
  <c r="P268" i="10"/>
  <c r="I269" i="10" s="1"/>
  <c r="K204" i="2"/>
  <c r="L204" i="2"/>
  <c r="X204" i="2" l="1"/>
  <c r="Y204" i="2"/>
  <c r="J204" i="2"/>
  <c r="L269" i="10"/>
  <c r="K269" i="10"/>
  <c r="J269" i="10" l="1"/>
  <c r="Y269" i="10"/>
  <c r="X269" i="10"/>
  <c r="T204" i="2"/>
  <c r="W204" i="2" s="1"/>
  <c r="P204" i="2"/>
  <c r="I205" i="2" s="1"/>
  <c r="K205" i="2" l="1"/>
  <c r="L205" i="2"/>
  <c r="T269" i="10"/>
  <c r="W269" i="10" s="1"/>
  <c r="P269" i="10"/>
  <c r="I270" i="10" s="1"/>
  <c r="L270" i="10" l="1"/>
  <c r="K270" i="10"/>
  <c r="J205" i="2"/>
  <c r="X205" i="2"/>
  <c r="Y205" i="2"/>
  <c r="T205" i="2" l="1"/>
  <c r="W205" i="2" s="1"/>
  <c r="P205" i="2"/>
  <c r="I206" i="2" s="1"/>
  <c r="J270" i="10"/>
  <c r="X270" i="10"/>
  <c r="Y270" i="10"/>
  <c r="T270" i="10" l="1"/>
  <c r="W270" i="10" s="1"/>
  <c r="P270" i="10"/>
  <c r="I271" i="10" s="1"/>
  <c r="K206" i="2"/>
  <c r="L206" i="2"/>
  <c r="L271" i="10" l="1"/>
  <c r="K271" i="10"/>
  <c r="Y206" i="2"/>
  <c r="X206" i="2"/>
  <c r="J206" i="2"/>
  <c r="T206" i="2" l="1"/>
  <c r="W206" i="2" s="1"/>
  <c r="P206" i="2"/>
  <c r="I207" i="2" s="1"/>
  <c r="J271" i="10"/>
  <c r="X271" i="10"/>
  <c r="Y271" i="10"/>
  <c r="K207" i="2" l="1"/>
  <c r="L207" i="2"/>
  <c r="T271" i="10"/>
  <c r="W271" i="10" s="1"/>
  <c r="P271" i="10"/>
  <c r="I272" i="10" s="1"/>
  <c r="L272" i="10" l="1"/>
  <c r="K272" i="10"/>
  <c r="J207" i="2"/>
  <c r="X207" i="2"/>
  <c r="Y207" i="2"/>
  <c r="T207" i="2" l="1"/>
  <c r="W207" i="2" s="1"/>
  <c r="P207" i="2"/>
  <c r="I208" i="2" s="1"/>
  <c r="J272" i="10"/>
  <c r="Y272" i="10"/>
  <c r="X272" i="10"/>
  <c r="K208" i="2" l="1"/>
  <c r="L208" i="2"/>
  <c r="T272" i="10"/>
  <c r="W272" i="10" s="1"/>
  <c r="P272" i="10"/>
  <c r="I273" i="10" s="1"/>
  <c r="L273" i="10" l="1"/>
  <c r="K273" i="10"/>
  <c r="J208" i="2"/>
  <c r="Y208" i="2"/>
  <c r="X208" i="2"/>
  <c r="T208" i="2" l="1"/>
  <c r="W208" i="2" s="1"/>
  <c r="P208" i="2"/>
  <c r="I209" i="2" s="1"/>
  <c r="J273" i="10"/>
  <c r="X273" i="10"/>
  <c r="Y273" i="10"/>
  <c r="T273" i="10" l="1"/>
  <c r="W273" i="10" s="1"/>
  <c r="P273" i="10"/>
  <c r="I274" i="10" s="1"/>
  <c r="K209" i="2"/>
  <c r="L209" i="2"/>
  <c r="J209" i="2" l="1"/>
  <c r="X209" i="2"/>
  <c r="Y209" i="2"/>
  <c r="L274" i="10"/>
  <c r="K274" i="10"/>
  <c r="J274" i="10" l="1"/>
  <c r="X274" i="10"/>
  <c r="Y274" i="10"/>
  <c r="T209" i="2"/>
  <c r="W209" i="2" s="1"/>
  <c r="P209" i="2"/>
  <c r="I210" i="2" s="1"/>
  <c r="K210" i="2" l="1"/>
  <c r="L210" i="2"/>
  <c r="T274" i="10"/>
  <c r="W274" i="10" s="1"/>
  <c r="P274" i="10"/>
  <c r="I275" i="10" s="1"/>
  <c r="K275" i="10" l="1"/>
  <c r="L275" i="10"/>
  <c r="J210" i="2"/>
  <c r="X210" i="2"/>
  <c r="Y210" i="2"/>
  <c r="T210" i="2" l="1"/>
  <c r="W210" i="2" s="1"/>
  <c r="P210" i="2"/>
  <c r="I211" i="2" s="1"/>
  <c r="J275" i="10"/>
  <c r="Y275" i="10"/>
  <c r="X275" i="10"/>
  <c r="T275" i="10" l="1"/>
  <c r="W275" i="10" s="1"/>
  <c r="P275" i="10"/>
  <c r="I276" i="10" s="1"/>
  <c r="K211" i="2"/>
  <c r="L211" i="2"/>
  <c r="J211" i="2" l="1"/>
  <c r="X211" i="2"/>
  <c r="Y211" i="2"/>
  <c r="K276" i="10"/>
  <c r="L276" i="10"/>
  <c r="J276" i="10" l="1"/>
  <c r="X276" i="10"/>
  <c r="Y276" i="10"/>
  <c r="T211" i="2"/>
  <c r="W211" i="2" s="1"/>
  <c r="P211" i="2"/>
  <c r="I212" i="2" s="1"/>
  <c r="K212" i="2" l="1"/>
  <c r="L212" i="2"/>
  <c r="T276" i="10"/>
  <c r="W276" i="10" s="1"/>
  <c r="P276" i="10"/>
  <c r="I277" i="10" s="1"/>
  <c r="X212" i="2" l="1"/>
  <c r="Y212" i="2"/>
  <c r="J212" i="2"/>
  <c r="K277" i="10"/>
  <c r="L277" i="10"/>
  <c r="J277" i="10" l="1"/>
  <c r="X277" i="10"/>
  <c r="Y277" i="10"/>
  <c r="T212" i="2"/>
  <c r="W212" i="2" s="1"/>
  <c r="P212" i="2"/>
  <c r="I213" i="2" s="1"/>
  <c r="K213" i="2" l="1"/>
  <c r="L213" i="2"/>
  <c r="T277" i="10"/>
  <c r="W277" i="10" s="1"/>
  <c r="P277" i="10"/>
  <c r="I278" i="10" s="1"/>
  <c r="L278" i="10" l="1"/>
  <c r="K278" i="10"/>
  <c r="X213" i="2"/>
  <c r="J213" i="2"/>
  <c r="Y213" i="2"/>
  <c r="J278" i="10" l="1"/>
  <c r="X278" i="10"/>
  <c r="Y278" i="10"/>
  <c r="T213" i="2"/>
  <c r="W213" i="2" s="1"/>
  <c r="P213" i="2"/>
  <c r="I214" i="2" s="1"/>
  <c r="K214" i="2" l="1"/>
  <c r="L214" i="2"/>
  <c r="T278" i="10"/>
  <c r="W278" i="10" s="1"/>
  <c r="P278" i="10"/>
  <c r="I279" i="10" s="1"/>
  <c r="X214" i="2" l="1"/>
  <c r="Y214" i="2"/>
  <c r="J214" i="2"/>
  <c r="L279" i="10"/>
  <c r="K279" i="10"/>
  <c r="T214" i="2" l="1"/>
  <c r="W214" i="2" s="1"/>
  <c r="P214" i="2"/>
  <c r="I215" i="2" s="1"/>
  <c r="J279" i="10"/>
  <c r="X279" i="10"/>
  <c r="Y279" i="10"/>
  <c r="T279" i="10" l="1"/>
  <c r="W279" i="10" s="1"/>
  <c r="P279" i="10"/>
  <c r="I280" i="10" s="1"/>
  <c r="K215" i="2"/>
  <c r="L215" i="2"/>
  <c r="J215" i="2" l="1"/>
  <c r="X215" i="2"/>
  <c r="Y215" i="2"/>
  <c r="K280" i="10"/>
  <c r="L280" i="10"/>
  <c r="J280" i="10" l="1"/>
  <c r="Y280" i="10"/>
  <c r="X280" i="10"/>
  <c r="T215" i="2"/>
  <c r="W215" i="2" s="1"/>
  <c r="P215" i="2"/>
  <c r="I216" i="2" s="1"/>
  <c r="K216" i="2" l="1"/>
  <c r="L216" i="2"/>
  <c r="T280" i="10"/>
  <c r="W280" i="10" s="1"/>
  <c r="P280" i="10"/>
  <c r="I281" i="10" s="1"/>
  <c r="K281" i="10" l="1"/>
  <c r="L281" i="10"/>
  <c r="J216" i="2"/>
  <c r="X216" i="2"/>
  <c r="Y216" i="2"/>
  <c r="T216" i="2" l="1"/>
  <c r="W216" i="2" s="1"/>
  <c r="P216" i="2"/>
  <c r="I217" i="2" s="1"/>
  <c r="J281" i="10"/>
  <c r="Y281" i="10"/>
  <c r="X281" i="10"/>
  <c r="T281" i="10" l="1"/>
  <c r="W281" i="10" s="1"/>
  <c r="P281" i="10"/>
  <c r="I282" i="10" s="1"/>
  <c r="K217" i="2"/>
  <c r="L217" i="2"/>
  <c r="J217" i="2" l="1"/>
  <c r="X217" i="2"/>
  <c r="Y217" i="2"/>
  <c r="K282" i="10"/>
  <c r="L282" i="10"/>
  <c r="J282" i="10" l="1"/>
  <c r="X282" i="10"/>
  <c r="Y282" i="10"/>
  <c r="T217" i="2"/>
  <c r="W217" i="2" s="1"/>
  <c r="P217" i="2"/>
  <c r="I218" i="2" s="1"/>
  <c r="K218" i="2" l="1"/>
  <c r="L218" i="2"/>
  <c r="T282" i="10"/>
  <c r="W282" i="10" s="1"/>
  <c r="P282" i="10"/>
  <c r="I283" i="10" s="1"/>
  <c r="X218" i="2" l="1"/>
  <c r="Y218" i="2"/>
  <c r="J218" i="2"/>
  <c r="K283" i="10"/>
  <c r="L283" i="10"/>
  <c r="Y283" i="10" l="1"/>
  <c r="J283" i="10"/>
  <c r="X283" i="10"/>
  <c r="T218" i="2"/>
  <c r="W218" i="2" s="1"/>
  <c r="P218" i="2"/>
  <c r="I219" i="2" s="1"/>
  <c r="T283" i="10" l="1"/>
  <c r="W283" i="10" s="1"/>
  <c r="P283" i="10"/>
  <c r="I284" i="10" s="1"/>
  <c r="K219" i="2"/>
  <c r="L219" i="2"/>
  <c r="J219" i="2" l="1"/>
  <c r="X219" i="2"/>
  <c r="Y219" i="2"/>
  <c r="L284" i="10"/>
  <c r="K284" i="10"/>
  <c r="J284" i="10" l="1"/>
  <c r="Y284" i="10"/>
  <c r="X284" i="10"/>
  <c r="T219" i="2"/>
  <c r="W219" i="2" s="1"/>
  <c r="P219" i="2"/>
  <c r="I220" i="2" s="1"/>
  <c r="K220" i="2" l="1"/>
  <c r="L220" i="2"/>
  <c r="T284" i="10"/>
  <c r="W284" i="10" s="1"/>
  <c r="P284" i="10"/>
  <c r="I285" i="10" s="1"/>
  <c r="K285" i="10" l="1"/>
  <c r="L285" i="10"/>
  <c r="J220" i="2"/>
  <c r="X220" i="2"/>
  <c r="Y220" i="2"/>
  <c r="T220" i="2" l="1"/>
  <c r="W220" i="2" s="1"/>
  <c r="P220" i="2"/>
  <c r="I221" i="2" s="1"/>
  <c r="J285" i="10"/>
  <c r="Y285" i="10"/>
  <c r="X285" i="10"/>
  <c r="T285" i="10" l="1"/>
  <c r="W285" i="10" s="1"/>
  <c r="P285" i="10"/>
  <c r="I286" i="10" s="1"/>
  <c r="K221" i="2"/>
  <c r="L221" i="2"/>
  <c r="L286" i="10" l="1"/>
  <c r="K286" i="10"/>
  <c r="J221" i="2"/>
  <c r="X221" i="2"/>
  <c r="Y221" i="2"/>
  <c r="T221" i="2" l="1"/>
  <c r="W221" i="2" s="1"/>
  <c r="P221" i="2"/>
  <c r="I222" i="2" s="1"/>
  <c r="J286" i="10"/>
  <c r="Y286" i="10"/>
  <c r="X286" i="10"/>
  <c r="T286" i="10" l="1"/>
  <c r="W286" i="10" s="1"/>
  <c r="P286" i="10"/>
  <c r="I287" i="10" s="1"/>
  <c r="K222" i="2"/>
  <c r="L222" i="2"/>
  <c r="X222" i="2" l="1"/>
  <c r="Y222" i="2"/>
  <c r="J222" i="2"/>
  <c r="K287" i="10"/>
  <c r="L287" i="10"/>
  <c r="J287" i="10" l="1"/>
  <c r="Y287" i="10"/>
  <c r="X287" i="10"/>
  <c r="T222" i="2"/>
  <c r="W222" i="2" s="1"/>
  <c r="P222" i="2"/>
  <c r="I223" i="2" s="1"/>
  <c r="K223" i="2" l="1"/>
  <c r="L223" i="2"/>
  <c r="T287" i="10"/>
  <c r="W287" i="10" s="1"/>
  <c r="P287" i="10"/>
  <c r="I288" i="10" s="1"/>
  <c r="L288" i="10" l="1"/>
  <c r="K288" i="10"/>
  <c r="X223" i="2"/>
  <c r="Y223" i="2"/>
  <c r="J223" i="2"/>
  <c r="T223" i="2" l="1"/>
  <c r="W223" i="2" s="1"/>
  <c r="P223" i="2"/>
  <c r="I224" i="2" s="1"/>
  <c r="J288" i="10"/>
  <c r="Y288" i="10"/>
  <c r="X288" i="10"/>
  <c r="T288" i="10" l="1"/>
  <c r="W288" i="10" s="1"/>
  <c r="P288" i="10"/>
  <c r="I289" i="10" s="1"/>
  <c r="K224" i="2"/>
  <c r="L224" i="2"/>
  <c r="J224" i="2" l="1"/>
  <c r="X224" i="2"/>
  <c r="Y224" i="2"/>
  <c r="K289" i="10"/>
  <c r="L289" i="10"/>
  <c r="J289" i="10" l="1"/>
  <c r="Y289" i="10"/>
  <c r="X289" i="10"/>
  <c r="T224" i="2"/>
  <c r="W224" i="2" s="1"/>
  <c r="P224" i="2"/>
  <c r="I225" i="2" s="1"/>
  <c r="T289" i="10" l="1"/>
  <c r="W289" i="10" s="1"/>
  <c r="P289" i="10"/>
  <c r="I290" i="10" s="1"/>
  <c r="K225" i="2"/>
  <c r="L225" i="2"/>
  <c r="L290" i="10" l="1"/>
  <c r="K290" i="10"/>
  <c r="J225" i="2"/>
  <c r="X225" i="2"/>
  <c r="Y225" i="2"/>
  <c r="T225" i="2" l="1"/>
  <c r="W225" i="2" s="1"/>
  <c r="P225" i="2"/>
  <c r="I226" i="2" s="1"/>
  <c r="J290" i="10"/>
  <c r="X290" i="10"/>
  <c r="Y290" i="10"/>
  <c r="T290" i="10" l="1"/>
  <c r="W290" i="10" s="1"/>
  <c r="P290" i="10"/>
  <c r="I291" i="10" s="1"/>
  <c r="K226" i="2"/>
  <c r="L226" i="2"/>
  <c r="J226" i="2" l="1"/>
  <c r="Y226" i="2"/>
  <c r="X226" i="2"/>
  <c r="L291" i="10"/>
  <c r="K291" i="10"/>
  <c r="J291" i="10" l="1"/>
  <c r="X291" i="10"/>
  <c r="Y291" i="10"/>
  <c r="T226" i="2"/>
  <c r="W226" i="2" s="1"/>
  <c r="P226" i="2"/>
  <c r="I227" i="2" s="1"/>
  <c r="K227" i="2" l="1"/>
  <c r="L227" i="2"/>
  <c r="T291" i="10"/>
  <c r="W291" i="10" s="1"/>
  <c r="P291" i="10"/>
  <c r="I292" i="10" s="1"/>
  <c r="X227" i="2" l="1"/>
  <c r="Y227" i="2"/>
  <c r="J227" i="2"/>
  <c r="K292" i="10"/>
  <c r="L292" i="10"/>
  <c r="J292" i="10" l="1"/>
  <c r="Y292" i="10"/>
  <c r="X292" i="10"/>
  <c r="T227" i="2"/>
  <c r="W227" i="2" s="1"/>
  <c r="P227" i="2"/>
  <c r="I228" i="2" s="1"/>
  <c r="K228" i="2" l="1"/>
  <c r="L228" i="2"/>
  <c r="T292" i="10"/>
  <c r="W292" i="10" s="1"/>
  <c r="P292" i="10"/>
  <c r="I293" i="10" s="1"/>
  <c r="L293" i="10" l="1"/>
  <c r="K293" i="10"/>
  <c r="Y228" i="2"/>
  <c r="J228" i="2"/>
  <c r="X228" i="2"/>
  <c r="T228" i="2" l="1"/>
  <c r="W228" i="2" s="1"/>
  <c r="P228" i="2"/>
  <c r="I229" i="2" s="1"/>
  <c r="J293" i="10"/>
  <c r="X293" i="10"/>
  <c r="Y293" i="10"/>
  <c r="K229" i="2" l="1"/>
  <c r="L229" i="2"/>
  <c r="T293" i="10"/>
  <c r="W293" i="10" s="1"/>
  <c r="P293" i="10"/>
  <c r="I294" i="10" s="1"/>
  <c r="L294" i="10" l="1"/>
  <c r="K294" i="10"/>
  <c r="Y229" i="2"/>
  <c r="X229" i="2"/>
  <c r="J229" i="2"/>
  <c r="J294" i="10" l="1"/>
  <c r="Y294" i="10"/>
  <c r="X294" i="10"/>
  <c r="T229" i="2"/>
  <c r="W229" i="2" s="1"/>
  <c r="P229" i="2"/>
  <c r="I230" i="2" s="1"/>
  <c r="K230" i="2" l="1"/>
  <c r="L230" i="2"/>
  <c r="T294" i="10"/>
  <c r="W294" i="10" s="1"/>
  <c r="P294" i="10"/>
  <c r="I295" i="10" s="1"/>
  <c r="L295" i="10" l="1"/>
  <c r="K295" i="10"/>
  <c r="J230" i="2"/>
  <c r="X230" i="2"/>
  <c r="Y230" i="2"/>
  <c r="T230" i="2" l="1"/>
  <c r="W230" i="2" s="1"/>
  <c r="P230" i="2"/>
  <c r="I231" i="2" s="1"/>
  <c r="J295" i="10"/>
  <c r="Y295" i="10"/>
  <c r="X295" i="10"/>
  <c r="P46" i="11"/>
  <c r="O46" i="11"/>
  <c r="T295" i="10" l="1"/>
  <c r="W295" i="10" s="1"/>
  <c r="P295" i="10"/>
  <c r="I296" i="10" s="1"/>
  <c r="K231" i="2"/>
  <c r="L231" i="2"/>
  <c r="Y231" i="2" l="1"/>
  <c r="X231" i="2"/>
  <c r="J231" i="2"/>
  <c r="L296" i="10"/>
  <c r="K296" i="10"/>
  <c r="J296" i="10" l="1"/>
  <c r="X296" i="10"/>
  <c r="Y296" i="10"/>
  <c r="T231" i="2"/>
  <c r="W231" i="2" s="1"/>
  <c r="P231" i="2"/>
  <c r="I232" i="2" s="1"/>
  <c r="K232" i="2" l="1"/>
  <c r="L232" i="2"/>
  <c r="T296" i="10"/>
  <c r="W296" i="10" s="1"/>
  <c r="P296" i="10"/>
  <c r="I297" i="10" s="1"/>
  <c r="L297" i="10" l="1"/>
  <c r="K297" i="10"/>
  <c r="X232" i="2"/>
  <c r="Y232" i="2"/>
  <c r="J232" i="2"/>
  <c r="T232" i="2" l="1"/>
  <c r="W232" i="2" s="1"/>
  <c r="P232" i="2"/>
  <c r="I233" i="2" s="1"/>
  <c r="J297" i="10"/>
  <c r="X297" i="10"/>
  <c r="Y297" i="10"/>
  <c r="T297" i="10" l="1"/>
  <c r="W297" i="10" s="1"/>
  <c r="P297" i="10"/>
  <c r="I298" i="10" s="1"/>
  <c r="K233" i="2"/>
  <c r="L233" i="2"/>
  <c r="J233" i="2" l="1"/>
  <c r="X233" i="2"/>
  <c r="Y233" i="2"/>
  <c r="L298" i="10"/>
  <c r="K298" i="10"/>
  <c r="J298" i="10" l="1"/>
  <c r="Y298" i="10"/>
  <c r="X298" i="10"/>
  <c r="T233" i="2"/>
  <c r="W233" i="2" s="1"/>
  <c r="P233" i="2"/>
  <c r="I234" i="2" s="1"/>
  <c r="K234" i="2" l="1"/>
  <c r="L234" i="2"/>
  <c r="T298" i="10"/>
  <c r="W298" i="10" s="1"/>
  <c r="P298" i="10"/>
  <c r="I299" i="10" s="1"/>
  <c r="L299" i="10" l="1"/>
  <c r="K299" i="10"/>
  <c r="J234" i="2"/>
  <c r="X234" i="2"/>
  <c r="Y234" i="2"/>
  <c r="T234" i="2" l="1"/>
  <c r="W234" i="2" s="1"/>
  <c r="P234" i="2"/>
  <c r="I235" i="2" s="1"/>
  <c r="J299" i="10"/>
  <c r="X299" i="10"/>
  <c r="Y299" i="10"/>
  <c r="T299" i="10" l="1"/>
  <c r="W299" i="10" s="1"/>
  <c r="P299" i="10"/>
  <c r="I300" i="10" s="1"/>
  <c r="K235" i="2"/>
  <c r="L235" i="2"/>
  <c r="J235" i="2" l="1"/>
  <c r="X235" i="2"/>
  <c r="Y235" i="2"/>
  <c r="K300" i="10"/>
  <c r="L300" i="10"/>
  <c r="J300" i="10" l="1"/>
  <c r="Y300" i="10"/>
  <c r="X300" i="10"/>
  <c r="T235" i="2"/>
  <c r="W235" i="2" s="1"/>
  <c r="P235" i="2"/>
  <c r="I236" i="2" s="1"/>
  <c r="K236" i="2" l="1"/>
  <c r="L236" i="2"/>
  <c r="T300" i="10"/>
  <c r="W300" i="10" s="1"/>
  <c r="P300" i="10"/>
  <c r="I301" i="10" s="1"/>
  <c r="K301" i="10" l="1"/>
  <c r="L301" i="10"/>
  <c r="X236" i="2"/>
  <c r="Y236" i="2"/>
  <c r="J236" i="2"/>
  <c r="Y301" i="10" l="1"/>
  <c r="J301" i="10"/>
  <c r="X301" i="10"/>
  <c r="T236" i="2"/>
  <c r="W236" i="2" s="1"/>
  <c r="P236" i="2"/>
  <c r="I237" i="2" s="1"/>
  <c r="T301" i="10" l="1"/>
  <c r="W301" i="10" s="1"/>
  <c r="P301" i="10"/>
  <c r="I302" i="10" s="1"/>
  <c r="K237" i="2"/>
  <c r="L237" i="2"/>
  <c r="J237" i="2" l="1"/>
  <c r="X237" i="2"/>
  <c r="Y237" i="2"/>
  <c r="L302" i="10"/>
  <c r="K302" i="10"/>
  <c r="J302" i="10" l="1"/>
  <c r="Y302" i="10"/>
  <c r="X302" i="10"/>
  <c r="T237" i="2"/>
  <c r="W237" i="2" s="1"/>
  <c r="P237" i="2"/>
  <c r="I238" i="2" s="1"/>
  <c r="K238" i="2" l="1"/>
  <c r="L238" i="2"/>
  <c r="T302" i="10"/>
  <c r="W302" i="10" s="1"/>
  <c r="P302" i="10"/>
  <c r="I303" i="10" s="1"/>
  <c r="K303" i="10" l="1"/>
  <c r="L303" i="10"/>
  <c r="J238" i="2"/>
  <c r="X238" i="2"/>
  <c r="Y238" i="2"/>
  <c r="T238" i="2" l="1"/>
  <c r="W238" i="2" s="1"/>
  <c r="P238" i="2"/>
  <c r="I239" i="2" s="1"/>
  <c r="J303" i="10"/>
  <c r="Y303" i="10"/>
  <c r="X303" i="10"/>
  <c r="T303" i="10" l="1"/>
  <c r="W303" i="10" s="1"/>
  <c r="P303" i="10"/>
  <c r="I304" i="10" s="1"/>
  <c r="K239" i="2"/>
  <c r="L239" i="2"/>
  <c r="X239" i="2" l="1"/>
  <c r="J239" i="2"/>
  <c r="Y239" i="2"/>
  <c r="K304" i="10"/>
  <c r="L304" i="10"/>
  <c r="J304" i="10" l="1"/>
  <c r="X304" i="10"/>
  <c r="Y304" i="10"/>
  <c r="T239" i="2"/>
  <c r="W239" i="2" s="1"/>
  <c r="P239" i="2"/>
  <c r="I240" i="2" s="1"/>
  <c r="K240" i="2" l="1"/>
  <c r="L240" i="2"/>
  <c r="T304" i="10"/>
  <c r="W304" i="10" s="1"/>
  <c r="P304" i="10"/>
  <c r="I305" i="10" s="1"/>
  <c r="K305" i="10" l="1"/>
  <c r="L305" i="10"/>
  <c r="J240" i="2"/>
  <c r="X240" i="2"/>
  <c r="Y240" i="2"/>
  <c r="T240" i="2" l="1"/>
  <c r="W240" i="2" s="1"/>
  <c r="P240" i="2"/>
  <c r="I241" i="2" s="1"/>
  <c r="J305" i="10"/>
  <c r="X305" i="10"/>
  <c r="Y305" i="10"/>
  <c r="T305" i="10" l="1"/>
  <c r="W305" i="10" s="1"/>
  <c r="P305" i="10"/>
  <c r="I306" i="10" s="1"/>
  <c r="K241" i="2"/>
  <c r="L241" i="2"/>
  <c r="X241" i="2" l="1"/>
  <c r="Y241" i="2"/>
  <c r="J241" i="2"/>
  <c r="K306" i="10"/>
  <c r="L306" i="10"/>
  <c r="J306" i="10" l="1"/>
  <c r="Y306" i="10"/>
  <c r="X306" i="10"/>
  <c r="T241" i="2"/>
  <c r="W241" i="2" s="1"/>
  <c r="P241" i="2"/>
  <c r="I242" i="2" s="1"/>
  <c r="K242" i="2" l="1"/>
  <c r="L242" i="2"/>
  <c r="T306" i="10"/>
  <c r="W306" i="10" s="1"/>
  <c r="P306" i="10"/>
  <c r="I307" i="10" s="1"/>
  <c r="K307" i="10" l="1"/>
  <c r="L307" i="10"/>
  <c r="Y242" i="2"/>
  <c r="X242" i="2"/>
  <c r="J242" i="2"/>
  <c r="T242" i="2" l="1"/>
  <c r="W242" i="2" s="1"/>
  <c r="P242" i="2"/>
  <c r="I243" i="2" s="1"/>
  <c r="Y307" i="10"/>
  <c r="J307" i="10"/>
  <c r="X307" i="10"/>
  <c r="T307" i="10" l="1"/>
  <c r="W307" i="10" s="1"/>
  <c r="P307" i="10"/>
  <c r="I308" i="10" s="1"/>
  <c r="K243" i="2"/>
  <c r="L243" i="2"/>
  <c r="J243" i="2" l="1"/>
  <c r="X243" i="2"/>
  <c r="Y243" i="2"/>
  <c r="K308" i="10"/>
  <c r="L308" i="10"/>
  <c r="J308" i="10" l="1"/>
  <c r="Y308" i="10"/>
  <c r="X308" i="10"/>
  <c r="T243" i="2"/>
  <c r="W243" i="2" s="1"/>
  <c r="P243" i="2"/>
  <c r="I244" i="2" s="1"/>
  <c r="K244" i="2" l="1"/>
  <c r="L244" i="2"/>
  <c r="T308" i="10"/>
  <c r="W308" i="10" s="1"/>
  <c r="P308" i="10"/>
  <c r="I309" i="10" s="1"/>
  <c r="K309" i="10" l="1"/>
  <c r="L309" i="10"/>
  <c r="J244" i="2"/>
  <c r="X244" i="2"/>
  <c r="Y244" i="2"/>
  <c r="T244" i="2" l="1"/>
  <c r="W244" i="2" s="1"/>
  <c r="P244" i="2"/>
  <c r="I245" i="2" s="1"/>
  <c r="Y309" i="10"/>
  <c r="J309" i="10"/>
  <c r="X309" i="10"/>
  <c r="T309" i="10" l="1"/>
  <c r="W309" i="10" s="1"/>
  <c r="P309" i="10"/>
  <c r="I310" i="10" s="1"/>
  <c r="K245" i="2"/>
  <c r="L245" i="2"/>
  <c r="X245" i="2" l="1"/>
  <c r="Y245" i="2"/>
  <c r="J245" i="2"/>
  <c r="K310" i="10"/>
  <c r="L310" i="10"/>
  <c r="J310" i="10" l="1"/>
  <c r="Y310" i="10"/>
  <c r="X310" i="10"/>
  <c r="T245" i="2"/>
  <c r="W245" i="2" s="1"/>
  <c r="P245" i="2"/>
  <c r="I246" i="2" s="1"/>
  <c r="K246" i="2" l="1"/>
  <c r="L246" i="2"/>
  <c r="T310" i="10"/>
  <c r="W310" i="10" s="1"/>
  <c r="P310" i="10"/>
  <c r="I311" i="10" s="1"/>
  <c r="L311" i="10" l="1"/>
  <c r="K311" i="10"/>
  <c r="J246" i="2"/>
  <c r="X246" i="2"/>
  <c r="Y246" i="2"/>
  <c r="T246" i="2" l="1"/>
  <c r="W246" i="2" s="1"/>
  <c r="P246" i="2"/>
  <c r="I247" i="2" s="1"/>
  <c r="J311" i="10"/>
  <c r="X311" i="10"/>
  <c r="Y311" i="10"/>
  <c r="T311" i="10" l="1"/>
  <c r="W311" i="10" s="1"/>
  <c r="P311" i="10"/>
  <c r="I312" i="10" s="1"/>
  <c r="K247" i="2"/>
  <c r="L247" i="2"/>
  <c r="J247" i="2" l="1"/>
  <c r="X247" i="2"/>
  <c r="Y247" i="2"/>
  <c r="L312" i="10"/>
  <c r="K312" i="10"/>
  <c r="J312" i="10" l="1"/>
  <c r="Y312" i="10"/>
  <c r="X312" i="10"/>
  <c r="T247" i="2"/>
  <c r="W247" i="2" s="1"/>
  <c r="P247" i="2"/>
  <c r="I248" i="2" s="1"/>
  <c r="K248" i="2" l="1"/>
  <c r="L248" i="2"/>
  <c r="T312" i="10"/>
  <c r="W312" i="10" s="1"/>
  <c r="P312" i="10"/>
  <c r="I313" i="10" s="1"/>
  <c r="K313" i="10" l="1"/>
  <c r="L313" i="10"/>
  <c r="J248" i="2"/>
  <c r="Y248" i="2"/>
  <c r="X248" i="2"/>
  <c r="T248" i="2" l="1"/>
  <c r="W248" i="2" s="1"/>
  <c r="P248" i="2"/>
  <c r="I249" i="2" s="1"/>
  <c r="J313" i="10"/>
  <c r="X313" i="10"/>
  <c r="Y313" i="10"/>
  <c r="T313" i="10" l="1"/>
  <c r="W313" i="10" s="1"/>
  <c r="P313" i="10"/>
  <c r="I314" i="10" s="1"/>
  <c r="K249" i="2"/>
  <c r="L249" i="2"/>
  <c r="J249" i="2" l="1"/>
  <c r="X249" i="2"/>
  <c r="Y249" i="2"/>
  <c r="K314" i="10"/>
  <c r="L314" i="10"/>
  <c r="J314" i="10" l="1"/>
  <c r="X314" i="10"/>
  <c r="Y314" i="10"/>
  <c r="T249" i="2"/>
  <c r="W249" i="2" s="1"/>
  <c r="P249" i="2"/>
  <c r="I250" i="2" s="1"/>
  <c r="K250" i="2" l="1"/>
  <c r="L250" i="2"/>
  <c r="T314" i="10"/>
  <c r="W314" i="10" s="1"/>
  <c r="P314" i="10"/>
  <c r="I315" i="10" s="1"/>
  <c r="K315" i="10" l="1"/>
  <c r="L315" i="10"/>
  <c r="X250" i="2"/>
  <c r="Y250" i="2"/>
  <c r="J250" i="2"/>
  <c r="T250" i="2" l="1"/>
  <c r="W250" i="2" s="1"/>
  <c r="P250" i="2"/>
  <c r="I251" i="2" s="1"/>
  <c r="J315" i="10"/>
  <c r="X315" i="10"/>
  <c r="Y315" i="10"/>
  <c r="T315" i="10" l="1"/>
  <c r="W315" i="10" s="1"/>
  <c r="P315" i="10"/>
  <c r="I316" i="10" s="1"/>
  <c r="K251" i="2"/>
  <c r="L251" i="2"/>
  <c r="J251" i="2" l="1"/>
  <c r="X251" i="2"/>
  <c r="Y251" i="2"/>
  <c r="L316" i="10"/>
  <c r="K316" i="10"/>
  <c r="J316" i="10" l="1"/>
  <c r="Y316" i="10"/>
  <c r="X316" i="10"/>
  <c r="T251" i="2"/>
  <c r="W251" i="2" s="1"/>
  <c r="P251" i="2"/>
  <c r="I252" i="2" s="1"/>
  <c r="K252" i="2" l="1"/>
  <c r="L252" i="2"/>
  <c r="T316" i="10"/>
  <c r="W316" i="10" s="1"/>
  <c r="P316" i="10"/>
  <c r="I317" i="10" s="1"/>
  <c r="L317" i="10" l="1"/>
  <c r="K317" i="10"/>
  <c r="J252" i="2"/>
  <c r="X252" i="2"/>
  <c r="Y252" i="2"/>
  <c r="T252" i="2" l="1"/>
  <c r="W252" i="2" s="1"/>
  <c r="P252" i="2"/>
  <c r="I253" i="2" s="1"/>
  <c r="J317" i="10"/>
  <c r="Y317" i="10"/>
  <c r="X317" i="10"/>
  <c r="T317" i="10" l="1"/>
  <c r="W317" i="10" s="1"/>
  <c r="P317" i="10"/>
  <c r="I318" i="10" s="1"/>
  <c r="K253" i="2"/>
  <c r="L253" i="2"/>
  <c r="Y253" i="2" l="1"/>
  <c r="X253" i="2"/>
  <c r="J253" i="2"/>
  <c r="K318" i="10"/>
  <c r="L318" i="10"/>
  <c r="J318" i="10" l="1"/>
  <c r="Y318" i="10"/>
  <c r="X318" i="10"/>
  <c r="T253" i="2"/>
  <c r="W253" i="2" s="1"/>
  <c r="P253" i="2"/>
  <c r="I254" i="2" s="1"/>
  <c r="K254" i="2" l="1"/>
  <c r="L254" i="2"/>
  <c r="T318" i="10"/>
  <c r="W318" i="10" s="1"/>
  <c r="P318" i="10"/>
  <c r="I319" i="10" s="1"/>
  <c r="K319" i="10" l="1"/>
  <c r="L319" i="10"/>
  <c r="X254" i="2"/>
  <c r="Y254" i="2"/>
  <c r="J254" i="2"/>
  <c r="T254" i="2" l="1"/>
  <c r="W254" i="2" s="1"/>
  <c r="P254" i="2"/>
  <c r="I255" i="2" s="1"/>
  <c r="J319" i="10"/>
  <c r="X319" i="10"/>
  <c r="Y319" i="10"/>
  <c r="T319" i="10" l="1"/>
  <c r="W319" i="10" s="1"/>
  <c r="P319" i="10"/>
  <c r="I320" i="10" s="1"/>
  <c r="K255" i="2"/>
  <c r="L255" i="2"/>
  <c r="J255" i="2" l="1"/>
  <c r="Y255" i="2"/>
  <c r="X255" i="2"/>
  <c r="L320" i="10"/>
  <c r="K320" i="10"/>
  <c r="Y320" i="10" l="1"/>
  <c r="J320" i="10"/>
  <c r="X320" i="10"/>
  <c r="T255" i="2"/>
  <c r="W255" i="2" s="1"/>
  <c r="P255" i="2"/>
  <c r="I256" i="2" s="1"/>
  <c r="K256" i="2" l="1"/>
  <c r="L256" i="2"/>
  <c r="T320" i="10"/>
  <c r="W320" i="10" s="1"/>
  <c r="P320" i="10"/>
  <c r="I321" i="10" s="1"/>
  <c r="K321" i="10" l="1"/>
  <c r="L321" i="10"/>
  <c r="X256" i="2"/>
  <c r="Y256" i="2"/>
  <c r="J256" i="2"/>
  <c r="T256" i="2" l="1"/>
  <c r="W256" i="2" s="1"/>
  <c r="P256" i="2"/>
  <c r="I257" i="2" s="1"/>
  <c r="J321" i="10"/>
  <c r="Y321" i="10"/>
  <c r="X321" i="10"/>
  <c r="T321" i="10" l="1"/>
  <c r="W321" i="10" s="1"/>
  <c r="P321" i="10"/>
  <c r="I322" i="10" s="1"/>
  <c r="K257" i="2"/>
  <c r="L257" i="2"/>
  <c r="X257" i="2" l="1"/>
  <c r="Y257" i="2"/>
  <c r="J257" i="2"/>
  <c r="L322" i="10"/>
  <c r="K322" i="10"/>
  <c r="J322" i="10" l="1"/>
  <c r="Y322" i="10"/>
  <c r="X322" i="10"/>
  <c r="T257" i="2"/>
  <c r="W257" i="2" s="1"/>
  <c r="P257" i="2"/>
  <c r="I258" i="2" s="1"/>
  <c r="K258" i="2" l="1"/>
  <c r="L258" i="2"/>
  <c r="T322" i="10"/>
  <c r="W322" i="10" s="1"/>
  <c r="P322" i="10"/>
  <c r="I323" i="10" s="1"/>
  <c r="K323" i="10" l="1"/>
  <c r="L323" i="10"/>
  <c r="Y258" i="2"/>
  <c r="J258" i="2"/>
  <c r="X258" i="2"/>
  <c r="T258" i="2" l="1"/>
  <c r="W258" i="2" s="1"/>
  <c r="P258" i="2"/>
  <c r="I259" i="2" s="1"/>
  <c r="J323" i="10"/>
  <c r="Y323" i="10"/>
  <c r="X323" i="10"/>
  <c r="T323" i="10" l="1"/>
  <c r="W323" i="10" s="1"/>
  <c r="P323" i="10"/>
  <c r="I324" i="10" s="1"/>
  <c r="K259" i="2"/>
  <c r="L259" i="2"/>
  <c r="Y259" i="2" l="1"/>
  <c r="X259" i="2"/>
  <c r="J259" i="2"/>
  <c r="L324" i="10"/>
  <c r="K324" i="10"/>
  <c r="J324" i="10" l="1"/>
  <c r="X324" i="10"/>
  <c r="Y324" i="10"/>
  <c r="T259" i="2"/>
  <c r="W259" i="2" s="1"/>
  <c r="P259" i="2"/>
  <c r="I260" i="2" s="1"/>
  <c r="K260" i="2" l="1"/>
  <c r="L260" i="2"/>
  <c r="T324" i="10"/>
  <c r="W324" i="10" s="1"/>
  <c r="P324" i="10"/>
  <c r="I325" i="10" s="1"/>
  <c r="K325" i="10" l="1"/>
  <c r="L325" i="10"/>
  <c r="J260" i="2"/>
  <c r="X260" i="2"/>
  <c r="Y260" i="2"/>
  <c r="T260" i="2" l="1"/>
  <c r="W260" i="2" s="1"/>
  <c r="P260" i="2"/>
  <c r="I261" i="2" s="1"/>
  <c r="J325" i="10"/>
  <c r="Y325" i="10"/>
  <c r="X325" i="10"/>
  <c r="T325" i="10" l="1"/>
  <c r="W325" i="10" s="1"/>
  <c r="P325" i="10"/>
  <c r="I326" i="10" s="1"/>
  <c r="K261" i="2"/>
  <c r="L261" i="2"/>
  <c r="Y261" i="2" l="1"/>
  <c r="X261" i="2"/>
  <c r="J261" i="2"/>
  <c r="K326" i="10"/>
  <c r="L326" i="10"/>
  <c r="T261" i="2" l="1"/>
  <c r="W261" i="2" s="1"/>
  <c r="P261" i="2"/>
  <c r="I262" i="2" s="1"/>
  <c r="J326" i="10"/>
  <c r="X326" i="10"/>
  <c r="Y326" i="10"/>
  <c r="T326" i="10" l="1"/>
  <c r="W326" i="10" s="1"/>
  <c r="P326" i="10"/>
  <c r="I327" i="10" s="1"/>
  <c r="K262" i="2"/>
  <c r="L262" i="2"/>
  <c r="X262" i="2" l="1"/>
  <c r="Y262" i="2"/>
  <c r="J262" i="2"/>
  <c r="K327" i="10"/>
  <c r="L327" i="10"/>
  <c r="Y327" i="10" l="1"/>
  <c r="J327" i="10"/>
  <c r="X327" i="10"/>
  <c r="T262" i="2"/>
  <c r="W262" i="2" s="1"/>
  <c r="P262" i="2"/>
  <c r="I263" i="2" s="1"/>
  <c r="K263" i="2" l="1"/>
  <c r="L263" i="2"/>
  <c r="T327" i="10"/>
  <c r="W327" i="10" s="1"/>
  <c r="P327" i="10"/>
  <c r="I328" i="10" s="1"/>
  <c r="K328" i="10" l="1"/>
  <c r="L328" i="10"/>
  <c r="J263" i="2"/>
  <c r="X263" i="2"/>
  <c r="Y263" i="2"/>
  <c r="T263" i="2" l="1"/>
  <c r="W263" i="2" s="1"/>
  <c r="P263" i="2"/>
  <c r="I264" i="2" s="1"/>
  <c r="J328" i="10"/>
  <c r="X328" i="10"/>
  <c r="Y328" i="10"/>
  <c r="T328" i="10" l="1"/>
  <c r="W328" i="10" s="1"/>
  <c r="P328" i="10"/>
  <c r="I329" i="10" s="1"/>
  <c r="K264" i="2"/>
  <c r="L264" i="2"/>
  <c r="X264" i="2" l="1"/>
  <c r="Y264" i="2"/>
  <c r="J264" i="2"/>
  <c r="L329" i="10"/>
  <c r="K329" i="10"/>
  <c r="X329" i="10" l="1"/>
  <c r="J329" i="10"/>
  <c r="Y329" i="10"/>
  <c r="T264" i="2"/>
  <c r="W264" i="2" s="1"/>
  <c r="P264" i="2"/>
  <c r="I265" i="2" s="1"/>
  <c r="K265" i="2" l="1"/>
  <c r="L265" i="2"/>
  <c r="T329" i="10"/>
  <c r="W329" i="10" s="1"/>
  <c r="P329" i="10"/>
  <c r="I330" i="10" s="1"/>
  <c r="L330" i="10" l="1"/>
  <c r="K330" i="10"/>
  <c r="X265" i="2"/>
  <c r="Y265" i="2"/>
  <c r="J265" i="2"/>
  <c r="T265" i="2" l="1"/>
  <c r="W265" i="2" s="1"/>
  <c r="P265" i="2"/>
  <c r="I266" i="2" s="1"/>
  <c r="X330" i="10"/>
  <c r="J330" i="10"/>
  <c r="Y330" i="10"/>
  <c r="T330" i="10" l="1"/>
  <c r="W330" i="10" s="1"/>
  <c r="P330" i="10"/>
  <c r="I331" i="10" s="1"/>
  <c r="K266" i="2"/>
  <c r="L266" i="2"/>
  <c r="X266" i="2" l="1"/>
  <c r="Y266" i="2"/>
  <c r="J266" i="2"/>
  <c r="K331" i="10"/>
  <c r="L331" i="10"/>
  <c r="J331" i="10" l="1"/>
  <c r="Y331" i="10"/>
  <c r="X331" i="10"/>
  <c r="T266" i="2"/>
  <c r="W266" i="2" s="1"/>
  <c r="P266" i="2"/>
  <c r="I267" i="2" s="1"/>
  <c r="K267" i="2" l="1"/>
  <c r="L267" i="2"/>
  <c r="T331" i="10"/>
  <c r="W331" i="10" s="1"/>
  <c r="P331" i="10"/>
  <c r="I332" i="10" s="1"/>
  <c r="K332" i="10" l="1"/>
  <c r="L332" i="10"/>
  <c r="J267" i="2"/>
  <c r="Y267" i="2"/>
  <c r="X267" i="2"/>
  <c r="T267" i="2" l="1"/>
  <c r="W267" i="2" s="1"/>
  <c r="P267" i="2"/>
  <c r="I268" i="2" s="1"/>
  <c r="J332" i="10"/>
  <c r="X332" i="10"/>
  <c r="Y332" i="10"/>
  <c r="T332" i="10" l="1"/>
  <c r="W332" i="10" s="1"/>
  <c r="P332" i="10"/>
  <c r="I333" i="10" s="1"/>
  <c r="K268" i="2"/>
  <c r="L268" i="2"/>
  <c r="J268" i="2" l="1"/>
  <c r="X268" i="2"/>
  <c r="Y268" i="2"/>
  <c r="K333" i="10"/>
  <c r="L333" i="10"/>
  <c r="Y333" i="10" l="1"/>
  <c r="J333" i="10"/>
  <c r="X333" i="10"/>
  <c r="T268" i="2"/>
  <c r="W268" i="2" s="1"/>
  <c r="P268" i="2"/>
  <c r="I269" i="2" s="1"/>
  <c r="K269" i="2" l="1"/>
  <c r="L269" i="2"/>
  <c r="T333" i="10"/>
  <c r="W333" i="10" s="1"/>
  <c r="P333" i="10"/>
  <c r="I334" i="10" s="1"/>
  <c r="L334" i="10" l="1"/>
  <c r="K334" i="10"/>
  <c r="X269" i="2"/>
  <c r="Y269" i="2"/>
  <c r="J269" i="2"/>
  <c r="T269" i="2" l="1"/>
  <c r="W269" i="2" s="1"/>
  <c r="P269" i="2"/>
  <c r="I270" i="2" s="1"/>
  <c r="J334" i="10"/>
  <c r="X334" i="10"/>
  <c r="Y334" i="10"/>
  <c r="T334" i="10" l="1"/>
  <c r="W334" i="10" s="1"/>
  <c r="P334" i="10"/>
  <c r="I335" i="10" s="1"/>
  <c r="K270" i="2"/>
  <c r="L270" i="2"/>
  <c r="J270" i="2" l="1"/>
  <c r="X270" i="2"/>
  <c r="Y270" i="2"/>
  <c r="L335" i="10"/>
  <c r="K335" i="10"/>
  <c r="J335" i="10" l="1"/>
  <c r="Y335" i="10"/>
  <c r="X335" i="10"/>
  <c r="T270" i="2"/>
  <c r="W270" i="2" s="1"/>
  <c r="P270" i="2"/>
  <c r="I271" i="2" s="1"/>
  <c r="K271" i="2" l="1"/>
  <c r="L271" i="2"/>
  <c r="T335" i="10"/>
  <c r="W335" i="10" s="1"/>
  <c r="P335" i="10"/>
  <c r="I336" i="10" s="1"/>
  <c r="L336" i="10" l="1"/>
  <c r="K336" i="10"/>
  <c r="J271" i="2"/>
  <c r="X271" i="2"/>
  <c r="Y271" i="2"/>
  <c r="T271" i="2" l="1"/>
  <c r="W271" i="2" s="1"/>
  <c r="P271" i="2"/>
  <c r="I272" i="2" s="1"/>
  <c r="J336" i="10"/>
  <c r="X336" i="10"/>
  <c r="Y336" i="10"/>
  <c r="T336" i="10" l="1"/>
  <c r="W336" i="10" s="1"/>
  <c r="P336" i="10"/>
  <c r="I337" i="10" s="1"/>
  <c r="K272" i="2"/>
  <c r="L272" i="2"/>
  <c r="J272" i="2" l="1"/>
  <c r="X272" i="2"/>
  <c r="Y272" i="2"/>
  <c r="K337" i="10"/>
  <c r="L337" i="10"/>
  <c r="J337" i="10" l="1"/>
  <c r="Y337" i="10"/>
  <c r="X337" i="10"/>
  <c r="T272" i="2"/>
  <c r="W272" i="2" s="1"/>
  <c r="P272" i="2"/>
  <c r="I273" i="2" s="1"/>
  <c r="K273" i="2" l="1"/>
  <c r="L273" i="2"/>
  <c r="T337" i="10"/>
  <c r="W337" i="10" s="1"/>
  <c r="P337" i="10"/>
  <c r="I338" i="10" s="1"/>
  <c r="K338" i="10" l="1"/>
  <c r="L338" i="10"/>
  <c r="X273" i="2"/>
  <c r="Y273" i="2"/>
  <c r="J273" i="2"/>
  <c r="T273" i="2" l="1"/>
  <c r="W273" i="2" s="1"/>
  <c r="P273" i="2"/>
  <c r="I274" i="2" s="1"/>
  <c r="J338" i="10"/>
  <c r="X338" i="10"/>
  <c r="Y338" i="10"/>
  <c r="T338" i="10" l="1"/>
  <c r="W338" i="10" s="1"/>
  <c r="P338" i="10"/>
  <c r="I339" i="10" s="1"/>
  <c r="K274" i="2"/>
  <c r="L274" i="2"/>
  <c r="J274" i="2" l="1"/>
  <c r="X274" i="2"/>
  <c r="Y274" i="2"/>
  <c r="L339" i="10"/>
  <c r="K339" i="10"/>
  <c r="J339" i="10" l="1"/>
  <c r="Y339" i="10"/>
  <c r="X339" i="10"/>
  <c r="T274" i="2"/>
  <c r="W274" i="2" s="1"/>
  <c r="P274" i="2"/>
  <c r="I275" i="2" s="1"/>
  <c r="K275" i="2" l="1"/>
  <c r="L275" i="2"/>
  <c r="T339" i="10"/>
  <c r="W339" i="10" s="1"/>
  <c r="P339" i="10"/>
  <c r="I340" i="10" s="1"/>
  <c r="K340" i="10" l="1"/>
  <c r="L340" i="10"/>
  <c r="X275" i="2"/>
  <c r="Y275" i="2"/>
  <c r="J275" i="2"/>
  <c r="T275" i="2" l="1"/>
  <c r="W275" i="2" s="1"/>
  <c r="P275" i="2"/>
  <c r="I276" i="2" s="1"/>
  <c r="J340" i="10"/>
  <c r="X340" i="10"/>
  <c r="Y340" i="10"/>
  <c r="T340" i="10" l="1"/>
  <c r="W340" i="10" s="1"/>
  <c r="P340" i="10"/>
  <c r="I341" i="10" s="1"/>
  <c r="K276" i="2"/>
  <c r="L276" i="2"/>
  <c r="X276" i="2" l="1"/>
  <c r="J276" i="2"/>
  <c r="Y276" i="2"/>
  <c r="K341" i="10"/>
  <c r="L341" i="10"/>
  <c r="J341" i="10" l="1"/>
  <c r="Y341" i="10"/>
  <c r="X341" i="10"/>
  <c r="T276" i="2"/>
  <c r="W276" i="2" s="1"/>
  <c r="P276" i="2"/>
  <c r="I277" i="2" s="1"/>
  <c r="K277" i="2" l="1"/>
  <c r="L277" i="2"/>
  <c r="T341" i="10"/>
  <c r="W341" i="10" s="1"/>
  <c r="P341" i="10"/>
  <c r="I342" i="10" s="1"/>
  <c r="L342" i="10" l="1"/>
  <c r="K342" i="10"/>
  <c r="J277" i="2"/>
  <c r="Y277" i="2"/>
  <c r="X277" i="2"/>
  <c r="T277" i="2" l="1"/>
  <c r="W277" i="2" s="1"/>
  <c r="P277" i="2"/>
  <c r="I278" i="2" s="1"/>
  <c r="X342" i="10"/>
  <c r="Y342" i="10"/>
  <c r="J342" i="10"/>
  <c r="T342" i="10" l="1"/>
  <c r="W342" i="10" s="1"/>
  <c r="P342" i="10"/>
  <c r="I343" i="10" s="1"/>
  <c r="K278" i="2"/>
  <c r="L278" i="2"/>
  <c r="Y278" i="2" l="1"/>
  <c r="X278" i="2"/>
  <c r="J278" i="2"/>
  <c r="L343" i="10"/>
  <c r="K343" i="10"/>
  <c r="J343" i="10" l="1"/>
  <c r="Y343" i="10"/>
  <c r="X343" i="10"/>
  <c r="T278" i="2"/>
  <c r="W278" i="2" s="1"/>
  <c r="P278" i="2"/>
  <c r="I279" i="2" s="1"/>
  <c r="K279" i="2" l="1"/>
  <c r="L279" i="2"/>
  <c r="T343" i="10"/>
  <c r="W343" i="10" s="1"/>
  <c r="P343" i="10"/>
  <c r="I344" i="10" s="1"/>
  <c r="K344" i="10" l="1"/>
  <c r="L344" i="10"/>
  <c r="J279" i="2"/>
  <c r="X279" i="2"/>
  <c r="Y279" i="2"/>
  <c r="T279" i="2" l="1"/>
  <c r="W279" i="2" s="1"/>
  <c r="P279" i="2"/>
  <c r="I280" i="2" s="1"/>
  <c r="J344" i="10"/>
  <c r="Y344" i="10"/>
  <c r="X344" i="10"/>
  <c r="T344" i="10" l="1"/>
  <c r="W344" i="10" s="1"/>
  <c r="P344" i="10"/>
  <c r="I345" i="10" s="1"/>
  <c r="K280" i="2"/>
  <c r="L280" i="2"/>
  <c r="X280" i="2" l="1"/>
  <c r="Y280" i="2"/>
  <c r="J280" i="2"/>
  <c r="K345" i="10"/>
  <c r="L345" i="10"/>
  <c r="J345" i="10" l="1"/>
  <c r="Y345" i="10"/>
  <c r="X345" i="10"/>
  <c r="T280" i="2"/>
  <c r="W280" i="2" s="1"/>
  <c r="P280" i="2"/>
  <c r="I281" i="2" s="1"/>
  <c r="K281" i="2" l="1"/>
  <c r="L281" i="2"/>
  <c r="T345" i="10"/>
  <c r="W345" i="10" s="1"/>
  <c r="P345" i="10"/>
  <c r="I346" i="10" s="1"/>
  <c r="K346" i="10" l="1"/>
  <c r="L346" i="10"/>
  <c r="J281" i="2"/>
  <c r="X281" i="2"/>
  <c r="Y281" i="2"/>
  <c r="T281" i="2" l="1"/>
  <c r="W281" i="2" s="1"/>
  <c r="P281" i="2"/>
  <c r="I282" i="2" s="1"/>
  <c r="J346" i="10"/>
  <c r="Y346" i="10"/>
  <c r="X346" i="10"/>
  <c r="T346" i="10" l="1"/>
  <c r="W346" i="10" s="1"/>
  <c r="P346" i="10"/>
  <c r="I347" i="10" s="1"/>
  <c r="K282" i="2"/>
  <c r="L282" i="2"/>
  <c r="X282" i="2" l="1"/>
  <c r="Y282" i="2"/>
  <c r="J282" i="2"/>
  <c r="L347" i="10"/>
  <c r="K347" i="10"/>
  <c r="J347" i="10" l="1"/>
  <c r="Y347" i="10"/>
  <c r="X347" i="10"/>
  <c r="T282" i="2"/>
  <c r="W282" i="2" s="1"/>
  <c r="P282" i="2"/>
  <c r="I283" i="2" s="1"/>
  <c r="K283" i="2" l="1"/>
  <c r="L283" i="2"/>
  <c r="T347" i="10"/>
  <c r="W347" i="10" s="1"/>
  <c r="P347" i="10"/>
  <c r="I348" i="10" s="1"/>
  <c r="L348" i="10" l="1"/>
  <c r="K348" i="10"/>
  <c r="X283" i="2"/>
  <c r="Y283" i="2"/>
  <c r="J283" i="2"/>
  <c r="T283" i="2" l="1"/>
  <c r="W283" i="2" s="1"/>
  <c r="P283" i="2"/>
  <c r="I284" i="2" s="1"/>
  <c r="J348" i="10"/>
  <c r="X348" i="10"/>
  <c r="Y348" i="10"/>
  <c r="T348" i="10" l="1"/>
  <c r="W348" i="10" s="1"/>
  <c r="P348" i="10"/>
  <c r="I349" i="10" s="1"/>
  <c r="K284" i="2"/>
  <c r="L284" i="2"/>
  <c r="J284" i="2" l="1"/>
  <c r="X284" i="2"/>
  <c r="Y284" i="2"/>
  <c r="L349" i="10"/>
  <c r="K349" i="10"/>
  <c r="J349" i="10" l="1"/>
  <c r="Y349" i="10"/>
  <c r="X349" i="10"/>
  <c r="T284" i="2"/>
  <c r="W284" i="2" s="1"/>
  <c r="P284" i="2"/>
  <c r="I285" i="2" s="1"/>
  <c r="K285" i="2" l="1"/>
  <c r="L285" i="2"/>
  <c r="T349" i="10"/>
  <c r="W349" i="10" s="1"/>
  <c r="P349" i="10"/>
  <c r="I350" i="10" s="1"/>
  <c r="L350" i="10" l="1"/>
  <c r="K350" i="10"/>
  <c r="X285" i="2"/>
  <c r="Y285" i="2"/>
  <c r="J285" i="2"/>
  <c r="T285" i="2" l="1"/>
  <c r="W285" i="2" s="1"/>
  <c r="P285" i="2"/>
  <c r="I286" i="2" s="1"/>
  <c r="J350" i="10"/>
  <c r="Y350" i="10"/>
  <c r="X350" i="10"/>
  <c r="T350" i="10" l="1"/>
  <c r="W350" i="10" s="1"/>
  <c r="P350" i="10"/>
  <c r="I351" i="10" s="1"/>
  <c r="K286" i="2"/>
  <c r="L286" i="2"/>
  <c r="J286" i="2" l="1"/>
  <c r="X286" i="2"/>
  <c r="Y286" i="2"/>
  <c r="L351" i="10"/>
  <c r="K351" i="10"/>
  <c r="J351" i="10" l="1"/>
  <c r="Y351" i="10"/>
  <c r="X351" i="10"/>
  <c r="T286" i="2"/>
  <c r="W286" i="2" s="1"/>
  <c r="P286" i="2"/>
  <c r="I287" i="2" s="1"/>
  <c r="K287" i="2" l="1"/>
  <c r="L287" i="2"/>
  <c r="T351" i="10"/>
  <c r="W351" i="10" s="1"/>
  <c r="P351" i="10"/>
  <c r="I352" i="10" s="1"/>
  <c r="K352" i="10" l="1"/>
  <c r="L352" i="10"/>
  <c r="J287" i="2"/>
  <c r="X287" i="2"/>
  <c r="Y287" i="2"/>
  <c r="T287" i="2" l="1"/>
  <c r="W287" i="2" s="1"/>
  <c r="P287" i="2"/>
  <c r="I288" i="2" s="1"/>
  <c r="J352" i="10"/>
  <c r="X352" i="10"/>
  <c r="Y352" i="10"/>
  <c r="T352" i="10" l="1"/>
  <c r="W352" i="10" s="1"/>
  <c r="P352" i="10"/>
  <c r="I353" i="10" s="1"/>
  <c r="K288" i="2"/>
  <c r="L288" i="2"/>
  <c r="X288" i="2" l="1"/>
  <c r="Y288" i="2"/>
  <c r="J288" i="2"/>
  <c r="K353" i="10"/>
  <c r="L353" i="10"/>
  <c r="J353" i="10" l="1"/>
  <c r="Y353" i="10"/>
  <c r="X353" i="10"/>
  <c r="T288" i="2"/>
  <c r="W288" i="2" s="1"/>
  <c r="P288" i="2"/>
  <c r="I289" i="2" s="1"/>
  <c r="K289" i="2" l="1"/>
  <c r="L289" i="2"/>
  <c r="T353" i="10"/>
  <c r="W353" i="10" s="1"/>
  <c r="P353" i="10"/>
  <c r="I354" i="10" s="1"/>
  <c r="X289" i="2" l="1"/>
  <c r="Y289" i="2"/>
  <c r="J289" i="2"/>
  <c r="L354" i="10"/>
  <c r="K354" i="10"/>
  <c r="X354" i="10" l="1"/>
  <c r="J354" i="10"/>
  <c r="Y354" i="10"/>
  <c r="T289" i="2"/>
  <c r="W289" i="2" s="1"/>
  <c r="P289" i="2"/>
  <c r="I290" i="2" s="1"/>
  <c r="K290" i="2" l="1"/>
  <c r="L290" i="2"/>
  <c r="T354" i="10"/>
  <c r="W354" i="10" s="1"/>
  <c r="P354" i="10"/>
  <c r="I355" i="10" s="1"/>
  <c r="K355" i="10" l="1"/>
  <c r="L355" i="10"/>
  <c r="Y290" i="2"/>
  <c r="X290" i="2"/>
  <c r="J290" i="2"/>
  <c r="J355" i="10" l="1"/>
  <c r="Y355" i="10"/>
  <c r="X355" i="10"/>
  <c r="T290" i="2"/>
  <c r="W290" i="2" s="1"/>
  <c r="P290" i="2"/>
  <c r="I291" i="2" s="1"/>
  <c r="K291" i="2" l="1"/>
  <c r="L291" i="2"/>
  <c r="T355" i="10"/>
  <c r="W355" i="10" s="1"/>
  <c r="P355" i="10"/>
  <c r="I356" i="10" s="1"/>
  <c r="K356" i="10" l="1"/>
  <c r="L356" i="10"/>
  <c r="J291" i="2"/>
  <c r="X291" i="2"/>
  <c r="Y291" i="2"/>
  <c r="T291" i="2" l="1"/>
  <c r="W291" i="2" s="1"/>
  <c r="P291" i="2"/>
  <c r="I292" i="2" s="1"/>
  <c r="J356" i="10"/>
  <c r="X356" i="10"/>
  <c r="Y356" i="10"/>
  <c r="T356" i="10" l="1"/>
  <c r="W356" i="10" s="1"/>
  <c r="P356" i="10"/>
  <c r="I357" i="10" s="1"/>
  <c r="K292" i="2"/>
  <c r="L292" i="2"/>
  <c r="Y292" i="2" l="1"/>
  <c r="J292" i="2"/>
  <c r="X292" i="2"/>
  <c r="K357" i="10"/>
  <c r="L357" i="10"/>
  <c r="J357" i="10" l="1"/>
  <c r="Y357" i="10"/>
  <c r="X357" i="10"/>
  <c r="T292" i="2"/>
  <c r="W292" i="2" s="1"/>
  <c r="P292" i="2"/>
  <c r="I293" i="2" s="1"/>
  <c r="K293" i="2" l="1"/>
  <c r="L293" i="2"/>
  <c r="T357" i="10"/>
  <c r="W357" i="10" s="1"/>
  <c r="P357" i="10"/>
  <c r="I358" i="10" s="1"/>
  <c r="K358" i="10" l="1"/>
  <c r="L358" i="10"/>
  <c r="X293" i="2"/>
  <c r="Y293" i="2"/>
  <c r="J293" i="2"/>
  <c r="T293" i="2" l="1"/>
  <c r="W293" i="2" s="1"/>
  <c r="P293" i="2"/>
  <c r="I294" i="2" s="1"/>
  <c r="J358" i="10"/>
  <c r="Y358" i="10"/>
  <c r="X358" i="10"/>
  <c r="K294" i="2" l="1"/>
  <c r="L294" i="2"/>
  <c r="T358" i="10"/>
  <c r="W358" i="10" s="1"/>
  <c r="P358" i="10"/>
  <c r="I359" i="10" s="1"/>
  <c r="L359" i="10" l="1"/>
  <c r="K359" i="10"/>
  <c r="J294" i="2"/>
  <c r="X294" i="2"/>
  <c r="Y294" i="2"/>
  <c r="T294" i="2" l="1"/>
  <c r="W294" i="2" s="1"/>
  <c r="P294" i="2"/>
  <c r="I295" i="2" s="1"/>
  <c r="J359" i="10"/>
  <c r="Y359" i="10"/>
  <c r="X359" i="10"/>
  <c r="T359" i="10" l="1"/>
  <c r="W359" i="10" s="1"/>
  <c r="P359" i="10"/>
  <c r="I360" i="10" s="1"/>
  <c r="K295" i="2"/>
  <c r="L295" i="2"/>
  <c r="J295" i="2" l="1"/>
  <c r="Y295" i="2"/>
  <c r="X295" i="2"/>
  <c r="K360" i="10"/>
  <c r="L360" i="10"/>
  <c r="J360" i="10" l="1"/>
  <c r="X360" i="10"/>
  <c r="Y360" i="10"/>
  <c r="T295" i="2"/>
  <c r="W295" i="2" s="1"/>
  <c r="P295" i="2"/>
  <c r="I296" i="2" s="1"/>
  <c r="K296" i="2" l="1"/>
  <c r="L296" i="2"/>
  <c r="T360" i="10"/>
  <c r="W360" i="10" s="1"/>
  <c r="P360" i="10"/>
  <c r="I361" i="10" s="1"/>
  <c r="K361" i="10" l="1"/>
  <c r="L361" i="10"/>
  <c r="X296" i="2"/>
  <c r="J296" i="2"/>
  <c r="Y296" i="2"/>
  <c r="T296" i="2" l="1"/>
  <c r="W296" i="2" s="1"/>
  <c r="P296" i="2"/>
  <c r="I297" i="2" s="1"/>
  <c r="J361" i="10"/>
  <c r="Y361" i="10"/>
  <c r="X361" i="10"/>
  <c r="T361" i="10" l="1"/>
  <c r="W361" i="10" s="1"/>
  <c r="P361" i="10"/>
  <c r="I362" i="10" s="1"/>
  <c r="K297" i="2"/>
  <c r="L297" i="2"/>
  <c r="X297" i="2" l="1"/>
  <c r="J297" i="2"/>
  <c r="Y297" i="2"/>
  <c r="L362" i="10"/>
  <c r="K362" i="10"/>
  <c r="J362" i="10" l="1"/>
  <c r="Y362" i="10"/>
  <c r="X362" i="10"/>
  <c r="T297" i="2"/>
  <c r="W297" i="2" s="1"/>
  <c r="P297" i="2"/>
  <c r="I298" i="2" s="1"/>
  <c r="K298" i="2" l="1"/>
  <c r="L298" i="2"/>
  <c r="T362" i="10"/>
  <c r="W362" i="10" s="1"/>
  <c r="P362" i="10"/>
  <c r="I363" i="10" s="1"/>
  <c r="L363" i="10" l="1"/>
  <c r="K363" i="10"/>
  <c r="J298" i="2"/>
  <c r="X298" i="2"/>
  <c r="Y298" i="2"/>
  <c r="T298" i="2" l="1"/>
  <c r="W298" i="2" s="1"/>
  <c r="P298" i="2"/>
  <c r="I299" i="2" s="1"/>
  <c r="J363" i="10"/>
  <c r="Y363" i="10"/>
  <c r="X363" i="10"/>
  <c r="T363" i="10" l="1"/>
  <c r="W363" i="10" s="1"/>
  <c r="P363" i="10"/>
  <c r="I364" i="10" s="1"/>
  <c r="K299" i="2"/>
  <c r="L299" i="2"/>
  <c r="J299" i="2" l="1"/>
  <c r="X299" i="2"/>
  <c r="Y299" i="2"/>
  <c r="K364" i="10"/>
  <c r="L364" i="10"/>
  <c r="J364" i="10" l="1"/>
  <c r="X364" i="10"/>
  <c r="Y364" i="10"/>
  <c r="T299" i="2"/>
  <c r="W299" i="2" s="1"/>
  <c r="P299" i="2"/>
  <c r="I300" i="2" s="1"/>
  <c r="K300" i="2" l="1"/>
  <c r="L300" i="2"/>
  <c r="T364" i="10"/>
  <c r="W364" i="10" s="1"/>
  <c r="P364" i="10"/>
  <c r="I365" i="10" s="1"/>
  <c r="L365" i="10" l="1"/>
  <c r="K365" i="10"/>
  <c r="X300" i="2"/>
  <c r="Y300" i="2"/>
  <c r="J300" i="2"/>
  <c r="T300" i="2" l="1"/>
  <c r="W300" i="2" s="1"/>
  <c r="P300" i="2"/>
  <c r="I301" i="2" s="1"/>
  <c r="J365" i="10"/>
  <c r="Y365" i="10"/>
  <c r="X365" i="10"/>
  <c r="T365" i="10" l="1"/>
  <c r="W365" i="10" s="1"/>
  <c r="P365" i="10"/>
  <c r="I366" i="10" s="1"/>
  <c r="K301" i="2"/>
  <c r="L301" i="2"/>
  <c r="X301" i="2" l="1"/>
  <c r="Y301" i="2"/>
  <c r="J301" i="2"/>
  <c r="K366" i="10"/>
  <c r="L366" i="10"/>
  <c r="J366" i="10" l="1"/>
  <c r="X366" i="10"/>
  <c r="Y366" i="10"/>
  <c r="T301" i="2"/>
  <c r="W301" i="2" s="1"/>
  <c r="P301" i="2"/>
  <c r="I302" i="2" s="1"/>
  <c r="K302" i="2" l="1"/>
  <c r="L302" i="2"/>
  <c r="T366" i="10"/>
  <c r="W366" i="10" s="1"/>
  <c r="P366" i="10"/>
  <c r="I367" i="10" s="1"/>
  <c r="X302" i="2" l="1"/>
  <c r="Y302" i="2"/>
  <c r="J302" i="2"/>
  <c r="L367" i="10"/>
  <c r="K367" i="10"/>
  <c r="J367" i="10" l="1"/>
  <c r="Y367" i="10"/>
  <c r="X367" i="10"/>
  <c r="T302" i="2"/>
  <c r="W302" i="2" s="1"/>
  <c r="P302" i="2"/>
  <c r="I303" i="2" s="1"/>
  <c r="K303" i="2" l="1"/>
  <c r="L303" i="2"/>
  <c r="T367" i="10"/>
  <c r="W367" i="10" s="1"/>
  <c r="P367" i="10"/>
  <c r="I368" i="10" s="1"/>
  <c r="K368" i="10" l="1"/>
  <c r="L368" i="10"/>
  <c r="J303" i="2"/>
  <c r="Y303" i="2"/>
  <c r="X303" i="2"/>
  <c r="T303" i="2" l="1"/>
  <c r="W303" i="2" s="1"/>
  <c r="P303" i="2"/>
  <c r="I304" i="2" s="1"/>
  <c r="Y368" i="10"/>
  <c r="J368" i="10"/>
  <c r="X368" i="10"/>
  <c r="T368" i="10" l="1"/>
  <c r="W368" i="10" s="1"/>
  <c r="P368" i="10"/>
  <c r="I369" i="10" s="1"/>
  <c r="K304" i="2"/>
  <c r="L304" i="2"/>
  <c r="Y304" i="2" l="1"/>
  <c r="J304" i="2"/>
  <c r="X304" i="2"/>
  <c r="K369" i="10"/>
  <c r="L369" i="10"/>
  <c r="J369" i="10" l="1"/>
  <c r="X369" i="10"/>
  <c r="Y369" i="10"/>
  <c r="T304" i="2"/>
  <c r="W304" i="2" s="1"/>
  <c r="P304" i="2"/>
  <c r="I305" i="2" s="1"/>
  <c r="K305" i="2" l="1"/>
  <c r="L305" i="2"/>
  <c r="T369" i="10"/>
  <c r="W369" i="10" s="1"/>
  <c r="P369" i="10"/>
  <c r="I370" i="10" s="1"/>
  <c r="L370" i="10" l="1"/>
  <c r="K370" i="10"/>
  <c r="J305" i="2"/>
  <c r="X305" i="2"/>
  <c r="Y305" i="2"/>
  <c r="T305" i="2" l="1"/>
  <c r="W305" i="2" s="1"/>
  <c r="P305" i="2"/>
  <c r="I306" i="2" s="1"/>
  <c r="J370" i="10"/>
  <c r="Y370" i="10"/>
  <c r="X370" i="10"/>
  <c r="T370" i="10" l="1"/>
  <c r="W370" i="10" s="1"/>
  <c r="P370" i="10"/>
  <c r="I371" i="10" s="1"/>
  <c r="K306" i="2"/>
  <c r="L306" i="2"/>
  <c r="J306" i="2" l="1"/>
  <c r="X306" i="2"/>
  <c r="Y306" i="2"/>
  <c r="L371" i="10"/>
  <c r="K371" i="10"/>
  <c r="J371" i="10" l="1"/>
  <c r="Y371" i="10"/>
  <c r="X371" i="10"/>
  <c r="T306" i="2"/>
  <c r="W306" i="2" s="1"/>
  <c r="P306" i="2"/>
  <c r="I307" i="2" s="1"/>
  <c r="K307" i="2" l="1"/>
  <c r="L307" i="2"/>
  <c r="T371" i="10"/>
  <c r="W371" i="10" s="1"/>
  <c r="P371" i="10"/>
  <c r="I372" i="10" s="1"/>
  <c r="K372" i="10" l="1"/>
  <c r="L372" i="10"/>
  <c r="J307" i="2"/>
  <c r="X307" i="2"/>
  <c r="Y307" i="2"/>
  <c r="T307" i="2" l="1"/>
  <c r="W307" i="2" s="1"/>
  <c r="P307" i="2"/>
  <c r="I308" i="2" s="1"/>
  <c r="J372" i="10"/>
  <c r="X372" i="10"/>
  <c r="Y372" i="10"/>
  <c r="T372" i="10" l="1"/>
  <c r="W372" i="10" s="1"/>
  <c r="P372" i="10"/>
  <c r="I373" i="10" s="1"/>
  <c r="K308" i="2"/>
  <c r="L308" i="2"/>
  <c r="X308" i="2" l="1"/>
  <c r="Y308" i="2"/>
  <c r="J308" i="2"/>
  <c r="K373" i="10"/>
  <c r="L373" i="10"/>
  <c r="J373" i="10" l="1"/>
  <c r="Y373" i="10"/>
  <c r="X373" i="10"/>
  <c r="T308" i="2"/>
  <c r="W308" i="2" s="1"/>
  <c r="P308" i="2"/>
  <c r="I309" i="2" s="1"/>
  <c r="K309" i="2" l="1"/>
  <c r="L309" i="2"/>
  <c r="T373" i="10"/>
  <c r="W373" i="10" s="1"/>
  <c r="P373" i="10"/>
  <c r="I374" i="10" s="1"/>
  <c r="K374" i="10" l="1"/>
  <c r="L374" i="10"/>
  <c r="J309" i="2"/>
  <c r="X309" i="2"/>
  <c r="Y309" i="2"/>
  <c r="T309" i="2" l="1"/>
  <c r="W309" i="2" s="1"/>
  <c r="P309" i="2"/>
  <c r="I310" i="2" s="1"/>
  <c r="J374" i="10"/>
  <c r="Y374" i="10"/>
  <c r="X374" i="10"/>
  <c r="T374" i="10" l="1"/>
  <c r="W374" i="10" s="1"/>
  <c r="P374" i="10"/>
  <c r="I375" i="10" s="1"/>
  <c r="K310" i="2"/>
  <c r="L310" i="2"/>
  <c r="J310" i="2" l="1"/>
  <c r="X310" i="2"/>
  <c r="Y310" i="2"/>
  <c r="L375" i="10"/>
  <c r="K375" i="10"/>
  <c r="J375" i="10" l="1"/>
  <c r="Y375" i="10"/>
  <c r="X375" i="10"/>
  <c r="T310" i="2"/>
  <c r="W310" i="2" s="1"/>
  <c r="P310" i="2"/>
  <c r="I311" i="2" s="1"/>
  <c r="K311" i="2" l="1"/>
  <c r="L311" i="2"/>
  <c r="T375" i="10"/>
  <c r="W375" i="10" s="1"/>
  <c r="P375" i="10"/>
  <c r="I376" i="10" s="1"/>
  <c r="K376" i="10" l="1"/>
  <c r="L376" i="10"/>
  <c r="J311" i="2"/>
  <c r="Y311" i="2"/>
  <c r="X311" i="2"/>
  <c r="T311" i="2" l="1"/>
  <c r="W311" i="2" s="1"/>
  <c r="P311" i="2"/>
  <c r="I312" i="2" s="1"/>
  <c r="J376" i="10"/>
  <c r="X376" i="10"/>
  <c r="Y376" i="10"/>
  <c r="T376" i="10" l="1"/>
  <c r="W376" i="10" s="1"/>
  <c r="P376" i="10"/>
  <c r="I377" i="10" s="1"/>
  <c r="K312" i="2"/>
  <c r="L312" i="2"/>
  <c r="J312" i="2" l="1"/>
  <c r="X312" i="2"/>
  <c r="Y312" i="2"/>
  <c r="L377" i="10"/>
  <c r="K377" i="10"/>
  <c r="J377" i="10" l="1"/>
  <c r="Y377" i="10"/>
  <c r="X377" i="10"/>
  <c r="T312" i="2"/>
  <c r="W312" i="2" s="1"/>
  <c r="P312" i="2"/>
  <c r="I313" i="2" s="1"/>
  <c r="K313" i="2" l="1"/>
  <c r="L313" i="2"/>
  <c r="T377" i="10"/>
  <c r="W377" i="10" s="1"/>
  <c r="P377" i="10"/>
  <c r="I378" i="10" s="1"/>
  <c r="L378" i="10" l="1"/>
  <c r="K378" i="10"/>
  <c r="J313" i="2"/>
  <c r="X313" i="2"/>
  <c r="Y313" i="2"/>
  <c r="T313" i="2" l="1"/>
  <c r="W313" i="2" s="1"/>
  <c r="P313" i="2"/>
  <c r="I314" i="2" s="1"/>
  <c r="J378" i="10"/>
  <c r="Y378" i="10"/>
  <c r="X378" i="10"/>
  <c r="T378" i="10" l="1"/>
  <c r="W378" i="10" s="1"/>
  <c r="P378" i="10"/>
  <c r="I379" i="10" s="1"/>
  <c r="K314" i="2"/>
  <c r="L314" i="2"/>
  <c r="J314" i="2" l="1"/>
  <c r="X314" i="2"/>
  <c r="Y314" i="2"/>
  <c r="K379" i="10"/>
  <c r="L379" i="10"/>
  <c r="J379" i="10" l="1"/>
  <c r="Y379" i="10"/>
  <c r="X379" i="10"/>
  <c r="T314" i="2"/>
  <c r="W314" i="2" s="1"/>
  <c r="P314" i="2"/>
  <c r="I315" i="2" s="1"/>
  <c r="K315" i="2" l="1"/>
  <c r="L315" i="2"/>
  <c r="T379" i="10"/>
  <c r="W379" i="10" s="1"/>
  <c r="P379" i="10"/>
  <c r="I380" i="10" s="1"/>
  <c r="L380" i="10" l="1"/>
  <c r="K380" i="10"/>
  <c r="X315" i="2"/>
  <c r="Y315" i="2"/>
  <c r="J315" i="2"/>
  <c r="T315" i="2" l="1"/>
  <c r="W315" i="2" s="1"/>
  <c r="P315" i="2"/>
  <c r="I316" i="2" s="1"/>
  <c r="Y380" i="10"/>
  <c r="J380" i="10"/>
  <c r="X380" i="10"/>
  <c r="T380" i="10" l="1"/>
  <c r="W380" i="10" s="1"/>
  <c r="P380" i="10"/>
  <c r="I381" i="10" s="1"/>
  <c r="K316" i="2"/>
  <c r="L316" i="2"/>
  <c r="X316" i="2" l="1"/>
  <c r="Y316" i="2"/>
  <c r="J316" i="2"/>
  <c r="K381" i="10"/>
  <c r="L381" i="10"/>
  <c r="J381" i="10" l="1"/>
  <c r="Y381" i="10"/>
  <c r="X381" i="10"/>
  <c r="T316" i="2"/>
  <c r="W316" i="2" s="1"/>
  <c r="P316" i="2"/>
  <c r="I317" i="2" s="1"/>
  <c r="K317" i="2" l="1"/>
  <c r="L317" i="2"/>
  <c r="T381" i="10"/>
  <c r="W381" i="10" s="1"/>
  <c r="P381" i="10"/>
  <c r="I382" i="10" s="1"/>
  <c r="K382" i="10" l="1"/>
  <c r="L382" i="10"/>
  <c r="J317" i="2"/>
  <c r="X317" i="2"/>
  <c r="Y317" i="2"/>
  <c r="T317" i="2" l="1"/>
  <c r="W317" i="2" s="1"/>
  <c r="P317" i="2"/>
  <c r="I318" i="2" s="1"/>
  <c r="J382" i="10"/>
  <c r="Y382" i="10"/>
  <c r="X382" i="10"/>
  <c r="T382" i="10" l="1"/>
  <c r="W382" i="10" s="1"/>
  <c r="P382" i="10"/>
  <c r="I383" i="10" s="1"/>
  <c r="K318" i="2"/>
  <c r="L318" i="2"/>
  <c r="J318" i="2" l="1"/>
  <c r="Y318" i="2"/>
  <c r="X318" i="2"/>
  <c r="L383" i="10"/>
  <c r="K383" i="10"/>
  <c r="J383" i="10" l="1"/>
  <c r="Y383" i="10"/>
  <c r="X383" i="10"/>
  <c r="T318" i="2"/>
  <c r="W318" i="2" s="1"/>
  <c r="P318" i="2"/>
  <c r="I319" i="2" s="1"/>
  <c r="K319" i="2" l="1"/>
  <c r="L319" i="2"/>
  <c r="T383" i="10"/>
  <c r="W383" i="10" s="1"/>
  <c r="P383" i="10"/>
  <c r="I384" i="10" s="1"/>
  <c r="K384" i="10" l="1"/>
  <c r="L384" i="10"/>
  <c r="J319" i="2"/>
  <c r="X319" i="2"/>
  <c r="Y319" i="2"/>
  <c r="T319" i="2" l="1"/>
  <c r="W319" i="2" s="1"/>
  <c r="P319" i="2"/>
  <c r="I320" i="2" s="1"/>
  <c r="J384" i="10"/>
  <c r="Y384" i="10"/>
  <c r="X384" i="10"/>
  <c r="T384" i="10" l="1"/>
  <c r="W384" i="10" s="1"/>
  <c r="P384" i="10"/>
  <c r="I385" i="10" s="1"/>
  <c r="K320" i="2"/>
  <c r="L320" i="2"/>
  <c r="X320" i="2" l="1"/>
  <c r="Y320" i="2"/>
  <c r="J320" i="2"/>
  <c r="L385" i="10"/>
  <c r="K385" i="10"/>
  <c r="Y385" i="10" l="1"/>
  <c r="X385" i="10"/>
  <c r="J385" i="10"/>
  <c r="T320" i="2"/>
  <c r="W320" i="2" s="1"/>
  <c r="P320" i="2"/>
  <c r="I321" i="2" s="1"/>
  <c r="K321" i="2" l="1"/>
  <c r="L321" i="2"/>
  <c r="T385" i="10"/>
  <c r="W385" i="10" s="1"/>
  <c r="P385" i="10"/>
  <c r="I386" i="10" s="1"/>
  <c r="K386" i="10" l="1"/>
  <c r="L386" i="10"/>
  <c r="J321" i="2"/>
  <c r="X321" i="2"/>
  <c r="Y321" i="2"/>
  <c r="T321" i="2" l="1"/>
  <c r="W321" i="2" s="1"/>
  <c r="P321" i="2"/>
  <c r="I322" i="2" s="1"/>
  <c r="J386" i="10"/>
  <c r="Y386" i="10"/>
  <c r="X386" i="10"/>
  <c r="T386" i="10" l="1"/>
  <c r="W386" i="10" s="1"/>
  <c r="P386" i="10"/>
  <c r="I387" i="10" s="1"/>
  <c r="K322" i="2"/>
  <c r="L322" i="2"/>
  <c r="X322" i="2" l="1"/>
  <c r="Y322" i="2"/>
  <c r="J322" i="2"/>
  <c r="K387" i="10"/>
  <c r="L387" i="10"/>
  <c r="J387" i="10" l="1"/>
  <c r="X387" i="10"/>
  <c r="Y387" i="10"/>
  <c r="T322" i="2"/>
  <c r="W322" i="2" s="1"/>
  <c r="P322" i="2"/>
  <c r="I323" i="2" s="1"/>
  <c r="K323" i="2" l="1"/>
  <c r="L323" i="2"/>
  <c r="T387" i="10"/>
  <c r="W387" i="10" s="1"/>
  <c r="P387" i="10"/>
  <c r="I388" i="10" s="1"/>
  <c r="L388" i="10" l="1"/>
  <c r="K388" i="10"/>
  <c r="Y323" i="2"/>
  <c r="X323" i="2"/>
  <c r="J323" i="2"/>
  <c r="T323" i="2" l="1"/>
  <c r="W323" i="2" s="1"/>
  <c r="P323" i="2"/>
  <c r="I324" i="2" s="1"/>
  <c r="J388" i="10"/>
  <c r="X388" i="10"/>
  <c r="Y388" i="10"/>
  <c r="T388" i="10" l="1"/>
  <c r="W388" i="10" s="1"/>
  <c r="P388" i="10"/>
  <c r="I389" i="10" s="1"/>
  <c r="K324" i="2"/>
  <c r="L324" i="2"/>
  <c r="Y324" i="2" l="1"/>
  <c r="J324" i="2"/>
  <c r="X324" i="2"/>
  <c r="K389" i="10"/>
  <c r="L389" i="10"/>
  <c r="Y389" i="10" l="1"/>
  <c r="J389" i="10"/>
  <c r="X389" i="10"/>
  <c r="T324" i="2"/>
  <c r="W324" i="2" s="1"/>
  <c r="P324" i="2"/>
  <c r="I325" i="2" s="1"/>
  <c r="K325" i="2" l="1"/>
  <c r="L325" i="2"/>
  <c r="T389" i="10"/>
  <c r="W389" i="10" s="1"/>
  <c r="P389" i="10"/>
  <c r="I390" i="10" s="1"/>
  <c r="K390" i="10" l="1"/>
  <c r="L390" i="10"/>
  <c r="X325" i="2"/>
  <c r="Y325" i="2"/>
  <c r="J325" i="2"/>
  <c r="T325" i="2" l="1"/>
  <c r="W325" i="2" s="1"/>
  <c r="P325" i="2"/>
  <c r="I326" i="2" s="1"/>
  <c r="J390" i="10"/>
  <c r="Y390" i="10"/>
  <c r="X390" i="10"/>
  <c r="T390" i="10" l="1"/>
  <c r="W390" i="10" s="1"/>
  <c r="P390" i="10"/>
  <c r="I391" i="10" s="1"/>
  <c r="K326" i="2"/>
  <c r="L326" i="2"/>
  <c r="X326" i="2" l="1"/>
  <c r="Y326" i="2"/>
  <c r="J326" i="2"/>
  <c r="K391" i="10"/>
  <c r="L391" i="10"/>
  <c r="J391" i="10" l="1"/>
  <c r="Y391" i="10"/>
  <c r="X391" i="10"/>
  <c r="T326" i="2"/>
  <c r="W326" i="2" s="1"/>
  <c r="P326" i="2"/>
  <c r="I327" i="2" s="1"/>
  <c r="K327" i="2" l="1"/>
  <c r="L327" i="2"/>
  <c r="T391" i="10"/>
  <c r="W391" i="10" s="1"/>
  <c r="P391" i="10"/>
  <c r="I392" i="10" s="1"/>
  <c r="K392" i="10" l="1"/>
  <c r="L392" i="10"/>
  <c r="X327" i="2"/>
  <c r="Y327" i="2"/>
  <c r="J327" i="2"/>
  <c r="T327" i="2" l="1"/>
  <c r="W327" i="2" s="1"/>
  <c r="P327" i="2"/>
  <c r="I328" i="2" s="1"/>
  <c r="J392" i="10"/>
  <c r="Y392" i="10"/>
  <c r="X392" i="10"/>
  <c r="T392" i="10" l="1"/>
  <c r="W392" i="10" s="1"/>
  <c r="P392" i="10"/>
  <c r="I393" i="10" s="1"/>
  <c r="K328" i="2"/>
  <c r="L328" i="2"/>
  <c r="X328" i="2" l="1"/>
  <c r="Y328" i="2"/>
  <c r="J328" i="2"/>
  <c r="L393" i="10"/>
  <c r="K393" i="10"/>
  <c r="J393" i="10" l="1"/>
  <c r="Y393" i="10"/>
  <c r="X393" i="10"/>
  <c r="T328" i="2"/>
  <c r="W328" i="2" s="1"/>
  <c r="P328" i="2"/>
  <c r="I329" i="2" s="1"/>
  <c r="K329" i="2" l="1"/>
  <c r="L329" i="2"/>
  <c r="T393" i="10"/>
  <c r="W393" i="10" s="1"/>
  <c r="P393" i="10"/>
  <c r="I394" i="10" s="1"/>
  <c r="J329" i="2" l="1"/>
  <c r="X329" i="2"/>
  <c r="Y329" i="2"/>
  <c r="K394" i="10"/>
  <c r="L394" i="10"/>
  <c r="Y394" i="10" l="1"/>
  <c r="J394" i="10"/>
  <c r="X394" i="10"/>
  <c r="T329" i="2"/>
  <c r="W329" i="2" s="1"/>
  <c r="P329" i="2"/>
  <c r="I330" i="2" s="1"/>
  <c r="K330" i="2" l="1"/>
  <c r="L330" i="2"/>
  <c r="T394" i="10"/>
  <c r="W394" i="10" s="1"/>
  <c r="P394" i="10"/>
  <c r="I395" i="10" s="1"/>
  <c r="L395" i="10" l="1"/>
  <c r="K395" i="10"/>
  <c r="X330" i="2"/>
  <c r="Y330" i="2"/>
  <c r="J330" i="2"/>
  <c r="T330" i="2" l="1"/>
  <c r="W330" i="2" s="1"/>
  <c r="P330" i="2"/>
  <c r="I331" i="2" s="1"/>
  <c r="J395" i="10"/>
  <c r="Y395" i="10"/>
  <c r="X395" i="10"/>
  <c r="T395" i="10" l="1"/>
  <c r="W395" i="10" s="1"/>
  <c r="P395" i="10"/>
  <c r="I396" i="10" s="1"/>
  <c r="K331" i="2"/>
  <c r="L331" i="2"/>
  <c r="J331" i="2" l="1"/>
  <c r="X331" i="2"/>
  <c r="Y331" i="2"/>
  <c r="L396" i="10"/>
  <c r="K396" i="10"/>
  <c r="J396" i="10" l="1"/>
  <c r="Y396" i="10"/>
  <c r="X396" i="10"/>
  <c r="T331" i="2"/>
  <c r="W331" i="2" s="1"/>
  <c r="P331" i="2"/>
  <c r="I332" i="2" s="1"/>
  <c r="K332" i="2" l="1"/>
  <c r="L332" i="2"/>
  <c r="T396" i="10"/>
  <c r="W396" i="10" s="1"/>
  <c r="P396" i="10"/>
  <c r="I397" i="10" s="1"/>
  <c r="L397" i="10" l="1"/>
  <c r="K397" i="10"/>
  <c r="J332" i="2"/>
  <c r="X332" i="2"/>
  <c r="Y332" i="2"/>
  <c r="T332" i="2" l="1"/>
  <c r="W332" i="2" s="1"/>
  <c r="P332" i="2"/>
  <c r="I333" i="2" s="1"/>
  <c r="J397" i="10"/>
  <c r="Y397" i="10"/>
  <c r="X397" i="10"/>
  <c r="H10" i="10"/>
  <c r="H15" i="10" s="1"/>
  <c r="H9" i="10"/>
  <c r="H16" i="10" l="1"/>
  <c r="H17" i="10"/>
  <c r="T397" i="10"/>
  <c r="W397" i="10" s="1"/>
  <c r="W36" i="10" s="1"/>
  <c r="W33" i="10" s="1"/>
  <c r="P397" i="10"/>
  <c r="K333" i="2"/>
  <c r="L333" i="2"/>
  <c r="J333" i="2" l="1"/>
  <c r="X333" i="2"/>
  <c r="Y333" i="2"/>
  <c r="T333" i="2" l="1"/>
  <c r="W333" i="2" s="1"/>
  <c r="P333" i="2"/>
  <c r="I334" i="2" s="1"/>
  <c r="K334" i="2" l="1"/>
  <c r="L334" i="2"/>
  <c r="X334" i="2" l="1"/>
  <c r="Y334" i="2"/>
  <c r="J334" i="2"/>
  <c r="T334" i="2" l="1"/>
  <c r="W334" i="2" s="1"/>
  <c r="P334" i="2"/>
  <c r="I335" i="2" s="1"/>
  <c r="K335" i="2" l="1"/>
  <c r="L335" i="2"/>
  <c r="J335" i="2" l="1"/>
  <c r="Y335" i="2"/>
  <c r="X335" i="2"/>
  <c r="T335" i="2" l="1"/>
  <c r="W335" i="2" s="1"/>
  <c r="P335" i="2"/>
  <c r="I336" i="2" s="1"/>
  <c r="K336" i="2" l="1"/>
  <c r="L336" i="2"/>
  <c r="J336" i="2" l="1"/>
  <c r="X336" i="2"/>
  <c r="Y336" i="2"/>
  <c r="T336" i="2" l="1"/>
  <c r="W336" i="2" s="1"/>
  <c r="P336" i="2"/>
  <c r="I337" i="2" s="1"/>
  <c r="K337" i="2" l="1"/>
  <c r="L337" i="2"/>
  <c r="J337" i="2" l="1"/>
  <c r="X337" i="2"/>
  <c r="Y337" i="2"/>
  <c r="T337" i="2" l="1"/>
  <c r="W337" i="2" s="1"/>
  <c r="P337" i="2"/>
  <c r="I338" i="2" s="1"/>
  <c r="K338" i="2" l="1"/>
  <c r="L338" i="2"/>
  <c r="J338" i="2" l="1"/>
  <c r="X338" i="2"/>
  <c r="Y338" i="2"/>
  <c r="T338" i="2" l="1"/>
  <c r="W338" i="2" s="1"/>
  <c r="P338" i="2"/>
  <c r="I339" i="2" s="1"/>
  <c r="K339" i="2" l="1"/>
  <c r="L339" i="2"/>
  <c r="J339" i="2" l="1"/>
  <c r="X339" i="2"/>
  <c r="Y339" i="2"/>
  <c r="T339" i="2" l="1"/>
  <c r="W339" i="2" s="1"/>
  <c r="P339" i="2"/>
  <c r="I340" i="2" s="1"/>
  <c r="K340" i="2" l="1"/>
  <c r="L340" i="2"/>
  <c r="X340" i="2" l="1"/>
  <c r="Y340" i="2"/>
  <c r="J340" i="2"/>
  <c r="T340" i="2" l="1"/>
  <c r="W340" i="2" s="1"/>
  <c r="P340" i="2"/>
  <c r="I341" i="2" s="1"/>
  <c r="K341" i="2" l="1"/>
  <c r="L341" i="2"/>
  <c r="Y341" i="2" l="1"/>
  <c r="X341" i="2"/>
  <c r="J341" i="2"/>
  <c r="T341" i="2" l="1"/>
  <c r="W341" i="2" s="1"/>
  <c r="P341" i="2"/>
  <c r="I342" i="2" s="1"/>
  <c r="K342" i="2" l="1"/>
  <c r="L342" i="2"/>
  <c r="X342" i="2" l="1"/>
  <c r="J342" i="2"/>
  <c r="Y342" i="2"/>
  <c r="T342" i="2" l="1"/>
  <c r="W342" i="2" s="1"/>
  <c r="P342" i="2"/>
  <c r="I343" i="2" s="1"/>
  <c r="K343" i="2" l="1"/>
  <c r="L343" i="2"/>
  <c r="X343" i="2" l="1"/>
  <c r="Y343" i="2"/>
  <c r="J343" i="2"/>
  <c r="T343" i="2" l="1"/>
  <c r="W343" i="2" s="1"/>
  <c r="P343" i="2"/>
  <c r="I344" i="2" s="1"/>
  <c r="K344" i="2" l="1"/>
  <c r="L344" i="2"/>
  <c r="J344" i="2" l="1"/>
  <c r="X344" i="2"/>
  <c r="Y344" i="2"/>
  <c r="T344" i="2" l="1"/>
  <c r="W344" i="2" s="1"/>
  <c r="P344" i="2"/>
  <c r="I345" i="2" s="1"/>
  <c r="K345" i="2" l="1"/>
  <c r="L345" i="2"/>
  <c r="J345" i="2" l="1"/>
  <c r="X345" i="2"/>
  <c r="Y345" i="2"/>
  <c r="T345" i="2" l="1"/>
  <c r="W345" i="2" s="1"/>
  <c r="P345" i="2"/>
  <c r="I346" i="2" s="1"/>
  <c r="K346" i="2" l="1"/>
  <c r="L346" i="2"/>
  <c r="J346" i="2" l="1"/>
  <c r="X346" i="2"/>
  <c r="Y346" i="2"/>
  <c r="T346" i="2" l="1"/>
  <c r="W346" i="2" s="1"/>
  <c r="P346" i="2"/>
  <c r="I347" i="2" s="1"/>
  <c r="K347" i="2" l="1"/>
  <c r="L347" i="2"/>
  <c r="X347" i="2" l="1"/>
  <c r="Y347" i="2"/>
  <c r="J347" i="2"/>
  <c r="T347" i="2" l="1"/>
  <c r="W347" i="2" s="1"/>
  <c r="P347" i="2"/>
  <c r="I348" i="2" s="1"/>
  <c r="K348" i="2" l="1"/>
  <c r="L348" i="2"/>
  <c r="X348" i="2" l="1"/>
  <c r="Y348" i="2"/>
  <c r="J348" i="2"/>
  <c r="T348" i="2" l="1"/>
  <c r="W348" i="2" s="1"/>
  <c r="P348" i="2"/>
  <c r="I349" i="2" s="1"/>
  <c r="K349" i="2" l="1"/>
  <c r="L349" i="2"/>
  <c r="J349" i="2" l="1"/>
  <c r="X349" i="2"/>
  <c r="Y349" i="2"/>
  <c r="T349" i="2" l="1"/>
  <c r="W349" i="2" s="1"/>
  <c r="P349" i="2"/>
  <c r="I350" i="2" s="1"/>
  <c r="K350" i="2" l="1"/>
  <c r="L350" i="2"/>
  <c r="J350" i="2" l="1"/>
  <c r="X350" i="2"/>
  <c r="Y350" i="2"/>
  <c r="T350" i="2" l="1"/>
  <c r="W350" i="2" s="1"/>
  <c r="P350" i="2"/>
  <c r="I351" i="2" s="1"/>
  <c r="K351" i="2" l="1"/>
  <c r="L351" i="2"/>
  <c r="Y351" i="2" l="1"/>
  <c r="X351" i="2"/>
  <c r="J351" i="2"/>
  <c r="T351" i="2" l="1"/>
  <c r="W351" i="2" s="1"/>
  <c r="P351" i="2"/>
  <c r="I352" i="2" s="1"/>
  <c r="K352" i="2" l="1"/>
  <c r="L352" i="2"/>
  <c r="X352" i="2" l="1"/>
  <c r="Y352" i="2"/>
  <c r="J352" i="2"/>
  <c r="T352" i="2" l="1"/>
  <c r="W352" i="2" s="1"/>
  <c r="P352" i="2"/>
  <c r="I353" i="2" s="1"/>
  <c r="K353" i="2" l="1"/>
  <c r="L353" i="2"/>
  <c r="X353" i="2" l="1"/>
  <c r="J353" i="2"/>
  <c r="Y353" i="2"/>
  <c r="T353" i="2" l="1"/>
  <c r="W353" i="2" s="1"/>
  <c r="P353" i="2"/>
  <c r="I354" i="2" s="1"/>
  <c r="K354" i="2" l="1"/>
  <c r="L354" i="2"/>
  <c r="X354" i="2" l="1"/>
  <c r="Y354" i="2"/>
  <c r="J354" i="2"/>
  <c r="T354" i="2" l="1"/>
  <c r="W354" i="2" s="1"/>
  <c r="P354" i="2"/>
  <c r="I355" i="2" s="1"/>
  <c r="K355" i="2" l="1"/>
  <c r="L355" i="2"/>
  <c r="J355" i="2" l="1"/>
  <c r="X355" i="2"/>
  <c r="Y355" i="2"/>
  <c r="T355" i="2" l="1"/>
  <c r="W355" i="2" s="1"/>
  <c r="P355" i="2"/>
  <c r="I356" i="2" s="1"/>
  <c r="K356" i="2" l="1"/>
  <c r="L356" i="2"/>
  <c r="J356" i="2" l="1"/>
  <c r="X356" i="2"/>
  <c r="Y356" i="2"/>
  <c r="T356" i="2" l="1"/>
  <c r="W356" i="2" s="1"/>
  <c r="P356" i="2"/>
  <c r="I357" i="2" s="1"/>
  <c r="K357" i="2" l="1"/>
  <c r="L357" i="2"/>
  <c r="J357" i="2" l="1"/>
  <c r="X357" i="2"/>
  <c r="Y357" i="2"/>
  <c r="T357" i="2" l="1"/>
  <c r="W357" i="2" s="1"/>
  <c r="P357" i="2"/>
  <c r="I358" i="2" s="1"/>
  <c r="K358" i="2" l="1"/>
  <c r="L358" i="2"/>
  <c r="J358" i="2" l="1"/>
  <c r="X358" i="2"/>
  <c r="Y358" i="2"/>
  <c r="T358" i="2" l="1"/>
  <c r="W358" i="2" s="1"/>
  <c r="P358" i="2"/>
  <c r="I359" i="2" s="1"/>
  <c r="K359" i="2" l="1"/>
  <c r="L359" i="2"/>
  <c r="J359" i="2" l="1"/>
  <c r="Y359" i="2"/>
  <c r="X359" i="2"/>
  <c r="T359" i="2" l="1"/>
  <c r="W359" i="2" s="1"/>
  <c r="P359" i="2"/>
  <c r="I360" i="2" s="1"/>
  <c r="K360" i="2" l="1"/>
  <c r="L360" i="2"/>
  <c r="X360" i="2" l="1"/>
  <c r="Y360" i="2"/>
  <c r="J360" i="2"/>
  <c r="T360" i="2" l="1"/>
  <c r="W360" i="2" s="1"/>
  <c r="P360" i="2"/>
  <c r="I361" i="2" s="1"/>
  <c r="K361" i="2" l="1"/>
  <c r="L361" i="2"/>
  <c r="J361" i="2" l="1"/>
  <c r="X361" i="2"/>
  <c r="Y361" i="2"/>
  <c r="T361" i="2" l="1"/>
  <c r="W361" i="2" s="1"/>
  <c r="P361" i="2"/>
  <c r="I362" i="2" s="1"/>
  <c r="K362" i="2" l="1"/>
  <c r="L362" i="2"/>
  <c r="Y362" i="2" l="1"/>
  <c r="J362" i="2"/>
  <c r="X362" i="2"/>
  <c r="T362" i="2" l="1"/>
  <c r="W362" i="2" s="1"/>
  <c r="P362" i="2"/>
  <c r="I363" i="2" s="1"/>
  <c r="K363" i="2" l="1"/>
  <c r="L363" i="2"/>
  <c r="J363" i="2" l="1"/>
  <c r="X363" i="2"/>
  <c r="Y363" i="2"/>
  <c r="T363" i="2" l="1"/>
  <c r="W363" i="2" s="1"/>
  <c r="P363" i="2"/>
  <c r="I364" i="2" s="1"/>
  <c r="K364" i="2" l="1"/>
  <c r="L364" i="2"/>
  <c r="X364" i="2" l="1"/>
  <c r="Y364" i="2"/>
  <c r="J364" i="2"/>
  <c r="T364" i="2" l="1"/>
  <c r="W364" i="2" s="1"/>
  <c r="P364" i="2"/>
  <c r="I365" i="2" s="1"/>
  <c r="K365" i="2" l="1"/>
  <c r="L365" i="2"/>
  <c r="X365" i="2" l="1"/>
  <c r="Y365" i="2"/>
  <c r="J365" i="2"/>
  <c r="T365" i="2" l="1"/>
  <c r="W365" i="2" s="1"/>
  <c r="P365" i="2"/>
  <c r="I366" i="2" s="1"/>
  <c r="K366" i="2" l="1"/>
  <c r="L366" i="2"/>
  <c r="X366" i="2" l="1"/>
  <c r="Y366" i="2"/>
  <c r="J366" i="2"/>
  <c r="T366" i="2" l="1"/>
  <c r="W366" i="2" s="1"/>
  <c r="P366" i="2"/>
  <c r="I367" i="2" s="1"/>
  <c r="K367" i="2" l="1"/>
  <c r="L367" i="2"/>
  <c r="X367" i="2" l="1"/>
  <c r="Y367" i="2"/>
  <c r="J367" i="2"/>
  <c r="T367" i="2" l="1"/>
  <c r="W367" i="2" s="1"/>
  <c r="P367" i="2"/>
  <c r="I368" i="2" s="1"/>
  <c r="K368" i="2" l="1"/>
  <c r="L368" i="2"/>
  <c r="X368" i="2" l="1"/>
  <c r="Y368" i="2"/>
  <c r="J368" i="2"/>
  <c r="T368" i="2" l="1"/>
  <c r="W368" i="2" s="1"/>
  <c r="P368" i="2"/>
  <c r="I369" i="2" s="1"/>
  <c r="K369" i="2" l="1"/>
  <c r="L369" i="2"/>
  <c r="X369" i="2" l="1"/>
  <c r="Y369" i="2"/>
  <c r="J369" i="2"/>
  <c r="T369" i="2" l="1"/>
  <c r="W369" i="2" s="1"/>
  <c r="P369" i="2"/>
  <c r="I370" i="2" s="1"/>
  <c r="K370" i="2" l="1"/>
  <c r="L370" i="2"/>
  <c r="J370" i="2" l="1"/>
  <c r="X370" i="2"/>
  <c r="Y370" i="2"/>
  <c r="T370" i="2" l="1"/>
  <c r="W370" i="2" s="1"/>
  <c r="P370" i="2"/>
  <c r="I371" i="2" s="1"/>
  <c r="K371" i="2" l="1"/>
  <c r="L371" i="2"/>
  <c r="J371" i="2" l="1"/>
  <c r="X371" i="2"/>
  <c r="Y371" i="2"/>
  <c r="T371" i="2" l="1"/>
  <c r="W371" i="2" s="1"/>
  <c r="P371" i="2"/>
  <c r="I372" i="2" s="1"/>
  <c r="K372" i="2" l="1"/>
  <c r="L372" i="2"/>
  <c r="J372" i="2" l="1"/>
  <c r="X372" i="2"/>
  <c r="Y372" i="2"/>
  <c r="T372" i="2" l="1"/>
  <c r="W372" i="2" s="1"/>
  <c r="P372" i="2"/>
  <c r="I373" i="2" s="1"/>
  <c r="K373" i="2" l="1"/>
  <c r="L373" i="2"/>
  <c r="J373" i="2" l="1"/>
  <c r="X373" i="2"/>
  <c r="Y373" i="2"/>
  <c r="T373" i="2" l="1"/>
  <c r="W373" i="2" s="1"/>
  <c r="P373" i="2"/>
  <c r="I374" i="2" s="1"/>
  <c r="K374" i="2" l="1"/>
  <c r="L374" i="2"/>
  <c r="X374" i="2" l="1"/>
  <c r="Y374" i="2"/>
  <c r="J374" i="2"/>
  <c r="T374" i="2" l="1"/>
  <c r="W374" i="2" s="1"/>
  <c r="P374" i="2"/>
  <c r="I375" i="2" s="1"/>
  <c r="K375" i="2" l="1"/>
  <c r="L375" i="2"/>
  <c r="X375" i="2" l="1"/>
  <c r="Y375" i="2"/>
  <c r="J375" i="2"/>
  <c r="T375" i="2" l="1"/>
  <c r="W375" i="2" s="1"/>
  <c r="P375" i="2"/>
  <c r="I376" i="2" s="1"/>
  <c r="K376" i="2" l="1"/>
  <c r="L376" i="2"/>
  <c r="J376" i="2" l="1"/>
  <c r="X376" i="2"/>
  <c r="Y376" i="2"/>
  <c r="T376" i="2" l="1"/>
  <c r="W376" i="2" s="1"/>
  <c r="P376" i="2"/>
  <c r="I377" i="2" s="1"/>
  <c r="K377" i="2" l="1"/>
  <c r="L377" i="2"/>
  <c r="X377" i="2" l="1"/>
  <c r="Y377" i="2"/>
  <c r="J377" i="2"/>
  <c r="T377" i="2" l="1"/>
  <c r="W377" i="2" s="1"/>
  <c r="P377" i="2"/>
  <c r="I378" i="2" s="1"/>
  <c r="K378" i="2" l="1"/>
  <c r="L378" i="2"/>
  <c r="J378" i="2" l="1"/>
  <c r="X378" i="2"/>
  <c r="Y378" i="2"/>
  <c r="T378" i="2" l="1"/>
  <c r="W378" i="2" s="1"/>
  <c r="P378" i="2"/>
  <c r="I379" i="2" s="1"/>
  <c r="K379" i="2" l="1"/>
  <c r="L379" i="2"/>
  <c r="X379" i="2" l="1"/>
  <c r="Y379" i="2"/>
  <c r="J379" i="2"/>
  <c r="T379" i="2" l="1"/>
  <c r="W379" i="2" s="1"/>
  <c r="P379" i="2"/>
  <c r="I380" i="2" s="1"/>
  <c r="K380" i="2" l="1"/>
  <c r="L380" i="2"/>
  <c r="J380" i="2" l="1"/>
  <c r="Y380" i="2"/>
  <c r="X380" i="2"/>
  <c r="T380" i="2" l="1"/>
  <c r="W380" i="2" s="1"/>
  <c r="P380" i="2"/>
  <c r="I381" i="2" s="1"/>
  <c r="K381" i="2" l="1"/>
  <c r="L381" i="2"/>
  <c r="J381" i="2" l="1"/>
  <c r="X381" i="2"/>
  <c r="Y381" i="2"/>
  <c r="T381" i="2" l="1"/>
  <c r="W381" i="2" s="1"/>
  <c r="P381" i="2"/>
  <c r="I382" i="2" s="1"/>
  <c r="K382" i="2" l="1"/>
  <c r="L382" i="2"/>
  <c r="X382" i="2" l="1"/>
  <c r="Y382" i="2"/>
  <c r="J382" i="2"/>
  <c r="T382" i="2" l="1"/>
  <c r="W382" i="2" s="1"/>
  <c r="P382" i="2"/>
  <c r="I383" i="2" s="1"/>
  <c r="K383" i="2" l="1"/>
  <c r="L383" i="2"/>
  <c r="Y383" i="2" l="1"/>
  <c r="X383" i="2"/>
  <c r="J383" i="2"/>
  <c r="T383" i="2" l="1"/>
  <c r="W383" i="2" s="1"/>
  <c r="P383" i="2"/>
  <c r="I384" i="2" s="1"/>
  <c r="K384" i="2" l="1"/>
  <c r="L384" i="2"/>
  <c r="X384" i="2" l="1"/>
  <c r="Y384" i="2"/>
  <c r="J384" i="2"/>
  <c r="T384" i="2" l="1"/>
  <c r="W384" i="2" s="1"/>
  <c r="P384" i="2"/>
  <c r="I385" i="2" s="1"/>
  <c r="K385" i="2" l="1"/>
  <c r="L385" i="2"/>
  <c r="X385" i="2" l="1"/>
  <c r="Y385" i="2"/>
  <c r="J385" i="2"/>
  <c r="T385" i="2" l="1"/>
  <c r="W385" i="2" s="1"/>
  <c r="P385" i="2"/>
  <c r="I386" i="2" s="1"/>
  <c r="K386" i="2" l="1"/>
  <c r="L386" i="2"/>
  <c r="X386" i="2" l="1"/>
  <c r="Y386" i="2"/>
  <c r="J386" i="2"/>
  <c r="T386" i="2" l="1"/>
  <c r="W386" i="2" s="1"/>
  <c r="P386" i="2"/>
  <c r="I387" i="2" s="1"/>
  <c r="K387" i="2" l="1"/>
  <c r="L387" i="2"/>
  <c r="J387" i="2" l="1"/>
  <c r="X387" i="2"/>
  <c r="Y387" i="2"/>
  <c r="T387" i="2" l="1"/>
  <c r="W387" i="2" s="1"/>
  <c r="P387" i="2"/>
  <c r="I388" i="2" s="1"/>
  <c r="K388" i="2" l="1"/>
  <c r="L388" i="2"/>
  <c r="X388" i="2" l="1"/>
  <c r="Y388" i="2"/>
  <c r="J388" i="2"/>
  <c r="T388" i="2" l="1"/>
  <c r="W388" i="2" s="1"/>
  <c r="P388" i="2"/>
  <c r="I389" i="2" s="1"/>
  <c r="K389" i="2" l="1"/>
  <c r="L389" i="2"/>
  <c r="J389" i="2" l="1"/>
  <c r="X389" i="2"/>
  <c r="Y389" i="2"/>
  <c r="T389" i="2" l="1"/>
  <c r="W389" i="2" s="1"/>
  <c r="P389" i="2"/>
  <c r="I390" i="2" s="1"/>
  <c r="K390" i="2" l="1"/>
  <c r="L390" i="2"/>
  <c r="J390" i="2" l="1"/>
  <c r="X390" i="2"/>
  <c r="Y390" i="2"/>
  <c r="T390" i="2" l="1"/>
  <c r="W390" i="2" s="1"/>
  <c r="P390" i="2"/>
  <c r="I391" i="2" s="1"/>
  <c r="K391" i="2" l="1"/>
  <c r="L391" i="2"/>
  <c r="J391" i="2" l="1"/>
  <c r="X391" i="2"/>
  <c r="Y391" i="2"/>
  <c r="T391" i="2" l="1"/>
  <c r="W391" i="2" s="1"/>
  <c r="P391" i="2"/>
  <c r="I392" i="2" s="1"/>
  <c r="K392" i="2" l="1"/>
  <c r="L392" i="2"/>
  <c r="J392" i="2" l="1"/>
  <c r="X392" i="2"/>
  <c r="Y392" i="2"/>
  <c r="T392" i="2" l="1"/>
  <c r="W392" i="2" s="1"/>
  <c r="P392" i="2"/>
  <c r="I393" i="2" s="1"/>
  <c r="K393" i="2" l="1"/>
  <c r="L393" i="2"/>
  <c r="J393" i="2" l="1"/>
  <c r="X393" i="2"/>
  <c r="Y393" i="2"/>
  <c r="T393" i="2" l="1"/>
  <c r="W393" i="2" s="1"/>
  <c r="P393" i="2"/>
  <c r="I394" i="2" s="1"/>
  <c r="K394" i="2" l="1"/>
  <c r="L394" i="2"/>
  <c r="X394" i="2" l="1"/>
  <c r="J394" i="2"/>
  <c r="Y394" i="2"/>
  <c r="T394" i="2" l="1"/>
  <c r="W394" i="2" s="1"/>
  <c r="P394" i="2"/>
  <c r="I395" i="2" s="1"/>
  <c r="K395" i="2" l="1"/>
  <c r="L395" i="2"/>
  <c r="J395" i="2" l="1"/>
  <c r="X395" i="2"/>
  <c r="Y395" i="2"/>
  <c r="T395" i="2" l="1"/>
  <c r="W395" i="2" s="1"/>
  <c r="P395" i="2"/>
  <c r="I396" i="2" s="1"/>
  <c r="K396" i="2" l="1"/>
  <c r="L396" i="2"/>
  <c r="Y396" i="2" l="1"/>
  <c r="X396" i="2"/>
  <c r="J396" i="2"/>
  <c r="T396" i="2" l="1"/>
  <c r="W396" i="2" s="1"/>
  <c r="P396" i="2"/>
  <c r="I397" i="2" s="1"/>
  <c r="K397" i="2" l="1"/>
  <c r="L397" i="2"/>
  <c r="X397" i="2" l="1"/>
  <c r="J397" i="2"/>
  <c r="Y397" i="2"/>
  <c r="H10" i="2"/>
  <c r="H15" i="2" s="1"/>
  <c r="H9" i="2"/>
  <c r="H17" i="2" l="1"/>
  <c r="H16" i="2"/>
  <c r="Y11" i="11" s="1"/>
  <c r="C30" i="11" s="1"/>
  <c r="T397" i="2"/>
  <c r="W397" i="2" s="1"/>
  <c r="W36" i="2" s="1"/>
  <c r="W33" i="2" s="1"/>
  <c r="P397" i="2"/>
  <c r="Y12" i="11" l="1"/>
  <c r="C31" i="11" s="1"/>
  <c r="Y13" i="11" l="1"/>
  <c r="H48" i="11" l="1"/>
  <c r="C32" i="11"/>
  <c r="Y26" i="11"/>
  <c r="C39" i="11" s="1"/>
  <c r="M60" i="11" l="1"/>
  <c r="M61" i="11"/>
  <c r="M62" i="11"/>
  <c r="M63" i="11"/>
  <c r="M64" i="11"/>
  <c r="M65" i="11"/>
  <c r="M66" i="11"/>
  <c r="M67" i="11"/>
  <c r="M68" i="11"/>
  <c r="M69" i="11"/>
  <c r="M70" i="11"/>
  <c r="M72" i="11"/>
  <c r="M73" i="11"/>
  <c r="M75" i="11"/>
  <c r="M76" i="11"/>
  <c r="M77" i="11"/>
  <c r="M78" i="11"/>
  <c r="M79" i="11"/>
  <c r="M80" i="11"/>
  <c r="M81" i="11"/>
  <c r="M82" i="11"/>
  <c r="M83" i="11"/>
  <c r="M84" i="11"/>
  <c r="M85" i="11"/>
  <c r="M86" i="11"/>
  <c r="M87" i="11"/>
  <c r="M88" i="11"/>
  <c r="M89" i="11"/>
  <c r="M90" i="11"/>
  <c r="M91" i="11"/>
  <c r="M92" i="11"/>
  <c r="M93" i="11"/>
  <c r="M94" i="11"/>
  <c r="M95" i="11"/>
  <c r="M96" i="11"/>
  <c r="M97" i="11"/>
  <c r="M98" i="11"/>
  <c r="M99" i="11"/>
  <c r="M100" i="11"/>
  <c r="M101" i="11"/>
  <c r="M102" i="11"/>
  <c r="M103" i="11"/>
  <c r="M104" i="11"/>
  <c r="M105" i="11"/>
  <c r="M106" i="11"/>
  <c r="M107" i="11"/>
  <c r="M108" i="11"/>
  <c r="M109" i="11"/>
  <c r="M110" i="11"/>
  <c r="M111" i="11"/>
  <c r="M112" i="11"/>
  <c r="M113" i="11"/>
  <c r="M114" i="11"/>
  <c r="M115" i="11"/>
  <c r="M116" i="11"/>
  <c r="M117" i="11"/>
  <c r="M118" i="11"/>
  <c r="M50" i="11"/>
  <c r="M55" i="11"/>
  <c r="M53" i="11"/>
  <c r="M52" i="11"/>
  <c r="M48" i="11"/>
  <c r="M57" i="11"/>
  <c r="M54" i="11"/>
  <c r="M51" i="11"/>
  <c r="M56" i="11"/>
  <c r="M58" i="11"/>
  <c r="M59" i="11"/>
  <c r="J48" i="11"/>
  <c r="I48" i="11" l="1"/>
  <c r="R48" i="11" l="1"/>
  <c r="U48" i="11" s="1"/>
  <c r="N48" i="11"/>
  <c r="H49" i="11" s="1"/>
  <c r="J49" i="11" l="1"/>
  <c r="M49" i="11" s="1"/>
  <c r="I49" i="11" l="1"/>
  <c r="R49" i="11" l="1"/>
  <c r="U49" i="11" s="1"/>
  <c r="N49" i="11"/>
  <c r="H50" i="11" s="1"/>
  <c r="J50" i="11" l="1"/>
  <c r="I50" i="11" l="1"/>
  <c r="R50" i="11" l="1"/>
  <c r="U50" i="11" s="1"/>
  <c r="N50" i="11"/>
  <c r="H51" i="11" s="1"/>
  <c r="J51" i="11" l="1"/>
  <c r="I51" i="11" l="1"/>
  <c r="R51" i="11" l="1"/>
  <c r="U51" i="11" s="1"/>
  <c r="N51" i="11"/>
  <c r="H52" i="11" s="1"/>
  <c r="J52" i="11" l="1"/>
  <c r="I52" i="11" s="1"/>
  <c r="R52" i="11" s="1"/>
  <c r="U52" i="11" s="1"/>
  <c r="N52" i="11" l="1"/>
  <c r="H53" i="11" s="1"/>
  <c r="J53" i="11" s="1"/>
  <c r="I53" i="11" s="1"/>
  <c r="R53" i="11" s="1"/>
  <c r="U53" i="11" s="1"/>
  <c r="N53" i="11" l="1"/>
  <c r="H54" i="11" s="1"/>
  <c r="J54" i="11" s="1"/>
  <c r="I54" i="11" s="1"/>
  <c r="R54" i="11" s="1"/>
  <c r="U54" i="11" s="1"/>
  <c r="N54" i="11" l="1"/>
  <c r="H55" i="11" s="1"/>
  <c r="J55" i="11" s="1"/>
  <c r="I55" i="11" s="1"/>
  <c r="R55" i="11" s="1"/>
  <c r="U55" i="11" s="1"/>
  <c r="N55" i="11" l="1"/>
  <c r="H56" i="11" s="1"/>
  <c r="J56" i="11" s="1"/>
  <c r="I56" i="11" s="1"/>
  <c r="R56" i="11" s="1"/>
  <c r="U56" i="11" s="1"/>
  <c r="N56" i="11" l="1"/>
  <c r="H57" i="11" s="1"/>
  <c r="J57" i="11" s="1"/>
  <c r="I57" i="11" s="1"/>
  <c r="R57" i="11" s="1"/>
  <c r="U57" i="11" s="1"/>
  <c r="N57" i="11" l="1"/>
  <c r="H58" i="11" s="1"/>
  <c r="J58" i="11" s="1"/>
  <c r="I58" i="11" s="1"/>
  <c r="R58" i="11" s="1"/>
  <c r="U58" i="11" s="1"/>
  <c r="N58" i="11" l="1"/>
  <c r="H59" i="11" s="1"/>
  <c r="J59" i="11" s="1"/>
  <c r="I59" i="11" s="1"/>
  <c r="R59" i="11" s="1"/>
  <c r="U59" i="11" s="1"/>
  <c r="N59" i="11" l="1"/>
  <c r="H60" i="11" s="1"/>
  <c r="J60" i="11" s="1"/>
  <c r="I60" i="11" s="1"/>
  <c r="R60" i="11" s="1"/>
  <c r="U60" i="11" s="1"/>
  <c r="N60" i="11" l="1"/>
  <c r="H61" i="11" s="1"/>
  <c r="J61" i="11" l="1"/>
  <c r="I61" i="11" s="1"/>
  <c r="R61" i="11" s="1"/>
  <c r="U61" i="11" s="1"/>
  <c r="N61" i="11" l="1"/>
  <c r="H62" i="11" s="1"/>
  <c r="J62" i="11" l="1"/>
  <c r="I62" i="11" s="1"/>
  <c r="R62" i="11" s="1"/>
  <c r="U62" i="11" s="1"/>
  <c r="N62" i="11" l="1"/>
  <c r="H63" i="11" s="1"/>
  <c r="J63" i="11" l="1"/>
  <c r="I63" i="11" s="1"/>
  <c r="R63" i="11" s="1"/>
  <c r="U63" i="11" s="1"/>
  <c r="N63" i="11" l="1"/>
  <c r="H64" i="11" s="1"/>
  <c r="J64" i="11" l="1"/>
  <c r="I64" i="11" s="1"/>
  <c r="R64" i="11" s="1"/>
  <c r="U64" i="11" s="1"/>
  <c r="N64" i="11" l="1"/>
  <c r="H65" i="11" s="1"/>
  <c r="J65" i="11" l="1"/>
  <c r="I65" i="11" s="1"/>
  <c r="R65" i="11" s="1"/>
  <c r="U65" i="11" s="1"/>
  <c r="N65" i="11" l="1"/>
  <c r="H66" i="11" s="1"/>
  <c r="J66" i="11" l="1"/>
  <c r="I66" i="11" s="1"/>
  <c r="R66" i="11" s="1"/>
  <c r="U66" i="11" s="1"/>
  <c r="N66" i="11" l="1"/>
  <c r="H67" i="11" s="1"/>
  <c r="J67" i="11" l="1"/>
  <c r="I67" i="11" s="1"/>
  <c r="R67" i="11" s="1"/>
  <c r="U67" i="11" s="1"/>
  <c r="N67" i="11" l="1"/>
  <c r="H68" i="11" s="1"/>
  <c r="J68" i="11" l="1"/>
  <c r="I68" i="11" s="1"/>
  <c r="R68" i="11" s="1"/>
  <c r="U68" i="11" s="1"/>
  <c r="N68" i="11" l="1"/>
  <c r="H69" i="11" s="1"/>
  <c r="J69" i="11" l="1"/>
  <c r="I69" i="11" s="1"/>
  <c r="R69" i="11" s="1"/>
  <c r="U69" i="11" s="1"/>
  <c r="N69" i="11" l="1"/>
  <c r="H70" i="11" s="1"/>
  <c r="J70" i="11" l="1"/>
  <c r="I70" i="11" s="1"/>
  <c r="R70" i="11" s="1"/>
  <c r="U70" i="11" s="1"/>
  <c r="N70" i="11" l="1"/>
  <c r="H71" i="11" s="1"/>
  <c r="J71" i="11" l="1"/>
  <c r="M71" i="11" l="1"/>
  <c r="I71" i="11" l="1"/>
  <c r="R71" i="11" l="1"/>
  <c r="U71" i="11" s="1"/>
  <c r="N71" i="11"/>
  <c r="H72" i="11" s="1"/>
  <c r="J72" i="11" s="1"/>
  <c r="I72" i="11" s="1"/>
  <c r="R72" i="11" s="1"/>
  <c r="U72" i="11" s="1"/>
  <c r="N72" i="11" l="1"/>
  <c r="H73" i="11" s="1"/>
  <c r="J73" i="11" s="1"/>
  <c r="I73" i="11" s="1"/>
  <c r="R73" i="11" s="1"/>
  <c r="U73" i="11" s="1"/>
  <c r="N73" i="11" l="1"/>
  <c r="H74" i="11" s="1"/>
  <c r="J74" i="11" l="1"/>
  <c r="M74" i="11" l="1"/>
  <c r="I74" i="11" l="1"/>
  <c r="R74" i="11" l="1"/>
  <c r="U74" i="11" s="1"/>
  <c r="N74" i="11"/>
  <c r="H75" i="11" s="1"/>
  <c r="J75" i="11" s="1"/>
  <c r="I75" i="11" s="1"/>
  <c r="R75" i="11" s="1"/>
  <c r="U75" i="11" s="1"/>
  <c r="N75" i="11" l="1"/>
  <c r="H76" i="11" s="1"/>
  <c r="J76" i="11" s="1"/>
  <c r="I76" i="11" s="1"/>
  <c r="R76" i="11" s="1"/>
  <c r="U76" i="11" s="1"/>
  <c r="N76" i="11" l="1"/>
  <c r="H77" i="11" s="1"/>
  <c r="J77" i="11" l="1"/>
  <c r="I77" i="11" s="1"/>
  <c r="R77" i="11" s="1"/>
  <c r="U77" i="11" s="1"/>
  <c r="N77" i="11" l="1"/>
  <c r="H78" i="11" s="1"/>
  <c r="J78" i="11" l="1"/>
  <c r="I78" i="11" s="1"/>
  <c r="R78" i="11" s="1"/>
  <c r="U78" i="11" s="1"/>
  <c r="N78" i="11" l="1"/>
  <c r="H79" i="11" s="1"/>
  <c r="J79" i="11" l="1"/>
  <c r="I79" i="11" s="1"/>
  <c r="R79" i="11" s="1"/>
  <c r="U79" i="11" s="1"/>
  <c r="N79" i="11" l="1"/>
  <c r="H80" i="11" s="1"/>
  <c r="J80" i="11" l="1"/>
  <c r="I80" i="11" s="1"/>
  <c r="R80" i="11" s="1"/>
  <c r="U80" i="11" s="1"/>
  <c r="N80" i="11" l="1"/>
  <c r="H81" i="11" s="1"/>
  <c r="J81" i="11" l="1"/>
  <c r="I81" i="11" s="1"/>
  <c r="R81" i="11" s="1"/>
  <c r="U81" i="11" s="1"/>
  <c r="N81" i="11" l="1"/>
  <c r="H82" i="11" s="1"/>
  <c r="J82" i="11" l="1"/>
  <c r="I82" i="11" s="1"/>
  <c r="R82" i="11" s="1"/>
  <c r="U82" i="11" s="1"/>
  <c r="N82" i="11" l="1"/>
  <c r="H83" i="11" s="1"/>
  <c r="J83" i="11" l="1"/>
  <c r="I83" i="11" s="1"/>
  <c r="R83" i="11" s="1"/>
  <c r="U83" i="11" s="1"/>
  <c r="N83" i="11" l="1"/>
  <c r="H84" i="11" s="1"/>
  <c r="J84" i="11" l="1"/>
  <c r="I84" i="11" s="1"/>
  <c r="R84" i="11" s="1"/>
  <c r="U84" i="11" s="1"/>
  <c r="N84" i="11" l="1"/>
  <c r="H85" i="11" s="1"/>
  <c r="J85" i="11" s="1"/>
  <c r="I85" i="11" s="1"/>
  <c r="R85" i="11" s="1"/>
  <c r="U85" i="11" s="1"/>
  <c r="N85" i="11" l="1"/>
  <c r="H86" i="11" s="1"/>
  <c r="J86" i="11" l="1"/>
  <c r="I86" i="11" s="1"/>
  <c r="R86" i="11" s="1"/>
  <c r="U86" i="11" s="1"/>
  <c r="N86" i="11" l="1"/>
  <c r="H87" i="11" s="1"/>
  <c r="J87" i="11" l="1"/>
  <c r="I87" i="11" s="1"/>
  <c r="R87" i="11" s="1"/>
  <c r="U87" i="11" s="1"/>
  <c r="N87" i="11" l="1"/>
  <c r="H88" i="11" s="1"/>
  <c r="J88" i="11" l="1"/>
  <c r="I88" i="11" s="1"/>
  <c r="R88" i="11" s="1"/>
  <c r="U88" i="11" s="1"/>
  <c r="N88" i="11" l="1"/>
  <c r="H89" i="11" s="1"/>
  <c r="J89" i="11" l="1"/>
  <c r="I89" i="11" s="1"/>
  <c r="R89" i="11" s="1"/>
  <c r="U89" i="11" s="1"/>
  <c r="N89" i="11" l="1"/>
  <c r="H90" i="11" s="1"/>
  <c r="J90" i="11" l="1"/>
  <c r="I90" i="11" s="1"/>
  <c r="R90" i="11" s="1"/>
  <c r="U90" i="11" s="1"/>
  <c r="N90" i="11" l="1"/>
  <c r="H91" i="11" s="1"/>
  <c r="J91" i="11" l="1"/>
  <c r="I91" i="11" s="1"/>
  <c r="R91" i="11" s="1"/>
  <c r="U91" i="11" s="1"/>
  <c r="N91" i="11" l="1"/>
  <c r="H92" i="11" s="1"/>
  <c r="J92" i="11" l="1"/>
  <c r="I92" i="11" s="1"/>
  <c r="R92" i="11" s="1"/>
  <c r="U92" i="11" s="1"/>
  <c r="N92" i="11" l="1"/>
  <c r="H93" i="11" s="1"/>
  <c r="J93" i="11" l="1"/>
  <c r="I93" i="11" s="1"/>
  <c r="R93" i="11" s="1"/>
  <c r="U93" i="11" s="1"/>
  <c r="N93" i="11" l="1"/>
  <c r="H94" i="11" s="1"/>
  <c r="J94" i="11" l="1"/>
  <c r="I94" i="11" s="1"/>
  <c r="R94" i="11" s="1"/>
  <c r="U94" i="11" s="1"/>
  <c r="N94" i="11" l="1"/>
  <c r="H95" i="11" s="1"/>
  <c r="J95" i="11" l="1"/>
  <c r="I95" i="11" s="1"/>
  <c r="R95" i="11" s="1"/>
  <c r="U95" i="11" s="1"/>
  <c r="N95" i="11" l="1"/>
  <c r="H96" i="11" s="1"/>
  <c r="J96" i="11" l="1"/>
  <c r="I96" i="11" s="1"/>
  <c r="R96" i="11" s="1"/>
  <c r="U96" i="11" s="1"/>
  <c r="N96" i="11" l="1"/>
  <c r="H97" i="11" s="1"/>
  <c r="J97" i="11" l="1"/>
  <c r="I97" i="11" s="1"/>
  <c r="R97" i="11" s="1"/>
  <c r="U97" i="11" s="1"/>
  <c r="N97" i="11" l="1"/>
  <c r="H98" i="11" s="1"/>
  <c r="J98" i="11" l="1"/>
  <c r="I98" i="11" s="1"/>
  <c r="R98" i="11" s="1"/>
  <c r="U98" i="11" s="1"/>
  <c r="N98" i="11" l="1"/>
  <c r="H99" i="11" s="1"/>
  <c r="J99" i="11" l="1"/>
  <c r="I99" i="11" s="1"/>
  <c r="R99" i="11" s="1"/>
  <c r="U99" i="11" s="1"/>
  <c r="N99" i="11" l="1"/>
  <c r="H100" i="11" s="1"/>
  <c r="J100" i="11" l="1"/>
  <c r="I100" i="11" s="1"/>
  <c r="R100" i="11" s="1"/>
  <c r="U100" i="11" s="1"/>
  <c r="N100" i="11" l="1"/>
  <c r="H101" i="11" s="1"/>
  <c r="J101" i="11" l="1"/>
  <c r="I101" i="11" s="1"/>
  <c r="R101" i="11" s="1"/>
  <c r="U101" i="11" s="1"/>
  <c r="N101" i="11" l="1"/>
  <c r="H102" i="11" s="1"/>
  <c r="J102" i="11" l="1"/>
  <c r="I102" i="11" s="1"/>
  <c r="R102" i="11" s="1"/>
  <c r="U102" i="11" s="1"/>
  <c r="N102" i="11" l="1"/>
  <c r="H103" i="11" s="1"/>
  <c r="J103" i="11" l="1"/>
  <c r="I103" i="11" s="1"/>
  <c r="R103" i="11" s="1"/>
  <c r="U103" i="11" s="1"/>
  <c r="N103" i="11" l="1"/>
  <c r="H104" i="11" s="1"/>
  <c r="J104" i="11" l="1"/>
  <c r="I104" i="11" s="1"/>
  <c r="R104" i="11" s="1"/>
  <c r="U104" i="11" s="1"/>
  <c r="N104" i="11" l="1"/>
  <c r="H105" i="11" s="1"/>
  <c r="J105" i="11" l="1"/>
  <c r="I105" i="11" s="1"/>
  <c r="R105" i="11" s="1"/>
  <c r="U105" i="11" s="1"/>
  <c r="N105" i="11" l="1"/>
  <c r="H106" i="11" s="1"/>
  <c r="J106" i="11" l="1"/>
  <c r="I106" i="11" s="1"/>
  <c r="R106" i="11" s="1"/>
  <c r="U106" i="11" s="1"/>
  <c r="N106" i="11" l="1"/>
  <c r="H107" i="11" s="1"/>
  <c r="J107" i="11" l="1"/>
  <c r="I107" i="11" s="1"/>
  <c r="R107" i="11" s="1"/>
  <c r="U107" i="11" s="1"/>
  <c r="N107" i="11" l="1"/>
  <c r="H108" i="11" s="1"/>
  <c r="J108" i="11" l="1"/>
  <c r="I108" i="11" s="1"/>
  <c r="R108" i="11" s="1"/>
  <c r="U108" i="11" s="1"/>
  <c r="N108" i="11" l="1"/>
  <c r="H109" i="11" s="1"/>
  <c r="J109" i="11" l="1"/>
  <c r="I109" i="11" s="1"/>
  <c r="R109" i="11" s="1"/>
  <c r="U109" i="11" s="1"/>
  <c r="N109" i="11" l="1"/>
  <c r="H110" i="11" s="1"/>
  <c r="J110" i="11" l="1"/>
  <c r="I110" i="11" s="1"/>
  <c r="R110" i="11" s="1"/>
  <c r="U110" i="11" s="1"/>
  <c r="N110" i="11" l="1"/>
  <c r="H111" i="11" s="1"/>
  <c r="J111" i="11" l="1"/>
  <c r="I111" i="11" s="1"/>
  <c r="R111" i="11" s="1"/>
  <c r="U111" i="11" s="1"/>
  <c r="N111" i="11" l="1"/>
  <c r="H112" i="11" s="1"/>
  <c r="J112" i="11" l="1"/>
  <c r="I112" i="11" s="1"/>
  <c r="R112" i="11" s="1"/>
  <c r="U112" i="11" s="1"/>
  <c r="N112" i="11" l="1"/>
  <c r="H113" i="11" s="1"/>
  <c r="J113" i="11" l="1"/>
  <c r="I113" i="11" s="1"/>
  <c r="R113" i="11" s="1"/>
  <c r="U113" i="11" s="1"/>
  <c r="N113" i="11" l="1"/>
  <c r="H114" i="11" s="1"/>
  <c r="J114" i="11" l="1"/>
  <c r="I114" i="11" s="1"/>
  <c r="R114" i="11" s="1"/>
  <c r="U114" i="11" s="1"/>
  <c r="N114" i="11" l="1"/>
  <c r="H115" i="11" s="1"/>
  <c r="J115" i="11" l="1"/>
  <c r="I115" i="11" s="1"/>
  <c r="R115" i="11" s="1"/>
  <c r="U115" i="11" s="1"/>
  <c r="N115" i="11" l="1"/>
  <c r="H116" i="11" s="1"/>
  <c r="J116" i="11" l="1"/>
  <c r="I116" i="11" s="1"/>
  <c r="R116" i="11" s="1"/>
  <c r="U116" i="11" s="1"/>
  <c r="N116" i="11" l="1"/>
  <c r="H117" i="11" s="1"/>
  <c r="J117" i="11" l="1"/>
  <c r="I117" i="11" s="1"/>
  <c r="R117" i="11" s="1"/>
  <c r="U117" i="11" s="1"/>
  <c r="N117" i="11" l="1"/>
  <c r="H118" i="11" s="1"/>
  <c r="J118" i="11" l="1"/>
  <c r="I118" i="11" s="1"/>
  <c r="R118" i="11" s="1"/>
  <c r="U118" i="11" s="1"/>
  <c r="N118" i="11" l="1"/>
  <c r="H119" i="11" s="1"/>
  <c r="J119" i="11" l="1"/>
  <c r="M119" i="11" s="1"/>
  <c r="M120" i="11" s="1"/>
  <c r="C42" i="11" s="1"/>
  <c r="I119" i="11" l="1"/>
  <c r="J120" i="11"/>
  <c r="C41" i="11" s="1"/>
  <c r="R119" i="11" l="1"/>
  <c r="U119" i="11" s="1"/>
  <c r="U45" i="11" s="1"/>
  <c r="U44" i="11" s="1"/>
  <c r="N119"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Ivan Francisco Rojas</author>
    <author>Monica Cecilia Ato Rodriguez</author>
  </authors>
  <commentList>
    <comment ref="C19" authorId="0" shapeId="0" xr:uid="{1D45FA40-2CF5-41E2-A243-04A238ADD5EA}">
      <text>
        <r>
          <rPr>
            <b/>
            <sz val="9"/>
            <color indexed="81"/>
            <rFont val="Tahoma"/>
            <family val="2"/>
          </rPr>
          <t>Elegir un plazo entre 1 y 72 meses.</t>
        </r>
      </text>
    </comment>
    <comment ref="B27" authorId="1" shapeId="0" xr:uid="{EDD3D76D-9A1B-4447-867D-8D0DAF3AA4EC}">
      <text>
        <r>
          <rPr>
            <b/>
            <sz val="9"/>
            <color indexed="81"/>
            <rFont val="Tahoma"/>
            <family val="2"/>
          </rPr>
          <t xml:space="preserve">Seguro de Vida </t>
        </r>
        <r>
          <rPr>
            <sz val="9"/>
            <color indexed="81"/>
            <rFont val="Tahoma"/>
            <family val="2"/>
          </rPr>
          <t xml:space="preserve">comercializado por BNP Paribas Cardif asociado todo crédito que cubre la deuda, al presentarse un siniestro generado por fallecimiento o invalidez total y permanente. En caso EL CLIENTE realice la cancelación anticipada del crédito coberturado por el seguro de vida,puede mantener su póliza de vida por el plazo inicialmente contratado o anularla y solicitar la devolución de la prima pagada por el periodo no cubierto. </t>
        </r>
        <r>
          <rPr>
            <b/>
            <sz val="9"/>
            <color indexed="81"/>
            <rFont val="Tahoma"/>
            <family val="2"/>
          </rPr>
          <t xml:space="preserve">
Seguro de Desgravamen </t>
        </r>
        <r>
          <rPr>
            <sz val="9"/>
            <color indexed="81"/>
            <rFont val="Tahoma"/>
            <family val="2"/>
          </rPr>
          <t xml:space="preserve">comercializado por BNP Paribas Cardif asociado todo crédito que cubre la deuda, al presentarse un siniestro generado por fallecimiento o invalidez total y permanente. En caso EL CLIENTE realice la cancelación anticipada del crédito coberturado por el seguro de desgravamen,puede solicitar la devolución de la prima pagada por el periodo no cubierto. </t>
        </r>
        <r>
          <rPr>
            <b/>
            <sz val="9"/>
            <color indexed="81"/>
            <rFont val="Tahoma"/>
            <family val="2"/>
          </rPr>
          <t xml:space="preserve">
Seguro de Desgravamen con Devolución </t>
        </r>
        <r>
          <rPr>
            <sz val="9"/>
            <color indexed="81"/>
            <rFont val="Tahoma"/>
            <family val="2"/>
          </rPr>
          <t xml:space="preserve">comercializado por BNP Paribas Cardif asociado todo crédito que cubre la deuda, al presentarse un siniestro generado por fallecimiento o invalidez total y permanente. Al finalizar el contrato, puede solicitar la cobertura del 30% de las primas pagadas por sobreviviencia.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Alexandra Carolina Marcos Quispe</author>
  </authors>
  <commentList>
    <comment ref="G1" authorId="0" shapeId="0" xr:uid="{78B7A981-CD70-462D-83A4-BFA67CBD2B2E}">
      <text>
        <r>
          <rPr>
            <b/>
            <sz val="9"/>
            <color indexed="81"/>
            <rFont val="Tahoma"/>
            <family val="2"/>
          </rPr>
          <t>Alexandra Carolina Marcos Quispe:</t>
        </r>
        <r>
          <rPr>
            <sz val="9"/>
            <color indexed="81"/>
            <rFont val="Tahoma"/>
            <family val="2"/>
          </rPr>
          <t xml:space="preserve">
Lista de opciones. 
Si se desea incorporar más categorías se debe escribir en esta tabla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Alexandra Carolina Marcos Quispe</author>
  </authors>
  <commentList>
    <comment ref="H16" authorId="0" shapeId="0" xr:uid="{F0F79DA3-F2C7-44CB-8620-47289245AA03}">
      <text>
        <r>
          <rPr>
            <b/>
            <sz val="9"/>
            <color indexed="81"/>
            <rFont val="Tahoma"/>
            <family val="2"/>
          </rPr>
          <t>Alexandra Carolina Marcos Quispe:</t>
        </r>
        <r>
          <rPr>
            <sz val="9"/>
            <color indexed="81"/>
            <rFont val="Tahoma"/>
            <family val="2"/>
          </rPr>
          <t xml:space="preserve">
4 DECIMALES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Alexandra Carolina Marcos Quispe</author>
  </authors>
  <commentList>
    <comment ref="H16" authorId="0" shapeId="0" xr:uid="{B092223F-055B-42E7-8574-DC7BB178EBA7}">
      <text>
        <r>
          <rPr>
            <b/>
            <sz val="9"/>
            <color indexed="81"/>
            <rFont val="Tahoma"/>
            <family val="2"/>
          </rPr>
          <t>Alexandra Carolina Marcos Quispe:</t>
        </r>
        <r>
          <rPr>
            <sz val="9"/>
            <color indexed="81"/>
            <rFont val="Tahoma"/>
            <family val="2"/>
          </rPr>
          <t xml:space="preserve">
4 DECIMALES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<sst xmlns="http://schemas.openxmlformats.org/spreadsheetml/2006/main" count="335" uniqueCount="96">
  <si>
    <t>Monto del Bien</t>
  </si>
  <si>
    <t>Moneda</t>
  </si>
  <si>
    <t>Soles</t>
  </si>
  <si>
    <t>Fecha de Desembolso</t>
  </si>
  <si>
    <t>Fecha de 1er Pago</t>
  </si>
  <si>
    <t>Cuota Julio</t>
  </si>
  <si>
    <t>Cuota Diciembre</t>
  </si>
  <si>
    <t>TEA</t>
  </si>
  <si>
    <t>Seguro de Desgravamen</t>
  </si>
  <si>
    <t>TEA TOTAL</t>
  </si>
  <si>
    <t>Seguro del Bien</t>
  </si>
  <si>
    <t>Portes</t>
  </si>
  <si>
    <t>Cuota</t>
  </si>
  <si>
    <t>TCEA</t>
  </si>
  <si>
    <t>N° Cuota</t>
  </si>
  <si>
    <t>Fecha de pago</t>
  </si>
  <si>
    <t>Día</t>
  </si>
  <si>
    <t>Días</t>
  </si>
  <si>
    <t>Dias Acumulados</t>
  </si>
  <si>
    <t>Saldo Inicial</t>
  </si>
  <si>
    <t>Amortización</t>
  </si>
  <si>
    <t>Interés</t>
  </si>
  <si>
    <t>Seguro Desgravamen</t>
  </si>
  <si>
    <t>Cuota Constante</t>
  </si>
  <si>
    <t>Saldo Final</t>
  </si>
  <si>
    <t>Factor Cronograma</t>
  </si>
  <si>
    <t>Factor Cronograma 2</t>
  </si>
  <si>
    <t>Vector i,1
Cuota</t>
  </si>
  <si>
    <t>Vector i,2
Días Acum</t>
  </si>
  <si>
    <t>Vector i,3 Factor</t>
  </si>
  <si>
    <t>Vector i,4
Calculo VA</t>
  </si>
  <si>
    <t>Seguro Desempleo</t>
  </si>
  <si>
    <t>MAF Inicial</t>
  </si>
  <si>
    <t>Monto inicial</t>
  </si>
  <si>
    <t>VPN - Valor Presente</t>
  </si>
  <si>
    <t>Costo Capital</t>
  </si>
  <si>
    <t>Suma de Prima Mensual</t>
  </si>
  <si>
    <t>Proceso de Cálculo de la Prima de Seguros</t>
  </si>
  <si>
    <t>1) Datos esenciales del préstamo</t>
  </si>
  <si>
    <t>Producto</t>
  </si>
  <si>
    <t>TARIFA TITULAR</t>
  </si>
  <si>
    <t>Seguro de Vida</t>
  </si>
  <si>
    <t>Seguro de Desgravamen con Devolución</t>
  </si>
  <si>
    <t>Tipo de Seguro</t>
  </si>
  <si>
    <t>Tarifa</t>
  </si>
  <si>
    <t>PRODUCTO</t>
  </si>
  <si>
    <t>TARIFA</t>
  </si>
  <si>
    <t>TIPO_SEGURO</t>
  </si>
  <si>
    <t>Valor</t>
  </si>
  <si>
    <t>CostoCapital</t>
  </si>
  <si>
    <t>3) Calculo del valor presente del Seguro</t>
  </si>
  <si>
    <t>4) Calculo del Monto Adicional del Seguro y MAF</t>
  </si>
  <si>
    <t>2) Creación de Cronograma de prima mensual</t>
  </si>
  <si>
    <t>Monto adicional Seguro de Desgravamen/ Vida</t>
  </si>
  <si>
    <t>Prima de Seguro de Desgravamen / Vida</t>
  </si>
  <si>
    <t>Monto adicional de Desgravamen / Vida</t>
  </si>
  <si>
    <t>Plazo Remanente Meses</t>
  </si>
  <si>
    <t>Monto adicional desempleo</t>
  </si>
  <si>
    <t>Empleado</t>
  </si>
  <si>
    <t>1) Establecer los datos del préstamos</t>
  </si>
  <si>
    <t xml:space="preserve">2) Calcular TCEA presionando el botón </t>
  </si>
  <si>
    <t>Préstamos Personales (LD )</t>
  </si>
  <si>
    <t>Plazo</t>
  </si>
  <si>
    <t>Plazo Rango</t>
  </si>
  <si>
    <t xml:space="preserve">Plazo </t>
  </si>
  <si>
    <t>Días de Periodo de Gracia</t>
  </si>
  <si>
    <t>MAF Final</t>
  </si>
  <si>
    <t>0-370</t>
  </si>
  <si>
    <t>371-553</t>
  </si>
  <si>
    <t>554-736</t>
  </si>
  <si>
    <t>737-1101</t>
  </si>
  <si>
    <t>1102-1466</t>
  </si>
  <si>
    <t>1467-1831</t>
  </si>
  <si>
    <t>1832-2257</t>
  </si>
  <si>
    <t>Plazo en Días</t>
  </si>
  <si>
    <t>Costo de Capital Mensual</t>
  </si>
  <si>
    <t>Seguro Tasa de Prima Mensual (%)</t>
  </si>
  <si>
    <t xml:space="preserve">Prima Única (%) del Seguro </t>
  </si>
  <si>
    <t>Prima Única (S/) del Seguro</t>
  </si>
  <si>
    <t>Feriados</t>
  </si>
  <si>
    <t>Cantidad días</t>
  </si>
  <si>
    <t>Días Cobertura Seguro</t>
  </si>
  <si>
    <t>Fecha de pago Prev</t>
  </si>
  <si>
    <t xml:space="preserve">Cuota </t>
  </si>
  <si>
    <t>Feriados del Año 2024</t>
  </si>
  <si>
    <t>Seguro de Vida Full</t>
  </si>
  <si>
    <t>1) Registro de Datos para cálculo.</t>
  </si>
  <si>
    <t>Sin Seguro</t>
  </si>
  <si>
    <t>Simulador Préstamo Personal</t>
  </si>
  <si>
    <t>Cuota Total</t>
  </si>
  <si>
    <t>Intereses Totales</t>
  </si>
  <si>
    <t>Tasa de Prima Mensual</t>
  </si>
  <si>
    <t>Tipo de seguro deseado</t>
  </si>
  <si>
    <t>2) Resultados del Producto.</t>
  </si>
  <si>
    <r>
      <t>Esta simulación es solo referencial. No constituye declaración ni genera responsabilidad para Santander Consumer Bank. Las cuotas resultantes son aproximadas de acuerdo a los datos ingresados. La simulación asume que el crédito es desembolsado en el mismo día al de la fecha que se efectúa la simulación. Si cuenta con un seguro de vida contratado directamente, puede endosarlo a favor de Santander Consumer Bank, siempre que reúna las condiciones y características de cobertura requeridas hasta por el monto del saldo adeudado. Infórmate sobre nuestras tasas de interés, comisiones y gastos en el tarifario ubicado en </t>
    </r>
    <r>
      <rPr>
        <b/>
        <sz val="10"/>
        <color rgb="FFFF0000"/>
        <rFont val="Arial"/>
        <family val="2"/>
      </rPr>
      <t>www.santanderconsumer.com.pe/personas</t>
    </r>
    <r>
      <rPr>
        <sz val="10"/>
        <color rgb="FF666666"/>
        <rFont val="Arial"/>
        <family val="2"/>
      </rPr>
      <t>.</t>
    </r>
  </si>
  <si>
    <t>Nota: Registrar los datos en las celdas de color amarillo, elegir el tipo de seguro deseado y luego dar click al boton "Calcular TCEA".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</si>
</sst>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 #,##0.00_-;_-* &quot;-&quot;??_-;_-@_-"/>
    <numFmt numFmtId="164" formatCode="_ * #,##0.00_ ;_ * \-#,##0.00_ ;_ * &quot;-&quot;??_ ;_ @_ "/>
    <numFmt numFmtId="165" formatCode="0.000%"/>
    <numFmt numFmtId="166" formatCode="0.000000"/>
    <numFmt numFmtId="167" formatCode="_ * #,##0_ ;_ * \-#,##0_ ;_ * &quot;-&quot;??_ ;_ @_ "/>
    <numFmt numFmtId="168" formatCode="&quot;Seg. Des.&quot;"/>
    <numFmt numFmtId="169" formatCode="0.0000%"/>
    <numFmt numFmtId="170" formatCode="0\ &quot;meses&quot;"/>
    <numFmt numFmtId="171" formatCode="0\ &quot;días&quot;"/>
    <numFmt numFmtId="172" formatCode="#,##0.0"/>
    <numFmt numFmtId="173" formatCode="0.0%"/>
    <numFmt numFmtId="174" formatCode="#,##0.00_ ;\-#,##0.00\ "/>
  </numFmts>
  <fonts count="25" x14ac:knownFonts="1">
    <font>
      <sz val="11"/>
      <color theme="1"/>
      <name val="Calibri"/>
      <family val="2"/>
      <scheme val="minor"/>
    </font>
    <font>
      <sz val="11"/>
      <color theme="1"/>
      <name val="Calibri"/>
      <family val="2"/>
      <scheme val="minor"/>
    </font>
    <font>
      <sz val="10"/>
      <color theme="1"/>
      <name val="Arial"/>
      <family val="2"/>
    </font>
    <font>
      <sz val="9"/>
      <color theme="1"/>
      <name val="Scotia"/>
      <family val="2"/>
    </font>
    <font>
      <b/>
      <sz val="9"/>
      <color theme="1"/>
      <name val="Scotia"/>
      <family val="2"/>
    </font>
    <font>
      <b/>
      <sz val="9"/>
      <color theme="0"/>
      <name val="Scotia"/>
      <family val="2"/>
    </font>
    <font>
      <sz val="9"/>
      <color theme="0"/>
      <name val="Scotia"/>
      <family val="2"/>
    </font>
    <font>
      <sz val="9"/>
      <color indexed="81"/>
      <name val="Tahoma"/>
      <family val="2"/>
    </font>
    <font>
      <b/>
      <sz val="9"/>
      <color indexed="81"/>
      <name val="Tahoma"/>
      <family val="2"/>
    </font>
    <font>
      <b/>
      <sz val="10"/>
      <color theme="0"/>
      <name val="Scotia"/>
      <family val="2"/>
    </font>
    <font>
      <b/>
      <sz val="12"/>
      <color theme="0"/>
      <name val="Scotia"/>
      <family val="2"/>
    </font>
    <font>
      <sz val="10"/>
      <color rgb="FF666666"/>
      <name val="Arial"/>
      <family val="2"/>
    </font>
    <font>
      <sz val="10"/>
      <color theme="0"/>
      <name val="Scotia"/>
      <family val="2"/>
    </font>
    <font>
      <sz val="10"/>
      <name val="Scotia"/>
      <family val="2"/>
    </font>
    <font>
      <b/>
      <sz val="22"/>
      <name val="Scotia"/>
      <family val="2"/>
    </font>
    <font>
      <b/>
      <sz val="10"/>
      <name val="Scotia"/>
      <family val="2"/>
    </font>
    <font>
      <b/>
      <sz val="11"/>
      <name val="Scotia"/>
      <family val="2"/>
    </font>
    <font>
      <sz val="11"/>
      <name val="Scotia"/>
      <family val="2"/>
    </font>
    <font>
      <sz val="11"/>
      <name val="Calibri"/>
      <family val="2"/>
      <scheme val="minor"/>
    </font>
    <font>
      <sz val="10"/>
      <color theme="1"/>
      <name val="Scotia"/>
      <family val="2"/>
    </font>
    <font>
      <sz val="11"/>
      <color theme="1"/>
      <name val="Scotia"/>
      <family val="2"/>
    </font>
    <font>
      <b/>
      <sz val="10"/>
      <color theme="1"/>
      <name val="Scotia"/>
      <family val="2"/>
    </font>
    <font>
      <sz val="12"/>
      <color theme="0"/>
      <name val="Scotia"/>
      <family val="2"/>
    </font>
    <font>
      <b/>
      <sz val="20"/>
      <color theme="0"/>
      <name val="Scotia"/>
      <family val="2"/>
    </font>
    <font>
      <b/>
      <sz val="10"/>
      <color rgb="FFFF0000"/>
      <name val="Arial"/>
      <family val="2"/>
    </font>
  </fonts>
  <fills count="20">
    <fill>
      <patternFill patternType="none"/>
    </fill>
    <fill>
      <patternFill patternType="gray125"/>
    </fill>
    <fill>
      <patternFill patternType="solid">
        <fgColor theme="0" tint="-4.9989318521683403E-2"/>
        <bgColor indexed="64"/>
      </patternFill>
    </fill>
    <fill>
      <patternFill patternType="solid">
        <fgColor rgb="FFFF0000"/>
        <bgColor indexed="64"/>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9"/>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FF00"/>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1" tint="0.34998626667073579"/>
        <bgColor indexed="64"/>
      </patternFill>
    </fill>
    <fill>
      <patternFill patternType="solid">
        <fgColor rgb="FF92D050"/>
        <bgColor indexed="64"/>
      </patternFill>
    </fill>
    <fill>
      <patternFill patternType="solid">
        <fgColor rgb="FF00FF00"/>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rgb="FFEC00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theme="0"/>
      </left>
      <right/>
      <top/>
      <bottom/>
      <diagonal/>
    </border>
    <border>
      <left/>
      <right style="thin">
        <color theme="0"/>
      </right>
      <top/>
      <bottom/>
      <diagonal/>
    </border>
  </borders>
  <cellStyleXfs count="4">
    <xf numFmtId="0" fontId="0" fillId="0" borderId="0"/>
    <xf numFmtId="164" fontId="1" fillId="0" borderId="0" applyFont="0" applyFill="0" applyBorder="0" applyAlignment="0" applyProtection="0"/>
    <xf numFmtId="9" fontId="1" fillId="0" borderId="0" applyFont="0" applyFill="0" applyBorder="0" applyAlignment="0" applyProtection="0"/>
    <xf numFmtId="0" fontId="2" fillId="0" borderId="0"/>
  </cellStyleXfs>
  <cellXfs count="172">
    <xf numFmtId="0" fontId="0" fillId="0" borderId="0" xfId="0"/>
    <xf numFmtId="0" fontId="12" fillId="4" borderId="0" xfId="0" applyFont="1" applyFill="1"/>
    <xf numFmtId="0" fontId="9" fillId="4" borderId="0" xfId="0" applyFont="1" applyFill="1"/>
    <xf numFmtId="0" fontId="9" fillId="4" borderId="0" xfId="3" applyFont="1" applyFill="1" applyAlignment="1" applyProtection="1">
      <alignment horizontal="left" vertical="center" wrapText="1"/>
      <protection locked="0"/>
    </xf>
    <xf numFmtId="164" fontId="12" fillId="4" borderId="0" xfId="1" applyFont="1" applyFill="1" applyBorder="1"/>
    <xf numFmtId="43" fontId="12" fillId="4" borderId="0" xfId="0" applyNumberFormat="1" applyFont="1" applyFill="1"/>
    <xf numFmtId="0" fontId="12" fillId="4" borderId="1" xfId="0" applyFont="1" applyFill="1" applyBorder="1"/>
    <xf numFmtId="164" fontId="12" fillId="4" borderId="0" xfId="0" applyNumberFormat="1" applyFont="1" applyFill="1"/>
    <xf numFmtId="164" fontId="12" fillId="4" borderId="1" xfId="0" applyNumberFormat="1" applyFont="1" applyFill="1" applyBorder="1"/>
    <xf numFmtId="164" fontId="12" fillId="4" borderId="1" xfId="1" applyFont="1" applyFill="1" applyBorder="1"/>
    <xf numFmtId="2" fontId="12" fillId="4" borderId="1" xfId="0" applyNumberFormat="1" applyFont="1" applyFill="1" applyBorder="1"/>
    <xf numFmtId="164" fontId="3" fillId="11" borderId="2" xfId="1" applyFont="1" applyFill="1" applyBorder="1" applyProtection="1">
      <protection locked="0"/>
    </xf>
    <xf numFmtId="14" fontId="3" fillId="11" borderId="2" xfId="0" applyNumberFormat="1" applyFont="1" applyFill="1" applyBorder="1" applyProtection="1">
      <protection locked="0"/>
    </xf>
    <xf numFmtId="10" fontId="3" fillId="11" borderId="2" xfId="0" applyNumberFormat="1" applyFont="1" applyFill="1" applyBorder="1" applyProtection="1">
      <protection locked="0"/>
    </xf>
    <xf numFmtId="10" fontId="3" fillId="2" borderId="2" xfId="2" applyNumberFormat="1" applyFont="1" applyFill="1" applyBorder="1" applyProtection="1">
      <protection locked="0"/>
    </xf>
    <xf numFmtId="170" fontId="3" fillId="11" borderId="2" xfId="0" applyNumberFormat="1" applyFont="1" applyFill="1" applyBorder="1" applyProtection="1">
      <protection locked="0"/>
    </xf>
    <xf numFmtId="0" fontId="13" fillId="4" borderId="0" xfId="0" applyFont="1" applyFill="1"/>
    <xf numFmtId="0" fontId="15" fillId="4" borderId="0" xfId="0" applyFont="1" applyFill="1"/>
    <xf numFmtId="0" fontId="15" fillId="4" borderId="2" xfId="3" applyFont="1" applyFill="1" applyBorder="1" applyAlignment="1" applyProtection="1">
      <alignment horizontal="left" vertical="center" wrapText="1"/>
      <protection locked="0"/>
    </xf>
    <xf numFmtId="164" fontId="13" fillId="4" borderId="2" xfId="1" applyFont="1" applyFill="1" applyBorder="1"/>
    <xf numFmtId="169" fontId="15" fillId="4" borderId="0" xfId="2" applyNumberFormat="1" applyFont="1" applyFill="1" applyBorder="1" applyAlignment="1" applyProtection="1">
      <alignment horizontal="left" vertical="center" wrapText="1"/>
      <protection locked="0"/>
    </xf>
    <xf numFmtId="0" fontId="15" fillId="4" borderId="0" xfId="3" applyFont="1" applyFill="1" applyAlignment="1" applyProtection="1">
      <alignment horizontal="left" vertical="center" wrapText="1"/>
      <protection locked="0"/>
    </xf>
    <xf numFmtId="164" fontId="13" fillId="4" borderId="0" xfId="1" applyFont="1" applyFill="1" applyBorder="1"/>
    <xf numFmtId="0" fontId="15" fillId="4" borderId="0" xfId="3" applyFont="1" applyFill="1" applyAlignment="1" applyProtection="1">
      <alignment horizontal="left" vertical="center"/>
      <protection locked="0"/>
    </xf>
    <xf numFmtId="9" fontId="13" fillId="4" borderId="0" xfId="0" applyNumberFormat="1" applyFont="1" applyFill="1"/>
    <xf numFmtId="10" fontId="13" fillId="4" borderId="0" xfId="2" applyNumberFormat="1" applyFont="1" applyFill="1" applyBorder="1"/>
    <xf numFmtId="164" fontId="13" fillId="4" borderId="0" xfId="1" applyFont="1" applyFill="1"/>
    <xf numFmtId="164" fontId="13" fillId="4" borderId="2" xfId="1" applyFont="1" applyFill="1" applyBorder="1" applyAlignment="1">
      <alignment horizontal="left" vertical="center"/>
    </xf>
    <xf numFmtId="0" fontId="13" fillId="4" borderId="0" xfId="2" applyNumberFormat="1" applyFont="1" applyFill="1"/>
    <xf numFmtId="169" fontId="13" fillId="4" borderId="2" xfId="2" applyNumberFormat="1" applyFont="1" applyFill="1" applyBorder="1" applyAlignment="1">
      <alignment horizontal="right" vertical="center"/>
    </xf>
    <xf numFmtId="169" fontId="13" fillId="4" borderId="0" xfId="2" applyNumberFormat="1" applyFont="1" applyFill="1"/>
    <xf numFmtId="43" fontId="13" fillId="4" borderId="0" xfId="0" applyNumberFormat="1" applyFont="1" applyFill="1"/>
    <xf numFmtId="0" fontId="13" fillId="4" borderId="1" xfId="0" applyFont="1" applyFill="1" applyBorder="1"/>
    <xf numFmtId="43" fontId="13" fillId="4" borderId="0" xfId="2" applyNumberFormat="1" applyFont="1" applyFill="1"/>
    <xf numFmtId="169" fontId="13" fillId="4" borderId="0" xfId="0" applyNumberFormat="1" applyFont="1" applyFill="1"/>
    <xf numFmtId="166" fontId="13" fillId="4" borderId="0" xfId="0" applyNumberFormat="1" applyFont="1" applyFill="1"/>
    <xf numFmtId="164" fontId="13" fillId="4" borderId="0" xfId="0" applyNumberFormat="1" applyFont="1" applyFill="1"/>
    <xf numFmtId="0" fontId="16" fillId="4" borderId="0" xfId="0" applyFont="1" applyFill="1" applyAlignment="1">
      <alignment horizontal="center"/>
    </xf>
    <xf numFmtId="0" fontId="16" fillId="4" borderId="0" xfId="0" applyFont="1" applyFill="1"/>
    <xf numFmtId="0" fontId="17" fillId="4" borderId="0" xfId="0" applyFont="1" applyFill="1"/>
    <xf numFmtId="0" fontId="13" fillId="4" borderId="0" xfId="0" applyFont="1" applyFill="1" applyAlignment="1">
      <alignment horizontal="center"/>
    </xf>
    <xf numFmtId="0" fontId="18" fillId="4" borderId="0" xfId="0" applyFont="1" applyFill="1"/>
    <xf numFmtId="169" fontId="13" fillId="4" borderId="0" xfId="0" applyNumberFormat="1" applyFont="1" applyFill="1" applyAlignment="1">
      <alignment wrapText="1"/>
    </xf>
    <xf numFmtId="49" fontId="19" fillId="0" borderId="1" xfId="0" applyNumberFormat="1" applyFont="1" applyBorder="1"/>
    <xf numFmtId="0" fontId="19" fillId="0" borderId="6" xfId="0" applyFont="1" applyBorder="1" applyAlignment="1">
      <alignment horizontal="center"/>
    </xf>
    <xf numFmtId="0" fontId="19" fillId="0" borderId="1" xfId="0" applyFont="1" applyBorder="1"/>
    <xf numFmtId="0" fontId="19" fillId="0" borderId="5" xfId="0" applyFont="1" applyBorder="1" applyAlignment="1">
      <alignment horizontal="center"/>
    </xf>
    <xf numFmtId="0" fontId="19" fillId="0" borderId="5" xfId="0" applyFont="1" applyBorder="1"/>
    <xf numFmtId="0" fontId="19" fillId="0" borderId="6" xfId="0" applyFont="1" applyBorder="1"/>
    <xf numFmtId="169" fontId="20" fillId="0" borderId="7" xfId="2" applyNumberFormat="1" applyFont="1" applyBorder="1"/>
    <xf numFmtId="169" fontId="20" fillId="0" borderId="4" xfId="2" applyNumberFormat="1" applyFont="1" applyBorder="1"/>
    <xf numFmtId="0" fontId="19" fillId="0" borderId="8" xfId="0" applyFont="1" applyBorder="1"/>
    <xf numFmtId="0" fontId="21" fillId="12" borderId="2" xfId="3" applyFont="1" applyFill="1" applyBorder="1" applyAlignment="1" applyProtection="1">
      <alignment horizontal="left" vertical="center" wrapText="1"/>
      <protection locked="0"/>
    </xf>
    <xf numFmtId="1" fontId="19" fillId="2" borderId="2" xfId="0" applyNumberFormat="1" applyFont="1" applyFill="1" applyBorder="1"/>
    <xf numFmtId="0" fontId="19" fillId="2" borderId="2" xfId="0" applyFont="1" applyFill="1" applyBorder="1"/>
    <xf numFmtId="0" fontId="15" fillId="4" borderId="1" xfId="3" applyFont="1" applyFill="1" applyBorder="1" applyAlignment="1" applyProtection="1">
      <alignment horizontal="center" vertical="center" wrapText="1"/>
      <protection locked="0"/>
    </xf>
    <xf numFmtId="168" fontId="15" fillId="4" borderId="1" xfId="3" applyNumberFormat="1" applyFont="1" applyFill="1" applyBorder="1" applyAlignment="1" applyProtection="1">
      <alignment horizontal="center" vertical="center" wrapText="1"/>
      <protection locked="0"/>
    </xf>
    <xf numFmtId="164" fontId="13" fillId="4" borderId="1" xfId="0" applyNumberFormat="1" applyFont="1" applyFill="1" applyBorder="1"/>
    <xf numFmtId="164" fontId="13" fillId="4" borderId="1" xfId="1" applyFont="1" applyFill="1" applyBorder="1"/>
    <xf numFmtId="2" fontId="13" fillId="4" borderId="1" xfId="0" applyNumberFormat="1" applyFont="1" applyFill="1" applyBorder="1"/>
    <xf numFmtId="0" fontId="0" fillId="0" borderId="9" xfId="0" applyBorder="1"/>
    <xf numFmtId="14" fontId="0" fillId="0" borderId="0" xfId="0" applyNumberFormat="1"/>
    <xf numFmtId="0" fontId="19" fillId="2" borderId="2" xfId="0" applyFont="1" applyFill="1" applyBorder="1" applyAlignment="1">
      <alignment horizontal="right"/>
    </xf>
    <xf numFmtId="164" fontId="19" fillId="2" borderId="2" xfId="1" applyFont="1" applyFill="1" applyBorder="1"/>
    <xf numFmtId="0" fontId="21" fillId="12" borderId="2" xfId="3" applyFont="1" applyFill="1" applyBorder="1" applyAlignment="1">
      <alignment horizontal="left" vertical="center" wrapText="1"/>
    </xf>
    <xf numFmtId="167" fontId="19" fillId="2" borderId="2" xfId="1" applyNumberFormat="1" applyFont="1" applyFill="1" applyBorder="1"/>
    <xf numFmtId="164" fontId="19" fillId="2" borderId="2" xfId="0" applyNumberFormat="1" applyFont="1" applyFill="1" applyBorder="1" applyAlignment="1">
      <alignment horizontal="right"/>
    </xf>
    <xf numFmtId="14" fontId="19" fillId="2" borderId="2" xfId="0" applyNumberFormat="1" applyFont="1" applyFill="1" applyBorder="1"/>
    <xf numFmtId="0" fontId="21" fillId="12" borderId="3" xfId="3" applyFont="1" applyFill="1" applyBorder="1" applyAlignment="1" applyProtection="1">
      <alignment horizontal="left" vertical="center" wrapText="1"/>
      <protection locked="0"/>
    </xf>
    <xf numFmtId="10" fontId="19" fillId="2" borderId="3" xfId="0" applyNumberFormat="1" applyFont="1" applyFill="1" applyBorder="1"/>
    <xf numFmtId="0" fontId="21" fillId="13" borderId="2" xfId="3" applyFont="1" applyFill="1" applyBorder="1" applyAlignment="1" applyProtection="1">
      <alignment horizontal="left" vertical="center" wrapText="1"/>
      <protection locked="0"/>
    </xf>
    <xf numFmtId="10" fontId="21" fillId="2" borderId="2" xfId="2" applyNumberFormat="1" applyFont="1" applyFill="1" applyBorder="1"/>
    <xf numFmtId="164" fontId="21" fillId="2" borderId="2" xfId="1" applyFont="1" applyFill="1" applyBorder="1"/>
    <xf numFmtId="169" fontId="21" fillId="2" borderId="2" xfId="0" applyNumberFormat="1" applyFont="1" applyFill="1" applyBorder="1"/>
    <xf numFmtId="0" fontId="21" fillId="2" borderId="2" xfId="0" applyFont="1" applyFill="1" applyBorder="1"/>
    <xf numFmtId="0" fontId="15" fillId="13" borderId="2" xfId="3" applyFont="1" applyFill="1" applyBorder="1" applyAlignment="1" applyProtection="1">
      <alignment horizontal="left" vertical="center" wrapText="1"/>
      <protection locked="0"/>
    </xf>
    <xf numFmtId="0" fontId="19" fillId="0" borderId="0" xfId="0" applyFont="1"/>
    <xf numFmtId="0" fontId="9" fillId="6" borderId="2" xfId="3" applyFont="1" applyFill="1" applyBorder="1" applyAlignment="1" applyProtection="1">
      <alignment horizontal="left" vertical="center" wrapText="1"/>
      <protection locked="0"/>
    </xf>
    <xf numFmtId="0" fontId="9" fillId="14" borderId="1" xfId="3" applyFont="1" applyFill="1" applyBorder="1" applyAlignment="1" applyProtection="1">
      <alignment horizontal="center" vertical="center" wrapText="1"/>
      <protection locked="0"/>
    </xf>
    <xf numFmtId="14" fontId="19" fillId="0" borderId="1" xfId="0" applyNumberFormat="1" applyFont="1" applyBorder="1"/>
    <xf numFmtId="14" fontId="17" fillId="4" borderId="0" xfId="0" applyNumberFormat="1" applyFont="1" applyFill="1"/>
    <xf numFmtId="164" fontId="21" fillId="16" borderId="1" xfId="0" applyNumberFormat="1" applyFont="1" applyFill="1" applyBorder="1"/>
    <xf numFmtId="169" fontId="19" fillId="16" borderId="2" xfId="2" applyNumberFormat="1" applyFont="1" applyFill="1" applyBorder="1"/>
    <xf numFmtId="0" fontId="19" fillId="16" borderId="2" xfId="0" applyFont="1" applyFill="1" applyBorder="1"/>
    <xf numFmtId="0" fontId="19" fillId="16" borderId="1" xfId="0" applyFont="1" applyFill="1" applyBorder="1"/>
    <xf numFmtId="49" fontId="19" fillId="16" borderId="1" xfId="0" applyNumberFormat="1" applyFont="1" applyFill="1" applyBorder="1"/>
    <xf numFmtId="10" fontId="20" fillId="16" borderId="7" xfId="2" applyNumberFormat="1" applyFont="1" applyFill="1" applyBorder="1"/>
    <xf numFmtId="0" fontId="13" fillId="11" borderId="8" xfId="0" applyFont="1" applyFill="1" applyBorder="1"/>
    <xf numFmtId="49" fontId="19" fillId="11" borderId="1" xfId="0" applyNumberFormat="1" applyFont="1" applyFill="1" applyBorder="1"/>
    <xf numFmtId="169" fontId="17" fillId="11" borderId="7" xfId="2" applyNumberFormat="1" applyFont="1" applyFill="1" applyBorder="1"/>
    <xf numFmtId="0" fontId="4" fillId="17" borderId="2" xfId="0" applyFont="1" applyFill="1" applyBorder="1" applyAlignment="1" applyProtection="1">
      <alignment horizontal="center" vertical="center" wrapText="1"/>
      <protection locked="0"/>
    </xf>
    <xf numFmtId="10" fontId="3" fillId="4" borderId="0" xfId="0" applyNumberFormat="1" applyFont="1" applyFill="1" applyProtection="1">
      <protection locked="0"/>
    </xf>
    <xf numFmtId="164" fontId="3" fillId="11" borderId="2" xfId="1" applyFont="1" applyFill="1" applyBorder="1" applyAlignment="1" applyProtection="1">
      <alignment horizontal="center" vertical="center"/>
      <protection locked="0"/>
    </xf>
    <xf numFmtId="170" fontId="3" fillId="11" borderId="2" xfId="0" applyNumberFormat="1" applyFont="1" applyFill="1" applyBorder="1" applyAlignment="1" applyProtection="1">
      <alignment horizontal="center" vertical="center"/>
      <protection locked="0"/>
    </xf>
    <xf numFmtId="14" fontId="3" fillId="11" borderId="2" xfId="0" applyNumberFormat="1" applyFont="1" applyFill="1" applyBorder="1" applyAlignment="1" applyProtection="1">
      <alignment horizontal="center" vertical="center"/>
      <protection locked="0"/>
    </xf>
    <xf numFmtId="10" fontId="3" fillId="11" borderId="2" xfId="0" applyNumberFormat="1" applyFont="1" applyFill="1" applyBorder="1" applyAlignment="1" applyProtection="1">
      <alignment horizontal="center" vertical="center"/>
      <protection locked="0"/>
    </xf>
    <xf numFmtId="174" fontId="3" fillId="11" borderId="2" xfId="1" applyNumberFormat="1" applyFont="1" applyFill="1" applyBorder="1" applyAlignment="1" applyProtection="1">
      <alignment horizontal="center" vertical="center"/>
      <protection locked="0"/>
    </xf>
    <xf numFmtId="169" fontId="3" fillId="17" borderId="2" xfId="2" applyNumberFormat="1" applyFont="1" applyFill="1" applyBorder="1" applyAlignment="1" applyProtection="1">
      <alignment horizontal="center" vertical="center"/>
      <protection hidden="1"/>
    </xf>
    <xf numFmtId="10" fontId="3" fillId="17" borderId="2" xfId="2" applyNumberFormat="1" applyFont="1" applyFill="1" applyBorder="1" applyAlignment="1" applyProtection="1">
      <alignment horizontal="center" vertical="center"/>
      <protection hidden="1"/>
    </xf>
    <xf numFmtId="172" fontId="3" fillId="17" borderId="2" xfId="1" applyNumberFormat="1" applyFont="1" applyFill="1" applyBorder="1" applyAlignment="1" applyProtection="1">
      <alignment horizontal="center" vertical="center"/>
      <protection hidden="1"/>
    </xf>
    <xf numFmtId="3" fontId="3" fillId="17" borderId="2" xfId="1" applyNumberFormat="1" applyFont="1" applyFill="1" applyBorder="1" applyAlignment="1" applyProtection="1">
      <alignment horizontal="center" vertical="center"/>
      <protection hidden="1"/>
    </xf>
    <xf numFmtId="173" fontId="3" fillId="17" borderId="2" xfId="2" applyNumberFormat="1" applyFont="1" applyFill="1" applyBorder="1" applyAlignment="1" applyProtection="1">
      <alignment horizontal="center" vertical="center"/>
      <protection hidden="1"/>
    </xf>
    <xf numFmtId="3" fontId="4" fillId="17" borderId="2" xfId="1" applyNumberFormat="1" applyFont="1" applyFill="1" applyBorder="1" applyAlignment="1" applyProtection="1">
      <alignment horizontal="center" vertical="center"/>
      <protection hidden="1"/>
    </xf>
    <xf numFmtId="10" fontId="4" fillId="17" borderId="2" xfId="1" applyNumberFormat="1" applyFont="1" applyFill="1" applyBorder="1" applyAlignment="1" applyProtection="1">
      <alignment horizontal="center" vertical="center"/>
      <protection hidden="1"/>
    </xf>
    <xf numFmtId="0" fontId="3" fillId="0" borderId="0" xfId="0" applyFont="1" applyProtection="1">
      <protection locked="0"/>
    </xf>
    <xf numFmtId="0" fontId="4" fillId="0" borderId="0" xfId="0" applyFont="1" applyProtection="1">
      <protection locked="0"/>
    </xf>
    <xf numFmtId="169" fontId="5" fillId="3" borderId="2" xfId="2" applyNumberFormat="1" applyFont="1" applyFill="1" applyBorder="1" applyAlignment="1" applyProtection="1">
      <alignment horizontal="center" vertical="center"/>
      <protection locked="0"/>
    </xf>
    <xf numFmtId="169" fontId="3" fillId="2" borderId="2" xfId="2" applyNumberFormat="1" applyFont="1" applyFill="1" applyBorder="1" applyAlignment="1" applyProtection="1">
      <alignment horizontal="center" vertical="center"/>
      <protection locked="0"/>
    </xf>
    <xf numFmtId="0" fontId="3" fillId="0" borderId="0" xfId="0" applyFont="1" applyAlignment="1" applyProtection="1">
      <alignment horizontal="center" vertical="center"/>
      <protection locked="0"/>
    </xf>
    <xf numFmtId="0" fontId="4" fillId="5" borderId="2" xfId="3" applyFont="1" applyFill="1" applyBorder="1" applyAlignment="1" applyProtection="1">
      <alignment horizontal="left" vertical="center" wrapText="1"/>
      <protection locked="0"/>
    </xf>
    <xf numFmtId="0" fontId="3" fillId="2" borderId="0" xfId="0" applyFont="1" applyFill="1" applyProtection="1">
      <protection locked="0"/>
    </xf>
    <xf numFmtId="171" fontId="3" fillId="2" borderId="2" xfId="1" applyNumberFormat="1" applyFont="1" applyFill="1" applyBorder="1" applyAlignment="1" applyProtection="1">
      <alignment horizontal="center"/>
      <protection locked="0"/>
    </xf>
    <xf numFmtId="0" fontId="4" fillId="0" borderId="0" xfId="0" applyFont="1" applyAlignment="1" applyProtection="1">
      <alignment horizontal="center" vertical="center"/>
      <protection locked="0"/>
    </xf>
    <xf numFmtId="0" fontId="3" fillId="11" borderId="0" xfId="0" applyFont="1" applyFill="1" applyProtection="1">
      <protection locked="0"/>
    </xf>
    <xf numFmtId="0" fontId="4" fillId="5" borderId="3" xfId="3" applyFont="1" applyFill="1" applyBorder="1" applyAlignment="1" applyProtection="1">
      <alignment horizontal="left" vertical="center" wrapText="1"/>
      <protection locked="0"/>
    </xf>
    <xf numFmtId="0" fontId="3" fillId="2" borderId="3" xfId="0" applyFont="1" applyFill="1" applyBorder="1" applyAlignment="1" applyProtection="1">
      <alignment horizontal="right"/>
      <protection locked="0"/>
    </xf>
    <xf numFmtId="0" fontId="4" fillId="8" borderId="2" xfId="3" applyFont="1" applyFill="1" applyBorder="1" applyAlignment="1" applyProtection="1">
      <alignment horizontal="left" vertical="center" wrapText="1"/>
      <protection locked="0"/>
    </xf>
    <xf numFmtId="0" fontId="5" fillId="4" borderId="0" xfId="0" applyFont="1" applyFill="1" applyProtection="1">
      <protection locked="0"/>
    </xf>
    <xf numFmtId="165" fontId="3" fillId="2" borderId="2" xfId="2" applyNumberFormat="1" applyFont="1" applyFill="1" applyBorder="1" applyProtection="1">
      <protection locked="0"/>
    </xf>
    <xf numFmtId="0" fontId="21" fillId="0" borderId="0" xfId="0" applyFont="1" applyProtection="1">
      <protection locked="0"/>
    </xf>
    <xf numFmtId="164" fontId="3" fillId="2" borderId="2" xfId="1" applyFont="1" applyFill="1" applyBorder="1" applyProtection="1">
      <protection locked="0"/>
    </xf>
    <xf numFmtId="10" fontId="3" fillId="15" borderId="2" xfId="2" applyNumberFormat="1" applyFont="1" applyFill="1" applyBorder="1" applyProtection="1">
      <protection locked="0"/>
    </xf>
    <xf numFmtId="164" fontId="3" fillId="15" borderId="2" xfId="1" applyFont="1" applyFill="1" applyBorder="1" applyProtection="1">
      <protection locked="0"/>
    </xf>
    <xf numFmtId="0" fontId="10" fillId="3" borderId="0" xfId="0" applyFont="1" applyFill="1" applyProtection="1">
      <protection locked="0"/>
    </xf>
    <xf numFmtId="0" fontId="22" fillId="3" borderId="0" xfId="0" applyFont="1" applyFill="1" applyProtection="1">
      <protection locked="0"/>
    </xf>
    <xf numFmtId="164" fontId="5" fillId="3" borderId="2" xfId="1" applyFont="1" applyFill="1" applyBorder="1" applyProtection="1">
      <protection locked="0"/>
    </xf>
    <xf numFmtId="0" fontId="3" fillId="2" borderId="2" xfId="0" applyFont="1" applyFill="1" applyBorder="1" applyAlignment="1" applyProtection="1">
      <alignment horizontal="right"/>
      <protection locked="0"/>
    </xf>
    <xf numFmtId="164" fontId="3" fillId="2" borderId="2" xfId="1" applyFont="1" applyFill="1" applyBorder="1" applyAlignment="1" applyProtection="1">
      <alignment horizontal="right"/>
      <protection locked="0"/>
    </xf>
    <xf numFmtId="0" fontId="4" fillId="10" borderId="3" xfId="3" applyFont="1" applyFill="1" applyBorder="1" applyAlignment="1" applyProtection="1">
      <alignment horizontal="left" vertical="center" wrapText="1" indent="2"/>
      <protection locked="0"/>
    </xf>
    <xf numFmtId="164" fontId="3" fillId="2" borderId="2" xfId="0" applyNumberFormat="1" applyFont="1" applyFill="1" applyBorder="1" applyAlignment="1" applyProtection="1">
      <alignment horizontal="right"/>
      <protection locked="0"/>
    </xf>
    <xf numFmtId="0" fontId="5" fillId="18" borderId="2" xfId="3" applyFont="1" applyFill="1" applyBorder="1" applyAlignment="1" applyProtection="1">
      <alignment horizontal="left" vertical="center" wrapText="1" indent="2"/>
      <protection locked="0"/>
    </xf>
    <xf numFmtId="164" fontId="3" fillId="0" borderId="0" xfId="1" applyFont="1" applyProtection="1">
      <protection locked="0"/>
    </xf>
    <xf numFmtId="165" fontId="3" fillId="11" borderId="2" xfId="2" applyNumberFormat="1" applyFont="1" applyFill="1" applyBorder="1" applyAlignment="1" applyProtection="1">
      <alignment horizontal="center" vertical="center"/>
      <protection locked="0"/>
    </xf>
    <xf numFmtId="169" fontId="3" fillId="0" borderId="0" xfId="2" applyNumberFormat="1" applyFont="1" applyProtection="1">
      <protection locked="0"/>
    </xf>
    <xf numFmtId="10" fontId="3" fillId="0" borderId="0" xfId="2" applyNumberFormat="1" applyFont="1" applyProtection="1">
      <protection locked="0"/>
    </xf>
    <xf numFmtId="0" fontId="6" fillId="0" borderId="0" xfId="0" applyFont="1" applyAlignment="1" applyProtection="1">
      <alignment horizontal="center" vertical="center"/>
      <protection locked="0"/>
    </xf>
    <xf numFmtId="0" fontId="4" fillId="9" borderId="2" xfId="3" applyFont="1" applyFill="1" applyBorder="1" applyAlignment="1" applyProtection="1">
      <alignment horizontal="left" vertical="center" wrapText="1"/>
      <protection locked="0"/>
    </xf>
    <xf numFmtId="0" fontId="3" fillId="2" borderId="2" xfId="0" applyFont="1" applyFill="1" applyBorder="1" applyProtection="1">
      <protection locked="0"/>
    </xf>
    <xf numFmtId="167" fontId="3" fillId="2" borderId="2" xfId="1" applyNumberFormat="1" applyFont="1" applyFill="1" applyBorder="1" applyProtection="1">
      <protection locked="0"/>
    </xf>
    <xf numFmtId="0" fontId="3" fillId="11" borderId="2" xfId="0" applyFont="1" applyFill="1" applyBorder="1" applyAlignment="1" applyProtection="1">
      <alignment horizontal="center" vertical="center"/>
      <protection locked="0"/>
    </xf>
    <xf numFmtId="0" fontId="5" fillId="19" borderId="2" xfId="3" applyFont="1" applyFill="1" applyBorder="1" applyAlignment="1" applyProtection="1">
      <alignment horizontal="left" vertical="center" wrapText="1" indent="2"/>
      <protection locked="0"/>
    </xf>
    <xf numFmtId="165" fontId="3" fillId="2" borderId="2" xfId="0" applyNumberFormat="1" applyFont="1" applyFill="1" applyBorder="1" applyProtection="1">
      <protection locked="0"/>
    </xf>
    <xf numFmtId="0" fontId="5" fillId="4" borderId="0" xfId="0" applyFont="1" applyFill="1" applyAlignment="1" applyProtection="1">
      <alignment horizontal="center" vertical="center"/>
      <protection locked="0"/>
    </xf>
    <xf numFmtId="0" fontId="5" fillId="4" borderId="0" xfId="3" applyFont="1" applyFill="1" applyAlignment="1" applyProtection="1">
      <alignment horizontal="left" vertical="center" wrapText="1" indent="2"/>
      <protection locked="0"/>
    </xf>
    <xf numFmtId="0" fontId="4" fillId="10" borderId="2" xfId="3" applyFont="1" applyFill="1" applyBorder="1" applyAlignment="1" applyProtection="1">
      <alignment horizontal="left" vertical="center" wrapText="1"/>
      <protection locked="0"/>
    </xf>
    <xf numFmtId="164" fontId="3" fillId="0" borderId="1" xfId="0" applyNumberFormat="1" applyFont="1" applyBorder="1" applyProtection="1">
      <protection locked="0"/>
    </xf>
    <xf numFmtId="0" fontId="10" fillId="19" borderId="1" xfId="3" applyFont="1" applyFill="1" applyBorder="1" applyAlignment="1" applyProtection="1">
      <alignment horizontal="center" vertical="center" wrapText="1"/>
      <protection locked="0"/>
    </xf>
    <xf numFmtId="168" fontId="10" fillId="19" borderId="1" xfId="3" applyNumberFormat="1" applyFont="1" applyFill="1" applyBorder="1" applyAlignment="1" applyProtection="1">
      <alignment horizontal="center" vertical="center" wrapText="1"/>
      <protection locked="0"/>
    </xf>
    <xf numFmtId="168" fontId="10" fillId="6" borderId="1" xfId="3" applyNumberFormat="1" applyFont="1" applyFill="1" applyBorder="1" applyAlignment="1" applyProtection="1">
      <alignment horizontal="center" vertical="center" wrapText="1"/>
      <protection locked="0"/>
    </xf>
    <xf numFmtId="0" fontId="5" fillId="7" borderId="1" xfId="3" applyFont="1" applyFill="1" applyBorder="1" applyAlignment="1" applyProtection="1">
      <alignment horizontal="center" vertical="center" wrapText="1"/>
      <protection locked="0"/>
    </xf>
    <xf numFmtId="164" fontId="3" fillId="0" borderId="0" xfId="0" applyNumberFormat="1" applyFont="1" applyProtection="1">
      <protection locked="0"/>
    </xf>
    <xf numFmtId="0" fontId="10" fillId="6" borderId="1" xfId="3" applyFont="1" applyFill="1" applyBorder="1" applyAlignment="1" applyProtection="1">
      <alignment horizontal="center" vertical="center" wrapText="1"/>
      <protection locked="0"/>
    </xf>
    <xf numFmtId="0" fontId="3" fillId="2" borderId="1" xfId="0" applyFont="1" applyFill="1" applyBorder="1" applyAlignment="1" applyProtection="1">
      <alignment horizontal="center"/>
      <protection locked="0"/>
    </xf>
    <xf numFmtId="14" fontId="3" fillId="0" borderId="1" xfId="0" applyNumberFormat="1" applyFont="1" applyBorder="1" applyAlignment="1" applyProtection="1">
      <alignment horizontal="center"/>
      <protection locked="0"/>
    </xf>
    <xf numFmtId="0" fontId="3" fillId="0" borderId="1" xfId="0" applyFont="1" applyBorder="1" applyProtection="1">
      <protection locked="0"/>
    </xf>
    <xf numFmtId="14" fontId="3" fillId="0" borderId="1" xfId="0" applyNumberFormat="1" applyFont="1" applyBorder="1" applyProtection="1">
      <protection locked="0"/>
    </xf>
    <xf numFmtId="164" fontId="3" fillId="0" borderId="1" xfId="0" applyNumberFormat="1" applyFont="1" applyBorder="1" applyAlignment="1" applyProtection="1">
      <alignment horizontal="center" vertical="center"/>
      <protection locked="0"/>
    </xf>
    <xf numFmtId="164" fontId="3" fillId="0" borderId="1" xfId="1" applyFont="1" applyBorder="1" applyAlignment="1" applyProtection="1">
      <alignment horizontal="center" vertical="center"/>
      <protection locked="0"/>
    </xf>
    <xf numFmtId="2" fontId="3" fillId="0" borderId="1"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164" fontId="3" fillId="0" borderId="1" xfId="1" applyFont="1" applyBorder="1" applyProtection="1">
      <protection locked="0"/>
    </xf>
    <xf numFmtId="4" fontId="3" fillId="0" borderId="1" xfId="0" applyNumberFormat="1" applyFont="1" applyBorder="1" applyProtection="1">
      <protection locked="0"/>
    </xf>
    <xf numFmtId="2" fontId="3" fillId="0" borderId="1" xfId="0" applyNumberFormat="1" applyFont="1" applyBorder="1" applyProtection="1">
      <protection locked="0"/>
    </xf>
    <xf numFmtId="164" fontId="3" fillId="2" borderId="1" xfId="1" applyFont="1" applyFill="1" applyBorder="1" applyAlignment="1" applyProtection="1">
      <alignment horizontal="center" vertical="center"/>
      <protection locked="0"/>
    </xf>
    <xf numFmtId="0" fontId="4" fillId="8" borderId="10" xfId="3" applyFont="1" applyFill="1" applyBorder="1" applyAlignment="1" applyProtection="1">
      <alignment horizontal="left" vertical="center" wrapText="1"/>
      <protection locked="0"/>
    </xf>
    <xf numFmtId="0" fontId="4" fillId="8" borderId="0" xfId="3" applyFont="1" applyFill="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23" fillId="3" borderId="0" xfId="0" applyFont="1" applyFill="1" applyAlignment="1" applyProtection="1">
      <alignment horizontal="center" vertical="center"/>
      <protection locked="0"/>
    </xf>
    <xf numFmtId="0" fontId="4" fillId="8" borderId="11" xfId="3" applyFont="1" applyFill="1" applyBorder="1" applyAlignment="1" applyProtection="1">
      <alignment horizontal="left" vertical="center" wrapText="1"/>
      <protection locked="0"/>
    </xf>
    <xf numFmtId="0" fontId="21" fillId="0" borderId="0" xfId="0" applyFont="1" applyAlignment="1" applyProtection="1">
      <alignment horizontal="center" vertical="center"/>
      <protection locked="0"/>
    </xf>
    <xf numFmtId="0" fontId="21" fillId="0" borderId="0" xfId="0" applyFont="1" applyAlignment="1" applyProtection="1">
      <alignment horizontal="left" vertical="center" wrapText="1"/>
      <protection locked="0"/>
    </xf>
    <xf numFmtId="0" fontId="14" fillId="4" borderId="0" xfId="0" applyFont="1" applyFill="1" applyAlignment="1">
      <alignment horizontal="center" vertical="center"/>
    </xf>
  </cellXfs>
  <cellStyles count="4">
    <cellStyle name="Millares" xfId="1" builtinId="3"/>
    <cellStyle name="Normal" xfId="0" builtinId="0"/>
    <cellStyle name="Normal 2" xfId="3" xr:uid="{00000000-0005-0000-0000-000002000000}"/>
    <cellStyle name="Porcentaje" xfId="2" builtinId="5"/>
  </cellStyles>
  <dxfs count="11">
    <dxf>
      <font>
        <b val="0"/>
        <i val="0"/>
        <strike val="0"/>
        <condense val="0"/>
        <extend val="0"/>
        <outline val="0"/>
        <shadow val="0"/>
        <u val="none"/>
        <vertAlign val="baseline"/>
        <sz val="10"/>
        <color auto="1"/>
        <name val="Scotia"/>
        <family val="2"/>
        <scheme val="none"/>
      </font>
      <numFmt numFmtId="169" formatCode="0.0000%"/>
      <fill>
        <patternFill>
          <fgColor indexed="64"/>
          <bgColor theme="0"/>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Scotia"/>
        <family val="2"/>
        <scheme val="none"/>
      </font>
      <fill>
        <patternFill>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u val="none"/>
        <vertAlign val="baseline"/>
        <color auto="1"/>
      </font>
      <fill>
        <patternFill>
          <fgColor indexed="64"/>
          <bgColor theme="0"/>
        </patternFill>
      </fill>
    </dxf>
    <dxf>
      <font>
        <strike val="0"/>
        <outline val="0"/>
        <shadow val="0"/>
        <u val="none"/>
        <vertAlign val="baseline"/>
        <color auto="1"/>
      </font>
      <fill>
        <patternFill>
          <fgColor indexed="64"/>
          <bgColor theme="0"/>
        </patternFill>
      </fill>
    </dxf>
    <dxf>
      <font>
        <b val="0"/>
        <i val="0"/>
        <strike val="0"/>
        <condense val="0"/>
        <extend val="0"/>
        <outline val="0"/>
        <shadow val="0"/>
        <u val="none"/>
        <vertAlign val="baseline"/>
        <sz val="11"/>
        <color auto="1"/>
        <name val="Scotia"/>
        <family val="2"/>
        <scheme val="none"/>
      </font>
      <numFmt numFmtId="169" formatCode="0.0000%"/>
      <fill>
        <patternFill>
          <fgColor indexed="64"/>
          <bgColor theme="0"/>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Scotia"/>
        <family val="2"/>
        <scheme val="none"/>
      </font>
      <numFmt numFmtId="30" formatCode="@"/>
      <fill>
        <patternFill>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Scotia"/>
        <family val="2"/>
        <scheme val="none"/>
      </font>
      <fill>
        <patternFill>
          <fgColor indexed="64"/>
          <bgColor theme="0"/>
        </patternFill>
      </fill>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Scotia"/>
        <family val="2"/>
        <scheme val="none"/>
      </font>
      <fill>
        <patternFill>
          <fgColor indexed="64"/>
          <bgColor theme="0"/>
        </patternFill>
      </fill>
      <border diagonalUp="0" diagonalDown="0">
        <left/>
        <right style="thin">
          <color indexed="64"/>
        </right>
        <top style="thin">
          <color indexed="64"/>
        </top>
        <bottom/>
        <vertical/>
        <horizontal/>
      </border>
    </dxf>
    <dxf>
      <font>
        <b val="0"/>
        <i val="0"/>
        <strike val="0"/>
        <condense val="0"/>
        <extend val="0"/>
        <outline val="0"/>
        <shadow val="0"/>
        <u val="none"/>
        <vertAlign val="baseline"/>
        <sz val="10"/>
        <color auto="1"/>
        <name val="Scotia"/>
        <family val="2"/>
        <scheme val="none"/>
      </font>
      <fill>
        <patternFill>
          <fgColor indexed="64"/>
          <bgColor theme="0"/>
        </patternFill>
      </fill>
      <alignment horizontal="center" vertical="bottom" textRotation="0" wrapText="0" indent="0" justifyLastLine="0" shrinkToFit="0" readingOrder="0"/>
      <border diagonalUp="0" diagonalDown="0">
        <left/>
        <right style="thin">
          <color indexed="64"/>
        </right>
        <top style="thin">
          <color indexed="64"/>
        </top>
        <bottom/>
        <vertical/>
        <horizontal/>
      </border>
    </dxf>
    <dxf>
      <font>
        <b/>
        <i val="0"/>
        <strike val="0"/>
        <condense val="0"/>
        <extend val="0"/>
        <outline val="0"/>
        <shadow val="0"/>
        <u val="none"/>
        <vertAlign val="baseline"/>
        <sz val="11"/>
        <color auto="1"/>
        <name val="Scotia"/>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EC0000"/>
      <color rgb="FF289254"/>
      <color rgb="FF35529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hyperlink" Target="#'Vista Principal'!A1"/></Relationships>
</file>

<file path=xl/drawings/_rels/drawing3.xml.rels><?xml version="1.0" encoding="UTF-8" standalone="yes"?>
<Relationships xmlns="http://schemas.openxmlformats.org/package/2006/relationships"><Relationship Id="rId1" Type="http://schemas.openxmlformats.org/officeDocument/2006/relationships/hyperlink" Target="#'Vista Principal'!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9</xdr:col>
      <xdr:colOff>1210206</xdr:colOff>
      <xdr:row>5</xdr:row>
      <xdr:rowOff>202134</xdr:rowOff>
    </xdr:from>
    <xdr:to>
      <xdr:col>12</xdr:col>
      <xdr:colOff>628650</xdr:colOff>
      <xdr:row>9</xdr:row>
      <xdr:rowOff>113544</xdr:rowOff>
    </xdr:to>
    <xdr:sp macro="[0]!MacroTasaTCEA_Total" textlink="">
      <xdr:nvSpPr>
        <xdr:cNvPr id="3" name="Rectángulo 2">
          <a:extLst>
            <a:ext uri="{FF2B5EF4-FFF2-40B4-BE49-F238E27FC236}">
              <a16:creationId xmlns:a16="http://schemas.microsoft.com/office/drawing/2014/main" id="{FB045E98-EB7C-47DA-BB91-06B901E765E7}"/>
            </a:ext>
          </a:extLst>
        </xdr:cNvPr>
        <xdr:cNvSpPr/>
      </xdr:nvSpPr>
      <xdr:spPr>
        <a:xfrm>
          <a:off x="8246006" y="1097484"/>
          <a:ext cx="942444" cy="717860"/>
        </a:xfrm>
        <a:prstGeom prst="rect">
          <a:avLst/>
        </a:prstGeom>
        <a:solidFill>
          <a:srgbClr val="FF0000"/>
        </a:solidFill>
        <a:scene3d>
          <a:camera prst="orthographicFront"/>
          <a:lightRig rig="threePt" dir="t"/>
        </a:scene3d>
        <a:sp3d>
          <a:bevelT w="25400"/>
          <a:bevelB w="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100" b="1"/>
            <a:t>Calcular TCEA</a:t>
          </a:r>
        </a:p>
      </xdr:txBody>
    </xdr:sp>
    <xdr:clientData/>
  </xdr:twoCellAnchor>
  <xdr:twoCellAnchor>
    <xdr:from>
      <xdr:col>9</xdr:col>
      <xdr:colOff>34738</xdr:colOff>
      <xdr:row>5</xdr:row>
      <xdr:rowOff>268279</xdr:rowOff>
    </xdr:from>
    <xdr:to>
      <xdr:col>9</xdr:col>
      <xdr:colOff>842241</xdr:colOff>
      <xdr:row>9</xdr:row>
      <xdr:rowOff>77769</xdr:rowOff>
    </xdr:to>
    <xdr:sp macro="" textlink="">
      <xdr:nvSpPr>
        <xdr:cNvPr id="4" name="Flecha: a la derecha 3">
          <a:extLst>
            <a:ext uri="{FF2B5EF4-FFF2-40B4-BE49-F238E27FC236}">
              <a16:creationId xmlns:a16="http://schemas.microsoft.com/office/drawing/2014/main" id="{A8BD7CCB-EBE8-84B5-8719-C8318400E9D2}"/>
            </a:ext>
          </a:extLst>
        </xdr:cNvPr>
        <xdr:cNvSpPr/>
      </xdr:nvSpPr>
      <xdr:spPr>
        <a:xfrm>
          <a:off x="7070538" y="1163629"/>
          <a:ext cx="807503" cy="615940"/>
        </a:xfrm>
        <a:prstGeom prst="rightArrow">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s-PE" sz="1100"/>
        </a:p>
      </xdr:txBody>
    </xdr:sp>
    <xdr:clientData/>
  </xdr:twoCellAnchor>
  <mc:AlternateContent xmlns:mc="http://schemas.openxmlformats.org/markup-compatibility/2006">
    <mc:Choice xmlns:a14="http://schemas.microsoft.com/office/drawing/2010/main" Requires="a14">
      <xdr:twoCellAnchor editAs="oneCell">
        <xdr:from>
          <xdr:col>2</xdr:col>
          <xdr:colOff>95250</xdr:colOff>
          <xdr:row>7</xdr:row>
          <xdr:rowOff>57150</xdr:rowOff>
        </xdr:from>
        <xdr:to>
          <xdr:col>8</xdr:col>
          <xdr:colOff>120650</xdr:colOff>
          <xdr:row>9</xdr:row>
          <xdr:rowOff>19050</xdr:rowOff>
        </xdr:to>
        <xdr:sp macro="" textlink="">
          <xdr:nvSpPr>
            <xdr:cNvPr id="10262" name="ComboBox1" hidden="1">
              <a:extLst>
                <a:ext uri="{63B3BB69-23CF-44E3-9099-C40C66FF867C}">
                  <a14:compatExt spid="_x0000_s10262"/>
                </a:ext>
                <a:ext uri="{FF2B5EF4-FFF2-40B4-BE49-F238E27FC236}">
                  <a16:creationId xmlns:a16="http://schemas.microsoft.com/office/drawing/2014/main" id="{00000000-0008-0000-0000-00001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1397000</xdr:colOff>
      <xdr:row>0</xdr:row>
      <xdr:rowOff>151723</xdr:rowOff>
    </xdr:from>
    <xdr:to>
      <xdr:col>12</xdr:col>
      <xdr:colOff>536194</xdr:colOff>
      <xdr:row>4</xdr:row>
      <xdr:rowOff>12601</xdr:rowOff>
    </xdr:to>
    <xdr:pic>
      <xdr:nvPicPr>
        <xdr:cNvPr id="5" name="Imagen 4">
          <a:extLst>
            <a:ext uri="{FF2B5EF4-FFF2-40B4-BE49-F238E27FC236}">
              <a16:creationId xmlns:a16="http://schemas.microsoft.com/office/drawing/2014/main" id="{3C7202B7-9988-A55E-1CC3-BCC877EEAD6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432800" y="151723"/>
          <a:ext cx="663194" cy="603828"/>
        </a:xfrm>
        <a:prstGeom prst="rect">
          <a:avLst/>
        </a:prstGeom>
      </xdr:spPr>
    </xdr:pic>
    <xdr:clientData/>
  </xdr:twoCellAnchor>
  <xdr:twoCellAnchor editAs="oneCell">
    <xdr:from>
      <xdr:col>1</xdr:col>
      <xdr:colOff>92363</xdr:colOff>
      <xdr:row>1</xdr:row>
      <xdr:rowOff>57726</xdr:rowOff>
    </xdr:from>
    <xdr:to>
      <xdr:col>1</xdr:col>
      <xdr:colOff>1547091</xdr:colOff>
      <xdr:row>3</xdr:row>
      <xdr:rowOff>147918</xdr:rowOff>
    </xdr:to>
    <xdr:pic>
      <xdr:nvPicPr>
        <xdr:cNvPr id="6" name="Imagen 5">
          <a:extLst>
            <a:ext uri="{FF2B5EF4-FFF2-40B4-BE49-F238E27FC236}">
              <a16:creationId xmlns:a16="http://schemas.microsoft.com/office/drawing/2014/main" id="{67A09232-A91A-5578-B8BB-78A55D809C5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8636" y="207817"/>
          <a:ext cx="1454728" cy="48273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310243</xdr:colOff>
      <xdr:row>28</xdr:row>
      <xdr:rowOff>13488</xdr:rowOff>
    </xdr:from>
    <xdr:to>
      <xdr:col>5</xdr:col>
      <xdr:colOff>693668</xdr:colOff>
      <xdr:row>29</xdr:row>
      <xdr:rowOff>111104</xdr:rowOff>
    </xdr:to>
    <xdr:sp macro="[0]!MacroSeguro" textlink="">
      <xdr:nvSpPr>
        <xdr:cNvPr id="2" name="Rectángulo 1">
          <a:extLst>
            <a:ext uri="{FF2B5EF4-FFF2-40B4-BE49-F238E27FC236}">
              <a16:creationId xmlns:a16="http://schemas.microsoft.com/office/drawing/2014/main" id="{A6DD199C-05C2-4B9F-823E-7F7BBDB5E0C5}"/>
            </a:ext>
          </a:extLst>
        </xdr:cNvPr>
        <xdr:cNvSpPr/>
      </xdr:nvSpPr>
      <xdr:spPr>
        <a:xfrm>
          <a:off x="4534373" y="5117646"/>
          <a:ext cx="1812175" cy="263268"/>
        </a:xfrm>
        <a:prstGeom prst="rect">
          <a:avLst/>
        </a:prstGeom>
        <a:solidFill>
          <a:srgbClr val="FF0000"/>
        </a:solidFill>
        <a:scene3d>
          <a:camera prst="orthographicFront"/>
          <a:lightRig rig="threePt" dir="t"/>
        </a:scene3d>
        <a:sp3d>
          <a:bevelT w="25400"/>
          <a:bevelB w="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100" b="1"/>
            <a:t>Calcular TCEA</a:t>
          </a:r>
        </a:p>
      </xdr:txBody>
    </xdr:sp>
    <xdr:clientData/>
  </xdr:twoCellAnchor>
  <xdr:twoCellAnchor>
    <xdr:from>
      <xdr:col>3</xdr:col>
      <xdr:colOff>321630</xdr:colOff>
      <xdr:row>30</xdr:row>
      <xdr:rowOff>64501</xdr:rowOff>
    </xdr:from>
    <xdr:to>
      <xdr:col>5</xdr:col>
      <xdr:colOff>704021</xdr:colOff>
      <xdr:row>31</xdr:row>
      <xdr:rowOff>162117</xdr:rowOff>
    </xdr:to>
    <xdr:sp macro="[0]!MacroSeguro" textlink="">
      <xdr:nvSpPr>
        <xdr:cNvPr id="3" name="Rectángulo 2">
          <a:hlinkClick xmlns:r="http://schemas.openxmlformats.org/officeDocument/2006/relationships" r:id="rId1"/>
          <a:extLst>
            <a:ext uri="{FF2B5EF4-FFF2-40B4-BE49-F238E27FC236}">
              <a16:creationId xmlns:a16="http://schemas.microsoft.com/office/drawing/2014/main" id="{364BDCC3-FAF9-4719-B0A4-01381E7FF487}"/>
            </a:ext>
          </a:extLst>
        </xdr:cNvPr>
        <xdr:cNvSpPr/>
      </xdr:nvSpPr>
      <xdr:spPr>
        <a:xfrm>
          <a:off x="4545760" y="5499963"/>
          <a:ext cx="1811141" cy="263268"/>
        </a:xfrm>
        <a:prstGeom prst="rect">
          <a:avLst/>
        </a:prstGeom>
        <a:solidFill>
          <a:srgbClr val="FF0000"/>
        </a:solidFill>
        <a:scene3d>
          <a:camera prst="orthographicFront"/>
          <a:lightRig rig="threePt" dir="t"/>
        </a:scene3d>
        <a:sp3d>
          <a:bevelT w="25400"/>
          <a:bevelB w="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100" b="1"/>
            <a:t>Volver</a:t>
          </a:r>
          <a:r>
            <a:rPr lang="es-PE" sz="1100" b="1" baseline="0"/>
            <a:t> a Vista Principal</a:t>
          </a:r>
          <a:endParaRPr lang="es-PE"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341304</xdr:colOff>
      <xdr:row>28</xdr:row>
      <xdr:rowOff>44548</xdr:rowOff>
    </xdr:from>
    <xdr:to>
      <xdr:col>5</xdr:col>
      <xdr:colOff>621196</xdr:colOff>
      <xdr:row>29</xdr:row>
      <xdr:rowOff>142164</xdr:rowOff>
    </xdr:to>
    <xdr:sp macro="[0]!MacroSeguro" textlink="">
      <xdr:nvSpPr>
        <xdr:cNvPr id="2" name="Rectángulo 1">
          <a:extLst>
            <a:ext uri="{FF2B5EF4-FFF2-40B4-BE49-F238E27FC236}">
              <a16:creationId xmlns:a16="http://schemas.microsoft.com/office/drawing/2014/main" id="{6363C07D-6DE5-4E61-BC8F-763AB8A457AB}"/>
            </a:ext>
          </a:extLst>
        </xdr:cNvPr>
        <xdr:cNvSpPr/>
      </xdr:nvSpPr>
      <xdr:spPr>
        <a:xfrm>
          <a:off x="4565434" y="5148706"/>
          <a:ext cx="1708642" cy="263268"/>
        </a:xfrm>
        <a:prstGeom prst="rect">
          <a:avLst/>
        </a:prstGeom>
        <a:solidFill>
          <a:srgbClr val="FF0000"/>
        </a:solidFill>
        <a:scene3d>
          <a:camera prst="orthographicFront"/>
          <a:lightRig rig="threePt" dir="t"/>
        </a:scene3d>
        <a:sp3d>
          <a:bevelT w="25400"/>
          <a:bevelB w="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100" b="1"/>
            <a:t>Calcular TCEA</a:t>
          </a:r>
        </a:p>
      </xdr:txBody>
    </xdr:sp>
    <xdr:clientData/>
  </xdr:twoCellAnchor>
  <xdr:twoCellAnchor>
    <xdr:from>
      <xdr:col>3</xdr:col>
      <xdr:colOff>352691</xdr:colOff>
      <xdr:row>30</xdr:row>
      <xdr:rowOff>85207</xdr:rowOff>
    </xdr:from>
    <xdr:to>
      <xdr:col>5</xdr:col>
      <xdr:colOff>631549</xdr:colOff>
      <xdr:row>32</xdr:row>
      <xdr:rowOff>17171</xdr:rowOff>
    </xdr:to>
    <xdr:sp macro="[0]!MacroSeguro" textlink="">
      <xdr:nvSpPr>
        <xdr:cNvPr id="3" name="Rectángulo 2">
          <a:hlinkClick xmlns:r="http://schemas.openxmlformats.org/officeDocument/2006/relationships" r:id="rId1"/>
          <a:extLst>
            <a:ext uri="{FF2B5EF4-FFF2-40B4-BE49-F238E27FC236}">
              <a16:creationId xmlns:a16="http://schemas.microsoft.com/office/drawing/2014/main" id="{AE76F743-2055-46A9-992B-95CE86B410DE}"/>
            </a:ext>
          </a:extLst>
        </xdr:cNvPr>
        <xdr:cNvSpPr/>
      </xdr:nvSpPr>
      <xdr:spPr>
        <a:xfrm>
          <a:off x="4576821" y="5520669"/>
          <a:ext cx="1707608" cy="263268"/>
        </a:xfrm>
        <a:prstGeom prst="rect">
          <a:avLst/>
        </a:prstGeom>
        <a:solidFill>
          <a:srgbClr val="FF0000"/>
        </a:solidFill>
        <a:scene3d>
          <a:camera prst="orthographicFront"/>
          <a:lightRig rig="threePt" dir="t"/>
        </a:scene3d>
        <a:sp3d>
          <a:bevelT w="25400"/>
          <a:bevelB w="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100" b="1"/>
            <a:t>Volver</a:t>
          </a:r>
          <a:r>
            <a:rPr lang="es-PE" sz="1100" b="1" baseline="0"/>
            <a:t> a Vista Principal</a:t>
          </a:r>
          <a:endParaRPr lang="es-PE" sz="1100" b="1"/>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76A0D21-0202-4E17-80FE-D2EA6DF48937}" name="TarifarioPrincipal" displayName="TarifarioPrincipal" ref="A1:E29" totalsRowShown="0" headerRowDxfId="10">
  <sortState xmlns:xlrd2="http://schemas.microsoft.com/office/spreadsheetml/2017/richdata2" ref="A2:D4">
    <sortCondition ref="A1:A4"/>
  </sortState>
  <tableColumns count="5">
    <tableColumn id="1" xr3:uid="{44D00243-0883-4970-947E-3B7BEEA88A2A}" name="TARIFA" dataDxfId="9"/>
    <tableColumn id="2" xr3:uid="{4306EC47-C92B-4F8F-A41A-9A0AC1D942BE}" name="PRODUCTO" dataDxfId="8"/>
    <tableColumn id="3" xr3:uid="{EB4CF684-BC9C-4C9A-B629-3C14011FF851}" name="TIPO_SEGURO" dataDxfId="7"/>
    <tableColumn id="4" xr3:uid="{D98B8A31-74E9-41DB-B8FC-C2DD9C11E3AE}" name="Plazo" dataDxfId="6" dataCellStyle="Porcentaje"/>
    <tableColumn id="5" xr3:uid="{5EA2D1EF-225C-4FA6-8AF3-D1A3CA5D1699}" name="Valor" dataDxfId="5" dataCellStyle="Porcentaje"/>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83A354E-10F8-4AC9-852A-3EA68A84EE84}" name="Tabla2" displayName="Tabla2" ref="A1:B2" totalsRowShown="0" headerRowDxfId="4" dataDxfId="3" tableBorderDxfId="2">
  <autoFilter ref="A1:B2" xr:uid="{783A354E-10F8-4AC9-852A-3EA68A84EE84}"/>
  <tableColumns count="2">
    <tableColumn id="1" xr3:uid="{14F6DC7C-9629-429D-80BA-C07184273110}" name="TARIFA" dataDxfId="1"/>
    <tableColumn id="2" xr3:uid="{7129BA4F-E1C6-4D24-B511-CF49D4BA26B5}" name="CostoCapital"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7D113-A555-4CE8-9254-4F512191D51A}">
  <sheetPr codeName="Hoja7">
    <tabColor rgb="FFEC0000"/>
  </sheetPr>
  <dimension ref="B2:XFC127"/>
  <sheetViews>
    <sheetView showGridLines="0" tabSelected="1" zoomScaleNormal="100" workbookViewId="0">
      <selection activeCell="H32" sqref="H32"/>
    </sheetView>
  </sheetViews>
  <sheetFormatPr baseColWidth="10" defaultColWidth="4.1796875" defaultRowHeight="12" x14ac:dyDescent="0.3"/>
  <cols>
    <col min="1" max="1" width="2.7265625" style="104" customWidth="1"/>
    <col min="2" max="2" width="28.81640625" style="104" customWidth="1"/>
    <col min="3" max="3" width="25.54296875" style="104" customWidth="1"/>
    <col min="4" max="5" width="16" style="104" hidden="1" customWidth="1"/>
    <col min="6" max="7" width="19" style="104" hidden="1" customWidth="1"/>
    <col min="8" max="10" width="21.81640625" style="108" customWidth="1"/>
    <col min="11" max="12" width="16" style="108" hidden="1" customWidth="1"/>
    <col min="13" max="13" width="9.6328125" style="108" bestFit="1" customWidth="1"/>
    <col min="14" max="14" width="9.6328125" style="104" customWidth="1"/>
    <col min="15" max="15" width="13.6328125" style="104" customWidth="1"/>
    <col min="16" max="16" width="15.26953125" style="104" customWidth="1"/>
    <col min="17" max="17" width="5.453125" style="104" customWidth="1"/>
    <col min="18" max="18" width="10" style="104" customWidth="1"/>
    <col min="19" max="19" width="11" style="104" customWidth="1"/>
    <col min="20" max="20" width="10.36328125" style="104" customWidth="1"/>
    <col min="21" max="21" width="11.453125" style="104" customWidth="1"/>
    <col min="22" max="22" width="32.81640625" style="104" customWidth="1"/>
    <col min="23" max="23" width="11.453125" style="104" customWidth="1"/>
    <col min="24" max="24" width="37.81640625" style="104" customWidth="1"/>
    <col min="25" max="25" width="32.81640625" style="104" customWidth="1"/>
    <col min="26" max="26" width="10.26953125" style="104" customWidth="1"/>
    <col min="27" max="28" width="10.90625" style="104" customWidth="1"/>
    <col min="29" max="29" width="3.7265625" style="104" customWidth="1"/>
    <col min="30" max="30" width="21.26953125" style="104" customWidth="1"/>
    <col min="31" max="31" width="9.1796875" style="104" customWidth="1"/>
    <col min="32" max="32" width="10.90625" style="104" customWidth="1"/>
    <col min="33" max="16383" width="4.1796875" style="104" customWidth="1"/>
    <col min="16384" max="16384" width="4.1796875" style="104"/>
  </cols>
  <sheetData>
    <row r="2" spans="2:31" ht="15.5" customHeight="1" x14ac:dyDescent="0.3">
      <c r="B2" s="167" t="s">
        <v>88</v>
      </c>
      <c r="C2" s="167"/>
      <c r="D2" s="167"/>
      <c r="E2" s="167"/>
      <c r="F2" s="167"/>
      <c r="G2" s="167"/>
      <c r="H2" s="167"/>
      <c r="I2" s="167"/>
      <c r="J2" s="167"/>
      <c r="K2" s="167"/>
      <c r="L2" s="167"/>
      <c r="M2" s="167"/>
    </row>
    <row r="3" spans="2:31" ht="15.5" customHeight="1" x14ac:dyDescent="0.3">
      <c r="B3" s="167"/>
      <c r="C3" s="167"/>
      <c r="D3" s="167"/>
      <c r="E3" s="167"/>
      <c r="F3" s="167"/>
      <c r="G3" s="167"/>
      <c r="H3" s="167"/>
      <c r="I3" s="167"/>
      <c r="J3" s="167"/>
      <c r="K3" s="167"/>
      <c r="L3" s="167"/>
      <c r="M3" s="167"/>
      <c r="X3" s="105" t="s">
        <v>59</v>
      </c>
      <c r="AC3" s="164" t="s">
        <v>76</v>
      </c>
      <c r="AD3" s="168"/>
      <c r="AE3" s="106" t="e">
        <f>IF((#REF!="Seguro de Vida")+(#REF!="Seguro de Vida Full"),"",Prima_Des!#REF!)</f>
        <v>#REF!</v>
      </c>
    </row>
    <row r="4" spans="2:31" ht="15.5" customHeight="1" x14ac:dyDescent="0.3">
      <c r="B4" s="167"/>
      <c r="C4" s="167"/>
      <c r="D4" s="167"/>
      <c r="E4" s="167"/>
      <c r="F4" s="167"/>
      <c r="G4" s="167"/>
      <c r="H4" s="167"/>
      <c r="I4" s="167"/>
      <c r="J4" s="167"/>
      <c r="K4" s="167"/>
      <c r="L4" s="167"/>
      <c r="M4" s="167"/>
      <c r="AC4" s="164" t="s">
        <v>75</v>
      </c>
      <c r="AD4" s="168"/>
      <c r="AE4" s="107" cm="1">
        <f t="array" ref="AE4">Tabla2[CostoCapital]</f>
        <v>2.8709999999999999E-3</v>
      </c>
    </row>
    <row r="5" spans="2:31" x14ac:dyDescent="0.3">
      <c r="X5" s="109" t="s">
        <v>39</v>
      </c>
      <c r="Y5" s="110" t="s">
        <v>61</v>
      </c>
      <c r="AC5" s="164" t="s">
        <v>81</v>
      </c>
      <c r="AD5" s="165"/>
      <c r="AE5" s="111" t="e">
        <f>Prima_Des!#REF!</f>
        <v>#REF!</v>
      </c>
    </row>
    <row r="6" spans="2:31" ht="24" customHeight="1" x14ac:dyDescent="0.3">
      <c r="B6" s="170" t="s">
        <v>95</v>
      </c>
      <c r="C6" s="170"/>
      <c r="D6" s="170"/>
      <c r="E6" s="170"/>
      <c r="F6" s="170"/>
      <c r="G6" s="170"/>
      <c r="H6" s="170"/>
      <c r="I6" s="170"/>
      <c r="J6" s="112"/>
      <c r="K6" s="112"/>
      <c r="L6" s="112"/>
      <c r="M6" s="112"/>
      <c r="X6" s="109" t="s">
        <v>43</v>
      </c>
      <c r="Y6" s="113" t="str">
        <f>C9</f>
        <v>Seguro de Vida</v>
      </c>
    </row>
    <row r="7" spans="2:31" ht="13" customHeight="1" x14ac:dyDescent="0.3">
      <c r="B7" s="170"/>
      <c r="C7" s="170"/>
      <c r="D7" s="170"/>
      <c r="E7" s="170"/>
      <c r="F7" s="170"/>
      <c r="G7" s="170"/>
      <c r="H7" s="170"/>
      <c r="I7" s="170"/>
      <c r="J7" s="112"/>
      <c r="K7" s="112"/>
      <c r="L7" s="112"/>
      <c r="M7" s="112"/>
      <c r="X7" s="114" t="s">
        <v>44</v>
      </c>
      <c r="Y7" s="115" t="s">
        <v>40</v>
      </c>
    </row>
    <row r="8" spans="2:31" ht="14.5" customHeight="1" x14ac:dyDescent="0.3">
      <c r="B8" s="169" t="s">
        <v>92</v>
      </c>
      <c r="C8" s="105"/>
      <c r="D8" s="105"/>
      <c r="E8" s="105"/>
      <c r="F8" s="105"/>
      <c r="G8" s="105"/>
      <c r="H8" s="112"/>
      <c r="I8" s="112"/>
      <c r="J8" s="112"/>
      <c r="K8" s="112"/>
      <c r="L8" s="112"/>
      <c r="M8" s="112"/>
      <c r="X8" s="116" t="s">
        <v>32</v>
      </c>
      <c r="Y8" s="11">
        <f>C16</f>
        <v>30000</v>
      </c>
    </row>
    <row r="9" spans="2:31" x14ac:dyDescent="0.3">
      <c r="B9" s="169"/>
      <c r="C9" s="117" t="s">
        <v>41</v>
      </c>
      <c r="D9" s="105"/>
      <c r="E9" s="105"/>
      <c r="F9" s="105"/>
      <c r="G9" s="105"/>
      <c r="H9" s="112"/>
      <c r="I9" s="112"/>
      <c r="J9" s="112"/>
      <c r="K9" s="112"/>
      <c r="L9" s="112"/>
      <c r="M9" s="112"/>
      <c r="X9" s="116" t="s">
        <v>31</v>
      </c>
      <c r="Y9" s="118">
        <v>0</v>
      </c>
    </row>
    <row r="10" spans="2:31" ht="10.5" customHeight="1" x14ac:dyDescent="0.3">
      <c r="B10" s="119"/>
      <c r="C10" s="105"/>
      <c r="D10" s="105"/>
      <c r="E10" s="105"/>
      <c r="F10" s="105"/>
      <c r="G10" s="105"/>
      <c r="H10" s="112"/>
      <c r="I10" s="112"/>
      <c r="J10" s="112"/>
      <c r="K10" s="112"/>
      <c r="L10" s="112"/>
      <c r="M10" s="112"/>
      <c r="X10" s="116" t="s">
        <v>57</v>
      </c>
      <c r="Y10" s="120">
        <f>Y8*Y9</f>
        <v>0</v>
      </c>
    </row>
    <row r="11" spans="2:31" ht="10.5" customHeight="1" x14ac:dyDescent="0.3">
      <c r="B11" s="119"/>
      <c r="C11" s="105"/>
      <c r="D11" s="105"/>
      <c r="E11" s="105"/>
      <c r="F11" s="105"/>
      <c r="G11" s="105"/>
      <c r="H11" s="112"/>
      <c r="I11" s="112"/>
      <c r="J11" s="112"/>
      <c r="K11" s="112"/>
      <c r="L11" s="112"/>
      <c r="M11" s="112"/>
      <c r="X11" s="116" t="s">
        <v>77</v>
      </c>
      <c r="Y11" s="121">
        <f ca="1">IF(Y6="Seguro de Desgravamen",IF((Y6="Seguro de vida")+(Y6="Seguro de vida Full"),Prima_Des!C13,Prima_Des!H16),IF(Y6="Seguro de Desgravamen con Devolución",IF((Y6="Seguro de vida")+(Y6="Seguro de vida Full"),Prima_Des_Dev!C13,Prima_Des_Dev!H16),IF(Y6="Seguro de Vida",VLOOKUP(Prima_Des!$C$20,TarifarioBD!$D$2:$E$8,2,0),IF(Y6="Seguro de Vida Full",VLOOKUP(Prima_Des!$C$20,TarifarioBD!$D$9:$E$15,2,0),0))))</f>
        <v>8.1000000000000003E-2</v>
      </c>
    </row>
    <row r="12" spans="2:31" ht="12.5" customHeight="1" x14ac:dyDescent="0.3">
      <c r="X12" s="116" t="s">
        <v>78</v>
      </c>
      <c r="Y12" s="122">
        <f ca="1">Y8*Y11</f>
        <v>2430</v>
      </c>
    </row>
    <row r="13" spans="2:31" ht="16.5" x14ac:dyDescent="0.4">
      <c r="B13" s="123" t="s">
        <v>86</v>
      </c>
      <c r="C13" s="124"/>
      <c r="X13" s="116" t="s">
        <v>66</v>
      </c>
      <c r="Y13" s="125">
        <f ca="1">Y8+Y10+Y12</f>
        <v>32430</v>
      </c>
    </row>
    <row r="14" spans="2:31" hidden="1" x14ac:dyDescent="0.3">
      <c r="B14" s="109" t="s">
        <v>39</v>
      </c>
      <c r="C14" s="126" t="s">
        <v>61</v>
      </c>
      <c r="X14" s="116" t="s">
        <v>58</v>
      </c>
      <c r="Y14" s="127" t="str">
        <f>IF(OR(Y5="Préstamos Personales (LD Y PA) (Empleados)",Y5 = "Préstamos Vehiculares (Empleados)"),"SI","NO")</f>
        <v>NO</v>
      </c>
    </row>
    <row r="15" spans="2:31" hidden="1" x14ac:dyDescent="0.3">
      <c r="B15" s="128" t="s">
        <v>44</v>
      </c>
      <c r="C15" s="115" t="s">
        <v>40</v>
      </c>
      <c r="X15" s="116" t="s">
        <v>1</v>
      </c>
      <c r="Y15" s="129" t="s">
        <v>2</v>
      </c>
      <c r="AC15" s="164" t="s">
        <v>75</v>
      </c>
      <c r="AD15" s="165"/>
      <c r="AE15" s="107" cm="1">
        <f t="array" ref="AE15">Tabla2[CostoCapital]</f>
        <v>2.8709999999999999E-3</v>
      </c>
    </row>
    <row r="16" spans="2:31" x14ac:dyDescent="0.3">
      <c r="B16" s="130" t="s">
        <v>32</v>
      </c>
      <c r="C16" s="96">
        <v>30000</v>
      </c>
      <c r="F16" s="131"/>
      <c r="G16" s="131"/>
      <c r="X16" s="116" t="s">
        <v>64</v>
      </c>
      <c r="Y16" s="15">
        <f>RESUMEN!C19</f>
        <v>72</v>
      </c>
      <c r="AC16" s="164" t="s">
        <v>81</v>
      </c>
      <c r="AD16" s="165"/>
      <c r="AE16" s="111">
        <f ca="1">Prima_Des!C19</f>
        <v>2195</v>
      </c>
    </row>
    <row r="17" spans="2:31" hidden="1" x14ac:dyDescent="0.3">
      <c r="B17" s="130" t="s">
        <v>31</v>
      </c>
      <c r="C17" s="132">
        <v>0</v>
      </c>
      <c r="F17" s="133"/>
      <c r="G17" s="134"/>
      <c r="H17" s="135"/>
      <c r="I17" s="135"/>
      <c r="J17" s="135"/>
      <c r="K17" s="135"/>
      <c r="X17" s="136" t="s">
        <v>3</v>
      </c>
      <c r="Y17" s="12">
        <f>RESUMEN!C20</f>
        <v>45891</v>
      </c>
    </row>
    <row r="18" spans="2:31" hidden="1" x14ac:dyDescent="0.3">
      <c r="B18" s="130" t="s">
        <v>57</v>
      </c>
      <c r="C18" s="92">
        <f>C17*C16</f>
        <v>0</v>
      </c>
      <c r="X18" s="136" t="s">
        <v>4</v>
      </c>
      <c r="Y18" s="12">
        <f>RESUMEN!C21</f>
        <v>45926</v>
      </c>
    </row>
    <row r="19" spans="2:31" ht="15.75" customHeight="1" x14ac:dyDescent="0.3">
      <c r="B19" s="130" t="s">
        <v>64</v>
      </c>
      <c r="C19" s="93">
        <v>72</v>
      </c>
      <c r="X19" s="136" t="s">
        <v>5</v>
      </c>
      <c r="Y19" s="137">
        <f>C22</f>
        <v>1</v>
      </c>
    </row>
    <row r="20" spans="2:31" ht="15.75" customHeight="1" x14ac:dyDescent="0.3">
      <c r="B20" s="130" t="s">
        <v>3</v>
      </c>
      <c r="C20" s="94">
        <v>45891</v>
      </c>
      <c r="X20" s="136" t="s">
        <v>6</v>
      </c>
      <c r="Y20" s="137">
        <f>C23</f>
        <v>1</v>
      </c>
      <c r="AC20" s="138">
        <f>C21-C20</f>
        <v>35</v>
      </c>
      <c r="AD20" s="104" t="s">
        <v>65</v>
      </c>
    </row>
    <row r="21" spans="2:31" ht="15.75" customHeight="1" x14ac:dyDescent="0.3">
      <c r="B21" s="130" t="s">
        <v>4</v>
      </c>
      <c r="C21" s="94">
        <v>45926</v>
      </c>
      <c r="X21" s="136" t="s">
        <v>7</v>
      </c>
      <c r="Y21" s="13">
        <f>C24</f>
        <v>0.45</v>
      </c>
    </row>
    <row r="22" spans="2:31" hidden="1" x14ac:dyDescent="0.3">
      <c r="B22" s="130" t="s">
        <v>5</v>
      </c>
      <c r="C22" s="139">
        <v>1</v>
      </c>
      <c r="X22" s="136" t="s">
        <v>9</v>
      </c>
      <c r="Y22" s="118">
        <f>+Y21</f>
        <v>0.45</v>
      </c>
    </row>
    <row r="23" spans="2:31" hidden="1" x14ac:dyDescent="0.3">
      <c r="B23" s="130" t="s">
        <v>6</v>
      </c>
      <c r="C23" s="139">
        <v>1</v>
      </c>
      <c r="X23" s="136" t="s">
        <v>0</v>
      </c>
      <c r="Y23" s="120">
        <v>0</v>
      </c>
    </row>
    <row r="24" spans="2:31" ht="15.75" customHeight="1" x14ac:dyDescent="0.3">
      <c r="B24" s="140" t="s">
        <v>7</v>
      </c>
      <c r="C24" s="95">
        <v>0.45</v>
      </c>
      <c r="X24" s="136" t="s">
        <v>10</v>
      </c>
      <c r="Y24" s="141">
        <v>0</v>
      </c>
    </row>
    <row r="25" spans="2:31" ht="15.75" customHeight="1" x14ac:dyDescent="0.3">
      <c r="H25" s="104"/>
      <c r="J25" s="142"/>
      <c r="X25" s="136" t="s">
        <v>11</v>
      </c>
      <c r="Y25" s="137">
        <v>0</v>
      </c>
    </row>
    <row r="26" spans="2:31" ht="15.75" customHeight="1" x14ac:dyDescent="0.3">
      <c r="B26" s="143"/>
      <c r="C26" s="91"/>
      <c r="J26" s="142"/>
      <c r="X26" s="136" t="s">
        <v>12</v>
      </c>
      <c r="Y26" s="125">
        <f ca="1">(Y13+(Y24*Y23+Y25)*P46)/O46</f>
        <v>1160.2459947823063</v>
      </c>
    </row>
    <row r="27" spans="2:31" ht="16.5" x14ac:dyDescent="0.4">
      <c r="B27" s="123" t="s">
        <v>93</v>
      </c>
      <c r="C27" s="124"/>
      <c r="X27" s="105" t="s">
        <v>60</v>
      </c>
    </row>
    <row r="28" spans="2:31" ht="24.75" customHeight="1" x14ac:dyDescent="0.3">
      <c r="B28" s="130" t="s">
        <v>43</v>
      </c>
      <c r="C28" s="90" t="str">
        <f>C9</f>
        <v>Seguro de Vida</v>
      </c>
      <c r="X28" s="144" t="s">
        <v>13</v>
      </c>
      <c r="Y28" s="14">
        <v>0.45000053834163356</v>
      </c>
      <c r="AC28" s="164" t="s">
        <v>76</v>
      </c>
      <c r="AD28" s="165"/>
      <c r="AE28" s="106" t="str">
        <f>IF($C$9="SEGURO DE DESGRAVAMEN",IF((C28="Seguro de Vida")+(C28="Seguro de Vida Full"),"",Prima_Des!C13),IF($C$9="SEGURO DE DESGRAVAMEN CON DEVOLUCIÓN",IF((Y6="Seguro de Vida")+(Y6="Seguro de Vida Full"),"",Prima_Des_Dev!C13),IF($C$9="SEGURO DE VIDA",IF((Y6="Seguro de Vida")+(Y6="Seguro de Vida Full"),"",Prima_Des!C13),IF($C$9="SEGURO DE VIDA FULL",IF((Y6="Seguro de Vida")+(Y6="Seguro de Vida Full"),"",Prima_Des!C13),0))))</f>
        <v/>
      </c>
    </row>
    <row r="29" spans="2:31" ht="13" customHeight="1" x14ac:dyDescent="0.3">
      <c r="B29" s="130" t="s">
        <v>91</v>
      </c>
      <c r="C29" s="97" t="str">
        <f>AE28</f>
        <v/>
      </c>
      <c r="AC29" s="164" t="s">
        <v>75</v>
      </c>
      <c r="AD29" s="165"/>
      <c r="AE29" s="107" cm="1">
        <f t="array" ref="AE29">IF(C9="SEGURO DE DESGRAVAMEN",Tabla2[CostoCapital],IF(C9="SEGURO DE DESGRAVAMEN CON DEVOLUCIÓN",Tabla2[CostoCapital],IF(C9="SEGURO DE VIDA",Tabla2[CostoCapital],IF(C9="SEGURODEVIDAFULL",Tabla2[CostoCapital],0))))</f>
        <v>2.8709999999999999E-3</v>
      </c>
    </row>
    <row r="30" spans="2:31" ht="15.75" customHeight="1" x14ac:dyDescent="0.3">
      <c r="B30" s="130" t="s">
        <v>77</v>
      </c>
      <c r="C30" s="98">
        <f ca="1">Y11</f>
        <v>8.1000000000000003E-2</v>
      </c>
      <c r="AC30" s="164" t="s">
        <v>81</v>
      </c>
      <c r="AD30" s="165"/>
      <c r="AE30" s="111">
        <f ca="1">Prima_Des!C19</f>
        <v>2195</v>
      </c>
    </row>
    <row r="31" spans="2:31" ht="15.75" customHeight="1" x14ac:dyDescent="0.3">
      <c r="B31" s="130" t="s">
        <v>78</v>
      </c>
      <c r="C31" s="99">
        <f ca="1">Y12</f>
        <v>2430</v>
      </c>
    </row>
    <row r="32" spans="2:31" ht="15.75" customHeight="1" x14ac:dyDescent="0.3">
      <c r="B32" s="130" t="s">
        <v>66</v>
      </c>
      <c r="C32" s="99">
        <f ca="1">Y13</f>
        <v>32430</v>
      </c>
    </row>
    <row r="33" spans="2:26" hidden="1" x14ac:dyDescent="0.3">
      <c r="B33" s="130" t="s">
        <v>58</v>
      </c>
      <c r="C33" s="100" t="str">
        <f>Y14</f>
        <v>NO</v>
      </c>
    </row>
    <row r="34" spans="2:26" hidden="1" x14ac:dyDescent="0.3">
      <c r="B34" s="130" t="s">
        <v>1</v>
      </c>
      <c r="C34" s="100" t="str">
        <f>Y15</f>
        <v>Soles</v>
      </c>
    </row>
    <row r="35" spans="2:26" hidden="1" x14ac:dyDescent="0.3">
      <c r="B35" s="130" t="s">
        <v>9</v>
      </c>
      <c r="C35" s="101">
        <f>Y22</f>
        <v>0.45</v>
      </c>
    </row>
    <row r="36" spans="2:26" ht="14.5" hidden="1" customHeight="1" x14ac:dyDescent="0.3">
      <c r="B36" s="130" t="s">
        <v>0</v>
      </c>
      <c r="C36" s="100">
        <f>Y23</f>
        <v>0</v>
      </c>
    </row>
    <row r="37" spans="2:26" ht="11.5" hidden="1" customHeight="1" x14ac:dyDescent="0.3">
      <c r="B37" s="130" t="s">
        <v>10</v>
      </c>
      <c r="C37" s="100">
        <f>Y24</f>
        <v>0</v>
      </c>
    </row>
    <row r="38" spans="2:26" hidden="1" x14ac:dyDescent="0.3">
      <c r="B38" s="130" t="s">
        <v>11</v>
      </c>
      <c r="C38" s="100">
        <v>0</v>
      </c>
    </row>
    <row r="39" spans="2:26" ht="15.75" customHeight="1" x14ac:dyDescent="0.3">
      <c r="B39" s="130" t="s">
        <v>12</v>
      </c>
      <c r="C39" s="102">
        <f ca="1">IF(C9="Sin Seguro",(C32+(C36*C37+C38)*P46)/O46,Y26)</f>
        <v>1160.2459947823063</v>
      </c>
      <c r="K39" s="112"/>
      <c r="L39" s="112"/>
      <c r="M39" s="112"/>
    </row>
    <row r="40" spans="2:26" ht="15.75" customHeight="1" x14ac:dyDescent="0.3">
      <c r="B40" s="130" t="s">
        <v>13</v>
      </c>
      <c r="C40" s="103">
        <f>Y28</f>
        <v>0.45000053834163356</v>
      </c>
    </row>
    <row r="41" spans="2:26" ht="15.75" customHeight="1" x14ac:dyDescent="0.3">
      <c r="B41" s="130" t="s">
        <v>90</v>
      </c>
      <c r="C41" s="99">
        <f ca="1">J120</f>
        <v>51107.711624325922</v>
      </c>
    </row>
    <row r="42" spans="2:26" ht="15.75" customHeight="1" x14ac:dyDescent="0.3">
      <c r="B42" s="130" t="s">
        <v>89</v>
      </c>
      <c r="C42" s="99">
        <f ca="1">M120</f>
        <v>83537.711624326039</v>
      </c>
    </row>
    <row r="43" spans="2:26" hidden="1" x14ac:dyDescent="0.3"/>
    <row r="44" spans="2:26" hidden="1" x14ac:dyDescent="0.3">
      <c r="U44" s="145">
        <f ca="1">Y13-U45-Y10-Y12</f>
        <v>-2429.9900000000089</v>
      </c>
    </row>
    <row r="45" spans="2:26" hidden="1" x14ac:dyDescent="0.3">
      <c r="U45" s="145">
        <f ca="1">SUM(U48:U119)</f>
        <v>32429.990000000009</v>
      </c>
      <c r="V45" s="134"/>
    </row>
    <row r="46" spans="2:26" x14ac:dyDescent="0.3">
      <c r="O46" s="145">
        <f>SUM(O48:O120)</f>
        <v>27.950969144336284</v>
      </c>
      <c r="P46" s="145">
        <f>SUM(P48:P120)</f>
        <v>27.950969144336284</v>
      </c>
      <c r="U46" s="145"/>
      <c r="V46" s="134"/>
    </row>
    <row r="47" spans="2:26" ht="33" x14ac:dyDescent="0.3">
      <c r="B47" s="146" t="s">
        <v>14</v>
      </c>
      <c r="C47" s="146" t="s">
        <v>15</v>
      </c>
      <c r="D47" s="146" t="s">
        <v>16</v>
      </c>
      <c r="E47" s="146" t="s">
        <v>82</v>
      </c>
      <c r="F47" s="146" t="s">
        <v>17</v>
      </c>
      <c r="G47" s="146" t="s">
        <v>18</v>
      </c>
      <c r="H47" s="146" t="s">
        <v>19</v>
      </c>
      <c r="I47" s="146" t="s">
        <v>20</v>
      </c>
      <c r="J47" s="146" t="s">
        <v>21</v>
      </c>
      <c r="K47" s="146" t="s">
        <v>10</v>
      </c>
      <c r="L47" s="146" t="s">
        <v>11</v>
      </c>
      <c r="M47" s="147" t="s">
        <v>83</v>
      </c>
      <c r="N47" s="148" t="s">
        <v>24</v>
      </c>
      <c r="O47" s="148" t="s">
        <v>25</v>
      </c>
      <c r="P47" s="148" t="s">
        <v>26</v>
      </c>
      <c r="R47" s="149" t="s">
        <v>27</v>
      </c>
      <c r="S47" s="149" t="s">
        <v>28</v>
      </c>
      <c r="T47" s="149" t="s">
        <v>29</v>
      </c>
      <c r="U47" s="149" t="s">
        <v>30</v>
      </c>
      <c r="V47" s="150"/>
      <c r="Z47" s="151" t="s">
        <v>79</v>
      </c>
    </row>
    <row r="48" spans="2:26" x14ac:dyDescent="0.3">
      <c r="B48" s="152">
        <v>1</v>
      </c>
      <c r="C48" s="153">
        <f t="shared" ref="C48:C111" si="0">IFERROR(IF(D48=7,E48+1,E48),"")</f>
        <v>45926</v>
      </c>
      <c r="D48" s="154">
        <f t="shared" ref="D48:D111" si="1">IFERROR(IF(B48&lt;=$C$20,WEEKDAY(E48,2),""),"")</f>
        <v>5</v>
      </c>
      <c r="E48" s="155">
        <f>Y18</f>
        <v>45926</v>
      </c>
      <c r="F48" s="154">
        <f>C48-Y17</f>
        <v>35</v>
      </c>
      <c r="G48" s="154">
        <f>F48</f>
        <v>35</v>
      </c>
      <c r="H48" s="156">
        <f ca="1">Y13</f>
        <v>32430</v>
      </c>
      <c r="I48" s="156">
        <f t="shared" ref="I48:I111" ca="1" si="2">IF(B48&gt;Y$16,"",M48-L48-K48-J48)</f>
        <v>-32.679980003423907</v>
      </c>
      <c r="J48" s="157">
        <f t="shared" ref="J48:J111" ca="1" si="3">IF(B48&gt;Y$16,"",((1+Y$21)^(F48/360)-1)*H48)</f>
        <v>1192.9259747857302</v>
      </c>
      <c r="K48" s="158">
        <f t="shared" ref="K48:K111" si="4">IF(B48&gt;Y$16,"",Y$23*Y$24)</f>
        <v>0</v>
      </c>
      <c r="L48" s="159">
        <f t="shared" ref="L48:L111" si="5">IF(B48&gt;Y$16,"",Y$25)</f>
        <v>0</v>
      </c>
      <c r="M48" s="157">
        <f ca="1">IF(B48&gt;C$19,"",IF(B48=C$19,H48+J48+K48+L48,IF(AND(C$22=2,MONTH(C48)=7),2*Y$26,IF(AND(C$23=2,MONTH(C48)=12),2*Y$26,Y$26))))</f>
        <v>1160.2459947823063</v>
      </c>
      <c r="N48" s="160">
        <f t="shared" ref="N48:N111" ca="1" si="6">IF(B48&gt;Y$16,"",H48-I48)</f>
        <v>32462.679980003424</v>
      </c>
      <c r="O48" s="160">
        <f t="shared" ref="O48:O111" si="7">IFERROR(IF(AND(MONTH(C48)=7,C$22=2),2/(1+Y$22)^(G48/360),IF(AND(MONTH(C48)=12,C$23=2),2/(1+Y$22)^(G48/360),1/(1+Y$22)^(G48/360))),"")</f>
        <v>0.96452045917478091</v>
      </c>
      <c r="P48" s="160">
        <f>IFERROR(1/(1+Y$22)^(G48/360),"")</f>
        <v>0.96452045917478091</v>
      </c>
      <c r="R48" s="161">
        <f t="shared" ref="R48:R111" ca="1" si="8">IFERROR(I48+J48+K48+L48,"")</f>
        <v>1160.2459947823063</v>
      </c>
      <c r="S48" s="154">
        <f t="shared" ref="S48:S111" si="9">G48</f>
        <v>35</v>
      </c>
      <c r="T48" s="162">
        <f>IFERROR((1+Y$28)^(S48/360),"")</f>
        <v>1.0367846804942551</v>
      </c>
      <c r="U48" s="145">
        <f t="shared" ref="U48:U111" ca="1" si="10">IFERROR(ROUND(R48/T48,2),"")</f>
        <v>1119.08</v>
      </c>
      <c r="V48" s="150"/>
      <c r="Z48" s="155"/>
    </row>
    <row r="49" spans="2:26" x14ac:dyDescent="0.3">
      <c r="B49" s="152">
        <f t="shared" ref="B49:B112" si="11">IF(B48&gt;=$C$20,"",B48+1)</f>
        <v>2</v>
      </c>
      <c r="C49" s="153">
        <f t="shared" si="0"/>
        <v>45957</v>
      </c>
      <c r="D49" s="154">
        <f t="shared" si="1"/>
        <v>1</v>
      </c>
      <c r="E49" s="155">
        <f>IF(B49&gt;$Y$16,"",IF(WEEKDAY(Z49,2)=7,Z49+1,Z49))</f>
        <v>45957</v>
      </c>
      <c r="F49" s="154">
        <f>C49-Y18</f>
        <v>31</v>
      </c>
      <c r="G49" s="154">
        <f t="shared" ref="G49:G112" si="12">IFERROR(F49+G48,"")</f>
        <v>66</v>
      </c>
      <c r="H49" s="156">
        <f ca="1">IF(B49&gt;Y$16,"",N48)</f>
        <v>32462.679980003424</v>
      </c>
      <c r="I49" s="156">
        <f t="shared" ca="1" si="2"/>
        <v>104.7830555029293</v>
      </c>
      <c r="J49" s="157">
        <f t="shared" ca="1" si="3"/>
        <v>1055.462939279377</v>
      </c>
      <c r="K49" s="158">
        <f t="shared" si="4"/>
        <v>0</v>
      </c>
      <c r="L49" s="159">
        <f t="shared" si="5"/>
        <v>0</v>
      </c>
      <c r="M49" s="157">
        <f t="shared" ref="M49:M112" ca="1" si="13">IF(B49&gt;Y$16,"",IF(B49=Y$16,H49+J49+K49+L49,IF(AND(Y$19=2,MONTH(C49)=7),2*Y$26,IF(AND(Y$20=2,MONTH(C49)=12),2*Y$26,Y$26))))</f>
        <v>1160.2459947823063</v>
      </c>
      <c r="N49" s="160">
        <f t="shared" ca="1" si="6"/>
        <v>32357.896924500496</v>
      </c>
      <c r="O49" s="160">
        <f t="shared" si="7"/>
        <v>0.93414838273584266</v>
      </c>
      <c r="P49" s="160">
        <f t="shared" ref="P49:P112" si="14">IFERROR(1/(1+Y$22)^(G49/360),"")</f>
        <v>0.93414838273584266</v>
      </c>
      <c r="R49" s="161">
        <f t="shared" ca="1" si="8"/>
        <v>1160.2459947823063</v>
      </c>
      <c r="S49" s="154">
        <f t="shared" si="9"/>
        <v>66</v>
      </c>
      <c r="T49" s="162">
        <f t="shared" ref="T49:T112" si="15">IFERROR((1+Y$28)^(S49/360),"")</f>
        <v>1.0704938172000795</v>
      </c>
      <c r="U49" s="145">
        <f t="shared" ca="1" si="10"/>
        <v>1083.8399999999999</v>
      </c>
      <c r="V49" s="150"/>
      <c r="Z49" s="155">
        <f>IF(B49&gt;$C$20,"",IF(COUNTIF(Feriados!A2:A17,EDATE($C$48,B48))=0,EDATE($C$48,B48),EDATE($C$48,B48)+VLOOKUP(EDATE($C$48,B48),Feriados!$A$2:$B$17,2,FALSE)))</f>
        <v>45956</v>
      </c>
    </row>
    <row r="50" spans="2:26" x14ac:dyDescent="0.3">
      <c r="B50" s="152">
        <f t="shared" si="11"/>
        <v>3</v>
      </c>
      <c r="C50" s="153">
        <f t="shared" si="0"/>
        <v>45987</v>
      </c>
      <c r="D50" s="154">
        <f t="shared" si="1"/>
        <v>3</v>
      </c>
      <c r="E50" s="155">
        <f t="shared" ref="E50:E113" si="16">IF(B50&gt;$Y$16,"",IF(WEEKDAY(Z50,2)=7,Z50+1,Z50))</f>
        <v>45987</v>
      </c>
      <c r="F50" s="154">
        <f t="shared" ref="F50:F113" si="17">IF(B50&gt;Y$16,"",C50-C49)</f>
        <v>30</v>
      </c>
      <c r="G50" s="154">
        <f t="shared" si="12"/>
        <v>96</v>
      </c>
      <c r="H50" s="156">
        <f t="shared" ref="H50:H113" ca="1" si="18">IF(B50&gt;C$20,"",N49)</f>
        <v>32357.896924500496</v>
      </c>
      <c r="I50" s="156">
        <f t="shared" ca="1" si="2"/>
        <v>142.65520389154869</v>
      </c>
      <c r="J50" s="157">
        <f t="shared" ca="1" si="3"/>
        <v>1017.5907908907576</v>
      </c>
      <c r="K50" s="158">
        <f t="shared" si="4"/>
        <v>0</v>
      </c>
      <c r="L50" s="159">
        <f t="shared" si="5"/>
        <v>0</v>
      </c>
      <c r="M50" s="157">
        <f t="shared" ca="1" si="13"/>
        <v>1160.2459947823063</v>
      </c>
      <c r="N50" s="160">
        <f t="shared" ca="1" si="6"/>
        <v>32215.241720608949</v>
      </c>
      <c r="O50" s="160">
        <f t="shared" si="7"/>
        <v>0.90566697746909297</v>
      </c>
      <c r="P50" s="160">
        <f t="shared" si="14"/>
        <v>0.90566697746909297</v>
      </c>
      <c r="R50" s="161">
        <f t="shared" ca="1" si="8"/>
        <v>1160.2459947823063</v>
      </c>
      <c r="S50" s="154">
        <f t="shared" si="9"/>
        <v>96</v>
      </c>
      <c r="T50" s="162">
        <f t="shared" si="15"/>
        <v>1.1041587292934845</v>
      </c>
      <c r="U50" s="145">
        <f t="shared" ca="1" si="10"/>
        <v>1050.8</v>
      </c>
      <c r="V50" s="150"/>
      <c r="Z50" s="155">
        <f>IF(B50&gt;$C$20,"",IF(COUNTIF(Feriados!A3:A18,EDATE($C$48,B49))=0,EDATE($C$48,B49),EDATE($C$48,B49)+VLOOKUP(EDATE($C$48,B49),Feriados!$A$2:$B$17,2,FALSE)))</f>
        <v>45987</v>
      </c>
    </row>
    <row r="51" spans="2:26" x14ac:dyDescent="0.3">
      <c r="B51" s="152">
        <f t="shared" si="11"/>
        <v>4</v>
      </c>
      <c r="C51" s="153">
        <f t="shared" si="0"/>
        <v>46017</v>
      </c>
      <c r="D51" s="154">
        <f t="shared" si="1"/>
        <v>5</v>
      </c>
      <c r="E51" s="155">
        <f t="shared" si="16"/>
        <v>46017</v>
      </c>
      <c r="F51" s="154">
        <f t="shared" si="17"/>
        <v>30</v>
      </c>
      <c r="G51" s="154">
        <f t="shared" si="12"/>
        <v>126</v>
      </c>
      <c r="H51" s="156">
        <f t="shared" ca="1" si="18"/>
        <v>32215.241720608949</v>
      </c>
      <c r="I51" s="156">
        <f t="shared" ca="1" si="2"/>
        <v>147.14142319348252</v>
      </c>
      <c r="J51" s="157">
        <f t="shared" ca="1" si="3"/>
        <v>1013.1045715888238</v>
      </c>
      <c r="K51" s="158">
        <f t="shared" si="4"/>
        <v>0</v>
      </c>
      <c r="L51" s="159">
        <f t="shared" si="5"/>
        <v>0</v>
      </c>
      <c r="M51" s="157">
        <f t="shared" ca="1" si="13"/>
        <v>1160.2459947823063</v>
      </c>
      <c r="N51" s="160">
        <f t="shared" ca="1" si="6"/>
        <v>32068.100297415465</v>
      </c>
      <c r="O51" s="160">
        <f t="shared" si="7"/>
        <v>0.8780539465002174</v>
      </c>
      <c r="P51" s="160">
        <f t="shared" si="14"/>
        <v>0.8780539465002174</v>
      </c>
      <c r="R51" s="161">
        <f t="shared" ca="1" si="8"/>
        <v>1160.2459947823063</v>
      </c>
      <c r="S51" s="154">
        <f t="shared" si="9"/>
        <v>126</v>
      </c>
      <c r="T51" s="162">
        <f t="shared" si="15"/>
        <v>1.1388823362509297</v>
      </c>
      <c r="U51" s="145">
        <f t="shared" ca="1" si="10"/>
        <v>1018.76</v>
      </c>
      <c r="V51" s="150"/>
      <c r="Z51" s="155">
        <f>IF(B51&gt;$C$20,"",IF(COUNTIF(Feriados!A4:A19,EDATE($C$48,B50))=0,EDATE($C$48,B50),EDATE($C$48,B50)+VLOOKUP(EDATE($C$48,B50),Feriados!$A$2:$B$17,2,FALSE)))</f>
        <v>46017</v>
      </c>
    </row>
    <row r="52" spans="2:26" x14ac:dyDescent="0.3">
      <c r="B52" s="152">
        <f t="shared" si="11"/>
        <v>5</v>
      </c>
      <c r="C52" s="153">
        <f t="shared" si="0"/>
        <v>46048</v>
      </c>
      <c r="D52" s="154">
        <f t="shared" si="1"/>
        <v>1</v>
      </c>
      <c r="E52" s="155">
        <f t="shared" si="16"/>
        <v>46048</v>
      </c>
      <c r="F52" s="154">
        <f t="shared" si="17"/>
        <v>31</v>
      </c>
      <c r="G52" s="154">
        <f t="shared" si="12"/>
        <v>157</v>
      </c>
      <c r="H52" s="156">
        <f t="shared" ca="1" si="18"/>
        <v>32068.100297415465</v>
      </c>
      <c r="I52" s="156">
        <f t="shared" ca="1" si="2"/>
        <v>117.61207121638063</v>
      </c>
      <c r="J52" s="157">
        <f t="shared" ca="1" si="3"/>
        <v>1042.6339235659257</v>
      </c>
      <c r="K52" s="158">
        <f t="shared" si="4"/>
        <v>0</v>
      </c>
      <c r="L52" s="159">
        <f t="shared" si="5"/>
        <v>0</v>
      </c>
      <c r="M52" s="157">
        <f t="shared" ca="1" si="13"/>
        <v>1160.2459947823063</v>
      </c>
      <c r="N52" s="160">
        <f t="shared" ca="1" si="6"/>
        <v>31950.488226199086</v>
      </c>
      <c r="O52" s="160">
        <f t="shared" si="7"/>
        <v>0.85040464022896156</v>
      </c>
      <c r="P52" s="160">
        <f t="shared" si="14"/>
        <v>0.85040464022896156</v>
      </c>
      <c r="R52" s="161">
        <f t="shared" ca="1" si="8"/>
        <v>1160.2459947823063</v>
      </c>
      <c r="S52" s="154">
        <f t="shared" si="9"/>
        <v>157</v>
      </c>
      <c r="T52" s="162">
        <f t="shared" si="15"/>
        <v>1.1759109894388124</v>
      </c>
      <c r="U52" s="145">
        <f t="shared" ca="1" si="10"/>
        <v>986.68</v>
      </c>
      <c r="V52" s="150"/>
      <c r="Z52" s="155">
        <f>IF(B52&gt;$C$20,"",IF(COUNTIF(Feriados!A5:A20,EDATE($C$48,B51))=0,EDATE($C$48,B51),EDATE($C$48,B51)+VLOOKUP(EDATE($C$48,B51),Feriados!$A$2:$B$17,2,FALSE)))</f>
        <v>46048</v>
      </c>
    </row>
    <row r="53" spans="2:26" x14ac:dyDescent="0.3">
      <c r="B53" s="152">
        <f t="shared" si="11"/>
        <v>6</v>
      </c>
      <c r="C53" s="153">
        <f t="shared" si="0"/>
        <v>46079</v>
      </c>
      <c r="D53" s="154">
        <f t="shared" si="1"/>
        <v>4</v>
      </c>
      <c r="E53" s="155">
        <f t="shared" si="16"/>
        <v>46079</v>
      </c>
      <c r="F53" s="154">
        <f t="shared" si="17"/>
        <v>31</v>
      </c>
      <c r="G53" s="154">
        <f t="shared" si="12"/>
        <v>188</v>
      </c>
      <c r="H53" s="156">
        <f t="shared" ca="1" si="18"/>
        <v>31950.488226199086</v>
      </c>
      <c r="I53" s="156">
        <f t="shared" ca="1" si="2"/>
        <v>121.43600634611244</v>
      </c>
      <c r="J53" s="157">
        <f t="shared" ca="1" si="3"/>
        <v>1038.8099884361939</v>
      </c>
      <c r="K53" s="158">
        <f t="shared" si="4"/>
        <v>0</v>
      </c>
      <c r="L53" s="159">
        <f t="shared" si="5"/>
        <v>0</v>
      </c>
      <c r="M53" s="157">
        <f t="shared" ca="1" si="13"/>
        <v>1160.2459947823063</v>
      </c>
      <c r="N53" s="160">
        <f t="shared" ca="1" si="6"/>
        <v>31829.052219852972</v>
      </c>
      <c r="O53" s="160">
        <f t="shared" si="7"/>
        <v>0.82362599132486281</v>
      </c>
      <c r="P53" s="160">
        <f t="shared" si="14"/>
        <v>0.82362599132486281</v>
      </c>
      <c r="R53" s="161">
        <f t="shared" ca="1" si="8"/>
        <v>1160.2459947823063</v>
      </c>
      <c r="S53" s="154">
        <f t="shared" si="9"/>
        <v>188</v>
      </c>
      <c r="T53" s="162">
        <f t="shared" si="15"/>
        <v>1.2141435608132058</v>
      </c>
      <c r="U53" s="145">
        <f t="shared" ca="1" si="10"/>
        <v>955.61</v>
      </c>
      <c r="V53" s="150"/>
      <c r="Z53" s="155">
        <f>IF(B53&gt;$C$20,"",IF(COUNTIF(Feriados!A6:A21,EDATE($C$48,B52))=0,EDATE($C$48,B52),EDATE($C$48,B52)+VLOOKUP(EDATE($C$48,B52),Feriados!$A$2:$B$17,2,FALSE)))</f>
        <v>46079</v>
      </c>
    </row>
    <row r="54" spans="2:26" x14ac:dyDescent="0.3">
      <c r="B54" s="152">
        <f t="shared" si="11"/>
        <v>7</v>
      </c>
      <c r="C54" s="153">
        <f t="shared" si="0"/>
        <v>46107</v>
      </c>
      <c r="D54" s="154">
        <f t="shared" si="1"/>
        <v>4</v>
      </c>
      <c r="E54" s="155">
        <f t="shared" si="16"/>
        <v>46107</v>
      </c>
      <c r="F54" s="154">
        <f t="shared" si="17"/>
        <v>28</v>
      </c>
      <c r="G54" s="154">
        <f t="shared" si="12"/>
        <v>216</v>
      </c>
      <c r="H54" s="156">
        <f t="shared" ca="1" si="18"/>
        <v>31829.052219852972</v>
      </c>
      <c r="I54" s="156">
        <f t="shared" ca="1" si="2"/>
        <v>226.98549741237559</v>
      </c>
      <c r="J54" s="157">
        <f t="shared" ca="1" si="3"/>
        <v>933.2604973699307</v>
      </c>
      <c r="K54" s="158">
        <f t="shared" si="4"/>
        <v>0</v>
      </c>
      <c r="L54" s="159">
        <f t="shared" si="5"/>
        <v>0</v>
      </c>
      <c r="M54" s="157">
        <f t="shared" ca="1" si="13"/>
        <v>1160.2459947823063</v>
      </c>
      <c r="N54" s="160">
        <f t="shared" ca="1" si="6"/>
        <v>31602.066722440595</v>
      </c>
      <c r="O54" s="160">
        <f t="shared" si="7"/>
        <v>0.80016435084346393</v>
      </c>
      <c r="P54" s="160">
        <f t="shared" si="14"/>
        <v>0.80016435084346393</v>
      </c>
      <c r="R54" s="161">
        <f t="shared" ca="1" si="8"/>
        <v>1160.2459947823063</v>
      </c>
      <c r="S54" s="154">
        <f t="shared" si="9"/>
        <v>216</v>
      </c>
      <c r="T54" s="162">
        <f t="shared" si="15"/>
        <v>1.2497435329478563</v>
      </c>
      <c r="U54" s="145">
        <f t="shared" ca="1" si="10"/>
        <v>928.39</v>
      </c>
      <c r="V54" s="150"/>
      <c r="Z54" s="155">
        <f>IF(B54&gt;$C$20,"",IF(COUNTIF(Feriados!A7:A22,EDATE($C$48,B53))=0,EDATE($C$48,B53),EDATE($C$48,B53)+VLOOKUP(EDATE($C$48,B53),Feriados!$A$2:$B$17,2,FALSE)))</f>
        <v>46107</v>
      </c>
    </row>
    <row r="55" spans="2:26" x14ac:dyDescent="0.3">
      <c r="B55" s="152">
        <f t="shared" si="11"/>
        <v>8</v>
      </c>
      <c r="C55" s="153">
        <f t="shared" si="0"/>
        <v>46139</v>
      </c>
      <c r="D55" s="154">
        <f t="shared" si="1"/>
        <v>1</v>
      </c>
      <c r="E55" s="155">
        <f t="shared" si="16"/>
        <v>46139</v>
      </c>
      <c r="F55" s="154">
        <f t="shared" si="17"/>
        <v>32</v>
      </c>
      <c r="G55" s="154">
        <f t="shared" si="12"/>
        <v>248</v>
      </c>
      <c r="H55" s="156">
        <f t="shared" ca="1" si="18"/>
        <v>31602.066722440595</v>
      </c>
      <c r="I55" s="156">
        <f t="shared" ca="1" si="2"/>
        <v>99.069248227453272</v>
      </c>
      <c r="J55" s="157">
        <f t="shared" ca="1" si="3"/>
        <v>1061.176746554853</v>
      </c>
      <c r="K55" s="158">
        <f t="shared" si="4"/>
        <v>0</v>
      </c>
      <c r="L55" s="159">
        <f t="shared" si="5"/>
        <v>0</v>
      </c>
      <c r="M55" s="157">
        <f t="shared" ca="1" si="13"/>
        <v>1160.2459947823063</v>
      </c>
      <c r="N55" s="160">
        <f t="shared" ca="1" si="6"/>
        <v>31502.997474213142</v>
      </c>
      <c r="O55" s="160">
        <f t="shared" si="7"/>
        <v>0.77416828577591368</v>
      </c>
      <c r="P55" s="160">
        <f t="shared" si="14"/>
        <v>0.77416828577591368</v>
      </c>
      <c r="R55" s="161">
        <f t="shared" ca="1" si="8"/>
        <v>1160.2459947823063</v>
      </c>
      <c r="S55" s="154">
        <f t="shared" si="9"/>
        <v>248</v>
      </c>
      <c r="T55" s="162">
        <f t="shared" si="15"/>
        <v>1.2917091466251056</v>
      </c>
      <c r="U55" s="145">
        <f t="shared" ca="1" si="10"/>
        <v>898.23</v>
      </c>
      <c r="V55" s="150"/>
      <c r="Z55" s="155">
        <f>IF(B55&gt;$C$20,"",IF(COUNTIF(Feriados!A8:A23,EDATE($C$48,B54))=0,EDATE($C$48,B54),EDATE($C$48,B54)+VLOOKUP(EDATE($C$48,B54),Feriados!$A$2:$B$17,2,FALSE)))</f>
        <v>46138</v>
      </c>
    </row>
    <row r="56" spans="2:26" x14ac:dyDescent="0.3">
      <c r="B56" s="152">
        <f t="shared" si="11"/>
        <v>9</v>
      </c>
      <c r="C56" s="153">
        <f t="shared" si="0"/>
        <v>46168</v>
      </c>
      <c r="D56" s="154">
        <f t="shared" si="1"/>
        <v>2</v>
      </c>
      <c r="E56" s="155">
        <f t="shared" si="16"/>
        <v>46168</v>
      </c>
      <c r="F56" s="154">
        <f t="shared" si="17"/>
        <v>29</v>
      </c>
      <c r="G56" s="154">
        <f t="shared" si="12"/>
        <v>277</v>
      </c>
      <c r="H56" s="156">
        <f t="shared" ca="1" si="18"/>
        <v>31502.997474213142</v>
      </c>
      <c r="I56" s="156">
        <f t="shared" ca="1" si="2"/>
        <v>203.06020444482681</v>
      </c>
      <c r="J56" s="157">
        <f t="shared" ca="1" si="3"/>
        <v>957.18579033747949</v>
      </c>
      <c r="K56" s="158">
        <f t="shared" si="4"/>
        <v>0</v>
      </c>
      <c r="L56" s="159">
        <f t="shared" si="5"/>
        <v>0</v>
      </c>
      <c r="M56" s="157">
        <f t="shared" ca="1" si="13"/>
        <v>1160.2459947823063</v>
      </c>
      <c r="N56" s="160">
        <f t="shared" ca="1" si="6"/>
        <v>31299.937269768314</v>
      </c>
      <c r="O56" s="160">
        <f t="shared" si="7"/>
        <v>0.7513396136012902</v>
      </c>
      <c r="P56" s="160">
        <f t="shared" si="14"/>
        <v>0.7513396136012902</v>
      </c>
      <c r="R56" s="161">
        <f t="shared" ca="1" si="8"/>
        <v>1160.2459947823063</v>
      </c>
      <c r="S56" s="154">
        <f t="shared" si="9"/>
        <v>277</v>
      </c>
      <c r="T56" s="162">
        <f t="shared" si="15"/>
        <v>1.3309564244570273</v>
      </c>
      <c r="U56" s="145">
        <f t="shared" ca="1" si="10"/>
        <v>871.74</v>
      </c>
      <c r="V56" s="150"/>
      <c r="Z56" s="155">
        <f>IF(B56&gt;$C$20,"",IF(COUNTIF(Feriados!A9:A24,EDATE($C$48,B55))=0,EDATE($C$48,B55),EDATE($C$48,B55)+VLOOKUP(EDATE($C$48,B55),Feriados!$A$2:$B$17,2,FALSE)))</f>
        <v>46168</v>
      </c>
    </row>
    <row r="57" spans="2:26" x14ac:dyDescent="0.3">
      <c r="B57" s="152">
        <f t="shared" si="11"/>
        <v>10</v>
      </c>
      <c r="C57" s="153">
        <f t="shared" si="0"/>
        <v>46199</v>
      </c>
      <c r="D57" s="154">
        <f t="shared" si="1"/>
        <v>5</v>
      </c>
      <c r="E57" s="155">
        <f t="shared" si="16"/>
        <v>46199</v>
      </c>
      <c r="F57" s="154">
        <f t="shared" si="17"/>
        <v>31</v>
      </c>
      <c r="G57" s="154">
        <f t="shared" si="12"/>
        <v>308</v>
      </c>
      <c r="H57" s="156">
        <f t="shared" ca="1" si="18"/>
        <v>31299.937269768314</v>
      </c>
      <c r="I57" s="156">
        <f t="shared" ca="1" si="2"/>
        <v>142.58744624720475</v>
      </c>
      <c r="J57" s="157">
        <f t="shared" ca="1" si="3"/>
        <v>1017.6585485351015</v>
      </c>
      <c r="K57" s="158">
        <f t="shared" si="4"/>
        <v>0</v>
      </c>
      <c r="L57" s="159">
        <f t="shared" si="5"/>
        <v>0</v>
      </c>
      <c r="M57" s="157">
        <f t="shared" ca="1" si="13"/>
        <v>1160.2459947823063</v>
      </c>
      <c r="N57" s="160">
        <f t="shared" ca="1" si="6"/>
        <v>31157.349823521108</v>
      </c>
      <c r="O57" s="160">
        <f t="shared" si="7"/>
        <v>0.72768045328091235</v>
      </c>
      <c r="P57" s="160">
        <f t="shared" si="14"/>
        <v>0.72768045328091235</v>
      </c>
      <c r="R57" s="161">
        <f t="shared" ca="1" si="8"/>
        <v>1160.2459947823063</v>
      </c>
      <c r="S57" s="154">
        <f t="shared" si="9"/>
        <v>308</v>
      </c>
      <c r="T57" s="162">
        <f t="shared" si="15"/>
        <v>1.3742300114472681</v>
      </c>
      <c r="U57" s="145">
        <f t="shared" ca="1" si="10"/>
        <v>844.29</v>
      </c>
      <c r="V57" s="150"/>
      <c r="Z57" s="155">
        <f>IF(B57&gt;$C$20,"",IF(COUNTIF(Feriados!A10:A25,EDATE($C$48,B56))=0,EDATE($C$48,B56),EDATE($C$48,B56)+VLOOKUP(EDATE($C$48,B56),Feriados!$A$2:$B$17,2,FALSE)))</f>
        <v>46199</v>
      </c>
    </row>
    <row r="58" spans="2:26" x14ac:dyDescent="0.3">
      <c r="B58" s="152">
        <f t="shared" si="11"/>
        <v>11</v>
      </c>
      <c r="C58" s="153">
        <f t="shared" si="0"/>
        <v>46230</v>
      </c>
      <c r="D58" s="154">
        <f t="shared" si="1"/>
        <v>1</v>
      </c>
      <c r="E58" s="155">
        <f t="shared" si="16"/>
        <v>46230</v>
      </c>
      <c r="F58" s="154">
        <f t="shared" si="17"/>
        <v>31</v>
      </c>
      <c r="G58" s="154">
        <f t="shared" si="12"/>
        <v>339</v>
      </c>
      <c r="H58" s="156">
        <f t="shared" ca="1" si="18"/>
        <v>31157.349823521108</v>
      </c>
      <c r="I58" s="156">
        <f t="shared" ca="1" si="2"/>
        <v>147.22340868817139</v>
      </c>
      <c r="J58" s="157">
        <f t="shared" ca="1" si="3"/>
        <v>1013.0225860941349</v>
      </c>
      <c r="K58" s="158">
        <f t="shared" si="4"/>
        <v>0</v>
      </c>
      <c r="L58" s="159">
        <f t="shared" si="5"/>
        <v>0</v>
      </c>
      <c r="M58" s="157">
        <f t="shared" ca="1" si="13"/>
        <v>1160.2459947823063</v>
      </c>
      <c r="N58" s="160">
        <f t="shared" ca="1" si="6"/>
        <v>31010.126414832936</v>
      </c>
      <c r="O58" s="160">
        <f t="shared" si="7"/>
        <v>0.70476630341510427</v>
      </c>
      <c r="P58" s="160">
        <f t="shared" si="14"/>
        <v>0.70476630341510427</v>
      </c>
      <c r="R58" s="161">
        <f t="shared" ca="1" si="8"/>
        <v>1160.2459947823063</v>
      </c>
      <c r="S58" s="154">
        <f t="shared" si="9"/>
        <v>339</v>
      </c>
      <c r="T58" s="162">
        <f t="shared" si="15"/>
        <v>1.4189105590987239</v>
      </c>
      <c r="U58" s="145">
        <f t="shared" ca="1" si="10"/>
        <v>817.7</v>
      </c>
      <c r="V58" s="150"/>
      <c r="Z58" s="155">
        <f>IF(B58&gt;$C$20,"",IF(COUNTIF(Feriados!A11:A26,EDATE($C$48,B57))=0,EDATE($C$48,B57),EDATE($C$48,B57)+VLOOKUP(EDATE($C$48,B57),Feriados!$A$2:$B$17,2,FALSE)))</f>
        <v>46229</v>
      </c>
    </row>
    <row r="59" spans="2:26" x14ac:dyDescent="0.3">
      <c r="B59" s="152">
        <f t="shared" si="11"/>
        <v>12</v>
      </c>
      <c r="C59" s="153">
        <f t="shared" si="0"/>
        <v>46260</v>
      </c>
      <c r="D59" s="154">
        <f t="shared" si="1"/>
        <v>3</v>
      </c>
      <c r="E59" s="155">
        <f t="shared" si="16"/>
        <v>46260</v>
      </c>
      <c r="F59" s="154">
        <f t="shared" si="17"/>
        <v>30</v>
      </c>
      <c r="G59" s="154">
        <f t="shared" si="12"/>
        <v>369</v>
      </c>
      <c r="H59" s="156">
        <f t="shared" ca="1" si="18"/>
        <v>31010.126414832936</v>
      </c>
      <c r="I59" s="156">
        <f t="shared" ca="1" si="2"/>
        <v>185.03987623511523</v>
      </c>
      <c r="J59" s="157">
        <f t="shared" ca="1" si="3"/>
        <v>975.20611854719107</v>
      </c>
      <c r="K59" s="158">
        <f t="shared" si="4"/>
        <v>0</v>
      </c>
      <c r="L59" s="159">
        <f t="shared" si="5"/>
        <v>0</v>
      </c>
      <c r="M59" s="157">
        <f t="shared" ca="1" si="13"/>
        <v>1160.2459947823063</v>
      </c>
      <c r="N59" s="160">
        <f t="shared" ca="1" si="6"/>
        <v>30825.086538597821</v>
      </c>
      <c r="O59" s="160">
        <f t="shared" si="7"/>
        <v>0.68327856648071306</v>
      </c>
      <c r="P59" s="160">
        <f t="shared" si="14"/>
        <v>0.68327856648071306</v>
      </c>
      <c r="R59" s="161">
        <f t="shared" ca="1" si="8"/>
        <v>1160.2459947823063</v>
      </c>
      <c r="S59" s="154">
        <f t="shared" si="9"/>
        <v>369</v>
      </c>
      <c r="T59" s="162">
        <f t="shared" si="15"/>
        <v>1.4635324882242935</v>
      </c>
      <c r="U59" s="145">
        <f t="shared" ca="1" si="10"/>
        <v>792.77</v>
      </c>
      <c r="V59" s="150"/>
      <c r="Z59" s="155">
        <f>IF(B59&gt;$C$20,"",IF(COUNTIF(Feriados!A12:A27,EDATE($C$48,B58))=0,EDATE($C$48,B58),EDATE($C$48,B58)+VLOOKUP(EDATE($C$48,B58),Feriados!$A$2:$B$17,2,FALSE)))</f>
        <v>46260</v>
      </c>
    </row>
    <row r="60" spans="2:26" x14ac:dyDescent="0.3">
      <c r="B60" s="152">
        <f t="shared" si="11"/>
        <v>13</v>
      </c>
      <c r="C60" s="153">
        <f t="shared" si="0"/>
        <v>46291</v>
      </c>
      <c r="D60" s="154">
        <f t="shared" si="1"/>
        <v>6</v>
      </c>
      <c r="E60" s="155">
        <f t="shared" si="16"/>
        <v>46291</v>
      </c>
      <c r="F60" s="154">
        <f t="shared" si="17"/>
        <v>31</v>
      </c>
      <c r="G60" s="154">
        <f t="shared" si="12"/>
        <v>400</v>
      </c>
      <c r="H60" s="156">
        <f t="shared" ca="1" si="18"/>
        <v>30825.086538597821</v>
      </c>
      <c r="I60" s="156">
        <f t="shared" ca="1" si="2"/>
        <v>158.02632402158724</v>
      </c>
      <c r="J60" s="157">
        <f t="shared" ca="1" si="3"/>
        <v>1002.2196707607191</v>
      </c>
      <c r="K60" s="158">
        <f t="shared" si="4"/>
        <v>0</v>
      </c>
      <c r="L60" s="159">
        <f t="shared" si="5"/>
        <v>0</v>
      </c>
      <c r="M60" s="157">
        <f t="shared" ca="1" si="13"/>
        <v>1160.2459947823063</v>
      </c>
      <c r="N60" s="160">
        <f t="shared" ca="1" si="6"/>
        <v>30667.060214576235</v>
      </c>
      <c r="O60" s="160">
        <f t="shared" si="7"/>
        <v>0.66176260105682183</v>
      </c>
      <c r="P60" s="160">
        <f t="shared" si="14"/>
        <v>0.66176260105682183</v>
      </c>
      <c r="R60" s="161">
        <f t="shared" ca="1" si="8"/>
        <v>1160.2459947823063</v>
      </c>
      <c r="S60" s="154">
        <f t="shared" si="9"/>
        <v>400</v>
      </c>
      <c r="T60" s="162">
        <f t="shared" si="15"/>
        <v>1.5111165407736133</v>
      </c>
      <c r="U60" s="145">
        <f t="shared" ca="1" si="10"/>
        <v>767.81</v>
      </c>
      <c r="V60" s="150"/>
      <c r="Z60" s="155">
        <f>IF(B60&gt;$C$20,"",IF(COUNTIF(Feriados!A13:A28,EDATE($C$48,B59))=0,EDATE($C$48,B59),EDATE($C$48,B59)+VLOOKUP(EDATE($C$48,B59),Feriados!$A$2:$B$17,2,FALSE)))</f>
        <v>46291</v>
      </c>
    </row>
    <row r="61" spans="2:26" x14ac:dyDescent="0.3">
      <c r="B61" s="152">
        <f t="shared" si="11"/>
        <v>14</v>
      </c>
      <c r="C61" s="153">
        <f t="shared" si="0"/>
        <v>46321</v>
      </c>
      <c r="D61" s="154">
        <f t="shared" si="1"/>
        <v>1</v>
      </c>
      <c r="E61" s="155">
        <f t="shared" si="16"/>
        <v>46321</v>
      </c>
      <c r="F61" s="154">
        <f t="shared" si="17"/>
        <v>30</v>
      </c>
      <c r="G61" s="154">
        <f t="shared" si="12"/>
        <v>430</v>
      </c>
      <c r="H61" s="156">
        <f t="shared" ca="1" si="18"/>
        <v>30667.060214576235</v>
      </c>
      <c r="I61" s="156">
        <f t="shared" ca="1" si="2"/>
        <v>195.82861837313635</v>
      </c>
      <c r="J61" s="157">
        <f t="shared" ca="1" si="3"/>
        <v>964.41737640916995</v>
      </c>
      <c r="K61" s="158">
        <f t="shared" si="4"/>
        <v>0</v>
      </c>
      <c r="L61" s="159">
        <f t="shared" si="5"/>
        <v>0</v>
      </c>
      <c r="M61" s="157">
        <f t="shared" ca="1" si="13"/>
        <v>1160.2459947823063</v>
      </c>
      <c r="N61" s="160">
        <f t="shared" ca="1" si="6"/>
        <v>30471.231596203099</v>
      </c>
      <c r="O61" s="160">
        <f t="shared" si="7"/>
        <v>0.64158601114946912</v>
      </c>
      <c r="P61" s="160">
        <f t="shared" si="14"/>
        <v>0.64158601114946912</v>
      </c>
      <c r="R61" s="161">
        <f t="shared" ca="1" si="8"/>
        <v>1160.2459947823063</v>
      </c>
      <c r="S61" s="154">
        <f t="shared" si="9"/>
        <v>430</v>
      </c>
      <c r="T61" s="162">
        <f t="shared" si="15"/>
        <v>1.5586381655515036</v>
      </c>
      <c r="U61" s="145">
        <f t="shared" ca="1" si="10"/>
        <v>744.4</v>
      </c>
      <c r="V61" s="150"/>
      <c r="Z61" s="155">
        <f>IF(B61&gt;$C$20,"",IF(COUNTIF(Feriados!A14:A29,EDATE($C$48,B60))=0,EDATE($C$48,B60),EDATE($C$48,B60)+VLOOKUP(EDATE($C$48,B60),Feriados!$A$2:$B$17,2,FALSE)))</f>
        <v>46321</v>
      </c>
    </row>
    <row r="62" spans="2:26" x14ac:dyDescent="0.3">
      <c r="B62" s="152">
        <f t="shared" si="11"/>
        <v>15</v>
      </c>
      <c r="C62" s="153">
        <f t="shared" si="0"/>
        <v>46352</v>
      </c>
      <c r="D62" s="154">
        <f t="shared" si="1"/>
        <v>4</v>
      </c>
      <c r="E62" s="155">
        <f t="shared" si="16"/>
        <v>46352</v>
      </c>
      <c r="F62" s="154">
        <f t="shared" si="17"/>
        <v>31</v>
      </c>
      <c r="G62" s="154">
        <f t="shared" si="12"/>
        <v>461</v>
      </c>
      <c r="H62" s="156">
        <f t="shared" ca="1" si="18"/>
        <v>30471.231596203099</v>
      </c>
      <c r="I62" s="156">
        <f t="shared" ca="1" si="2"/>
        <v>169.53125145852493</v>
      </c>
      <c r="J62" s="157">
        <f t="shared" ca="1" si="3"/>
        <v>990.71474332378136</v>
      </c>
      <c r="K62" s="158">
        <f t="shared" si="4"/>
        <v>0</v>
      </c>
      <c r="L62" s="159">
        <f t="shared" si="5"/>
        <v>0</v>
      </c>
      <c r="M62" s="157">
        <f t="shared" ca="1" si="13"/>
        <v>1160.2459947823063</v>
      </c>
      <c r="N62" s="160">
        <f t="shared" ca="1" si="6"/>
        <v>30301.700344744575</v>
      </c>
      <c r="O62" s="160">
        <f t="shared" si="7"/>
        <v>0.62138291520948552</v>
      </c>
      <c r="P62" s="160">
        <f t="shared" si="14"/>
        <v>0.62138291520948552</v>
      </c>
      <c r="R62" s="161">
        <f t="shared" ca="1" si="8"/>
        <v>1160.2459947823063</v>
      </c>
      <c r="S62" s="154">
        <f t="shared" si="9"/>
        <v>461</v>
      </c>
      <c r="T62" s="162">
        <f t="shared" si="15"/>
        <v>1.609314403333532</v>
      </c>
      <c r="U62" s="145">
        <f t="shared" ca="1" si="10"/>
        <v>720.96</v>
      </c>
      <c r="V62" s="150"/>
      <c r="Z62" s="155">
        <f>IF(B62&gt;$C$20,"",IF(COUNTIF(Feriados!A15:A30,EDATE($C$48,B61))=0,EDATE($C$48,B61),EDATE($C$48,B61)+VLOOKUP(EDATE($C$48,B61),Feriados!$A$2:$B$17,2,FALSE)))</f>
        <v>46352</v>
      </c>
    </row>
    <row r="63" spans="2:26" x14ac:dyDescent="0.3">
      <c r="B63" s="152">
        <f t="shared" si="11"/>
        <v>16</v>
      </c>
      <c r="C63" s="153">
        <f t="shared" si="0"/>
        <v>46382</v>
      </c>
      <c r="D63" s="154">
        <f t="shared" si="1"/>
        <v>6</v>
      </c>
      <c r="E63" s="155">
        <f t="shared" si="16"/>
        <v>46382</v>
      </c>
      <c r="F63" s="154">
        <f t="shared" si="17"/>
        <v>30</v>
      </c>
      <c r="G63" s="154">
        <f t="shared" si="12"/>
        <v>491</v>
      </c>
      <c r="H63" s="156">
        <f t="shared" ca="1" si="18"/>
        <v>30301.700344744575</v>
      </c>
      <c r="I63" s="156">
        <f t="shared" ca="1" si="2"/>
        <v>207.31845158971464</v>
      </c>
      <c r="J63" s="157">
        <f t="shared" ca="1" si="3"/>
        <v>952.92754319259166</v>
      </c>
      <c r="K63" s="158">
        <f t="shared" si="4"/>
        <v>0</v>
      </c>
      <c r="L63" s="159">
        <f t="shared" si="5"/>
        <v>0</v>
      </c>
      <c r="M63" s="157">
        <f t="shared" ca="1" si="13"/>
        <v>1160.2459947823063</v>
      </c>
      <c r="N63" s="160">
        <f t="shared" ca="1" si="6"/>
        <v>30094.381893154859</v>
      </c>
      <c r="O63" s="160">
        <f t="shared" si="7"/>
        <v>0.60243746825374167</v>
      </c>
      <c r="P63" s="160">
        <f t="shared" si="14"/>
        <v>0.60243746825374167</v>
      </c>
      <c r="R63" s="161">
        <f t="shared" ca="1" si="8"/>
        <v>1160.2459947823063</v>
      </c>
      <c r="S63" s="154">
        <f t="shared" si="9"/>
        <v>491</v>
      </c>
      <c r="T63" s="162">
        <f t="shared" si="15"/>
        <v>1.6599241565599236</v>
      </c>
      <c r="U63" s="145">
        <f t="shared" ca="1" si="10"/>
        <v>698.98</v>
      </c>
      <c r="V63" s="150"/>
      <c r="Z63" s="155">
        <f>IF(B63&gt;$C$20,"",IF(COUNTIF(Feriados!A16:A31,EDATE($C$48,B62))=0,EDATE($C$48,B62),EDATE($C$48,B62)+VLOOKUP(EDATE($C$48,B62),Feriados!$A$2:$B$17,2,FALSE)))</f>
        <v>46382</v>
      </c>
    </row>
    <row r="64" spans="2:26" x14ac:dyDescent="0.3">
      <c r="B64" s="152">
        <f t="shared" si="11"/>
        <v>17</v>
      </c>
      <c r="C64" s="153">
        <f t="shared" si="0"/>
        <v>46413</v>
      </c>
      <c r="D64" s="154">
        <f t="shared" si="1"/>
        <v>2</v>
      </c>
      <c r="E64" s="155">
        <f t="shared" si="16"/>
        <v>46413</v>
      </c>
      <c r="F64" s="154">
        <f t="shared" si="17"/>
        <v>31</v>
      </c>
      <c r="G64" s="154">
        <f t="shared" si="12"/>
        <v>522</v>
      </c>
      <c r="H64" s="156">
        <f t="shared" ca="1" si="18"/>
        <v>30094.381893154859</v>
      </c>
      <c r="I64" s="156">
        <f t="shared" ca="1" si="2"/>
        <v>181.78381025807153</v>
      </c>
      <c r="J64" s="157">
        <f t="shared" ca="1" si="3"/>
        <v>978.46218452423477</v>
      </c>
      <c r="K64" s="158">
        <f t="shared" si="4"/>
        <v>0</v>
      </c>
      <c r="L64" s="159">
        <f t="shared" si="5"/>
        <v>0</v>
      </c>
      <c r="M64" s="157">
        <f t="shared" ca="1" si="13"/>
        <v>1160.2459947823063</v>
      </c>
      <c r="N64" s="160">
        <f t="shared" ca="1" si="6"/>
        <v>29912.598082896788</v>
      </c>
      <c r="O64" s="160">
        <f t="shared" si="7"/>
        <v>0.58346713262069805</v>
      </c>
      <c r="P64" s="160">
        <f t="shared" si="14"/>
        <v>0.58346713262069805</v>
      </c>
      <c r="R64" s="161">
        <f t="shared" ca="1" si="8"/>
        <v>1160.2459947823063</v>
      </c>
      <c r="S64" s="154">
        <f t="shared" si="9"/>
        <v>522</v>
      </c>
      <c r="T64" s="162">
        <f t="shared" si="15"/>
        <v>1.7138935210456181</v>
      </c>
      <c r="U64" s="145">
        <f t="shared" ca="1" si="10"/>
        <v>676.97</v>
      </c>
      <c r="V64" s="150"/>
      <c r="Z64" s="155">
        <f>IF(B64&gt;$C$20,"",IF(COUNTIF(Feriados!A17:A32,EDATE($C$48,B63))=0,EDATE($C$48,B63),EDATE($C$48,B63)+VLOOKUP(EDATE($C$48,B63),Feriados!$A$2:$B$17,2,FALSE)))</f>
        <v>46413</v>
      </c>
    </row>
    <row r="65" spans="2:26" x14ac:dyDescent="0.3">
      <c r="B65" s="152">
        <f t="shared" si="11"/>
        <v>18</v>
      </c>
      <c r="C65" s="153">
        <f t="shared" si="0"/>
        <v>46444</v>
      </c>
      <c r="D65" s="154">
        <f t="shared" si="1"/>
        <v>5</v>
      </c>
      <c r="E65" s="155">
        <f t="shared" si="16"/>
        <v>46444</v>
      </c>
      <c r="F65" s="154">
        <f t="shared" si="17"/>
        <v>31</v>
      </c>
      <c r="G65" s="154">
        <f t="shared" si="12"/>
        <v>553</v>
      </c>
      <c r="H65" s="156">
        <f t="shared" ca="1" si="18"/>
        <v>29912.598082896788</v>
      </c>
      <c r="I65" s="156">
        <f t="shared" ca="1" si="2"/>
        <v>187.69416870064549</v>
      </c>
      <c r="J65" s="157">
        <f t="shared" ca="1" si="3"/>
        <v>972.55182608166081</v>
      </c>
      <c r="K65" s="158">
        <f t="shared" si="4"/>
        <v>0</v>
      </c>
      <c r="L65" s="159">
        <f t="shared" si="5"/>
        <v>0</v>
      </c>
      <c r="M65" s="157">
        <f t="shared" ca="1" si="13"/>
        <v>1160.2459947823063</v>
      </c>
      <c r="N65" s="160">
        <f t="shared" ca="1" si="6"/>
        <v>29724.903914196144</v>
      </c>
      <c r="O65" s="160">
        <f t="shared" si="7"/>
        <v>0.56509415962360299</v>
      </c>
      <c r="P65" s="160">
        <f t="shared" si="14"/>
        <v>0.56509415962360299</v>
      </c>
      <c r="R65" s="161">
        <f t="shared" ca="1" si="8"/>
        <v>1160.2459947823063</v>
      </c>
      <c r="S65" s="154">
        <f t="shared" si="9"/>
        <v>553</v>
      </c>
      <c r="T65" s="162">
        <f t="shared" si="15"/>
        <v>1.7696175996195915</v>
      </c>
      <c r="U65" s="145">
        <f t="shared" ca="1" si="10"/>
        <v>655.65</v>
      </c>
      <c r="V65" s="150"/>
      <c r="Z65" s="155">
        <f>IF(B65&gt;$C$20,"",IF(COUNTIF(Feriados!A18:A33,EDATE($C$48,B64))=0,EDATE($C$48,B64),EDATE($C$48,B64)+VLOOKUP(EDATE($C$48,B64),Feriados!$A$2:$B$17,2,FALSE)))</f>
        <v>46444</v>
      </c>
    </row>
    <row r="66" spans="2:26" x14ac:dyDescent="0.3">
      <c r="B66" s="152">
        <f t="shared" si="11"/>
        <v>19</v>
      </c>
      <c r="C66" s="153">
        <f t="shared" si="0"/>
        <v>46472</v>
      </c>
      <c r="D66" s="154">
        <f t="shared" si="1"/>
        <v>5</v>
      </c>
      <c r="E66" s="155">
        <f t="shared" si="16"/>
        <v>46472</v>
      </c>
      <c r="F66" s="154">
        <f t="shared" si="17"/>
        <v>28</v>
      </c>
      <c r="G66" s="154">
        <f t="shared" si="12"/>
        <v>581</v>
      </c>
      <c r="H66" s="156">
        <f t="shared" ca="1" si="18"/>
        <v>29724.903914196144</v>
      </c>
      <c r="I66" s="156">
        <f t="shared" ca="1" si="2"/>
        <v>288.68128655222768</v>
      </c>
      <c r="J66" s="157">
        <f t="shared" ca="1" si="3"/>
        <v>871.56470823007862</v>
      </c>
      <c r="K66" s="158">
        <f t="shared" si="4"/>
        <v>0</v>
      </c>
      <c r="L66" s="159">
        <f t="shared" si="5"/>
        <v>0</v>
      </c>
      <c r="M66" s="157">
        <f t="shared" ca="1" si="13"/>
        <v>1160.2459947823063</v>
      </c>
      <c r="N66" s="160">
        <f t="shared" ca="1" si="6"/>
        <v>29436.222627643918</v>
      </c>
      <c r="O66" s="160">
        <f t="shared" si="7"/>
        <v>0.54899700369254678</v>
      </c>
      <c r="P66" s="160">
        <f t="shared" si="14"/>
        <v>0.54899700369254678</v>
      </c>
      <c r="R66" s="161">
        <f t="shared" ca="1" si="8"/>
        <v>1160.2459947823063</v>
      </c>
      <c r="S66" s="154">
        <f t="shared" si="9"/>
        <v>581</v>
      </c>
      <c r="T66" s="162">
        <f t="shared" si="15"/>
        <v>1.8215046575168057</v>
      </c>
      <c r="U66" s="145">
        <f t="shared" ca="1" si="10"/>
        <v>636.97</v>
      </c>
      <c r="V66" s="150"/>
      <c r="Z66" s="155">
        <f>IF(B66&gt;$C$20,"",IF(COUNTIF(Feriados!A19:A34,EDATE($C$48,B65))=0,EDATE($C$48,B65),EDATE($C$48,B65)+VLOOKUP(EDATE($C$48,B65),Feriados!$A$2:$B$17,2,FALSE)))</f>
        <v>46472</v>
      </c>
    </row>
    <row r="67" spans="2:26" x14ac:dyDescent="0.3">
      <c r="B67" s="152">
        <f t="shared" si="11"/>
        <v>20</v>
      </c>
      <c r="C67" s="153">
        <f t="shared" si="0"/>
        <v>46503</v>
      </c>
      <c r="D67" s="154">
        <f t="shared" si="1"/>
        <v>1</v>
      </c>
      <c r="E67" s="155">
        <f t="shared" si="16"/>
        <v>46503</v>
      </c>
      <c r="F67" s="154">
        <f t="shared" si="17"/>
        <v>31</v>
      </c>
      <c r="G67" s="154">
        <f t="shared" si="12"/>
        <v>612</v>
      </c>
      <c r="H67" s="156">
        <f t="shared" ca="1" si="18"/>
        <v>29436.222627643918</v>
      </c>
      <c r="I67" s="156">
        <f t="shared" ca="1" si="2"/>
        <v>203.18262000877712</v>
      </c>
      <c r="J67" s="157">
        <f t="shared" ca="1" si="3"/>
        <v>957.06337477352918</v>
      </c>
      <c r="K67" s="158">
        <f t="shared" si="4"/>
        <v>0</v>
      </c>
      <c r="L67" s="159">
        <f t="shared" si="5"/>
        <v>0</v>
      </c>
      <c r="M67" s="157">
        <f t="shared" ca="1" si="13"/>
        <v>1160.2459947823063</v>
      </c>
      <c r="N67" s="160">
        <f t="shared" ca="1" si="6"/>
        <v>29233.04000763514</v>
      </c>
      <c r="O67" s="160">
        <f t="shared" si="7"/>
        <v>0.5317094710100736</v>
      </c>
      <c r="P67" s="160">
        <f t="shared" si="14"/>
        <v>0.5317094710100736</v>
      </c>
      <c r="R67" s="161">
        <f t="shared" ca="1" si="8"/>
        <v>1160.2459947823063</v>
      </c>
      <c r="S67" s="154">
        <f t="shared" si="9"/>
        <v>612</v>
      </c>
      <c r="T67" s="162">
        <f t="shared" si="15"/>
        <v>1.8807275132029631</v>
      </c>
      <c r="U67" s="145">
        <f t="shared" ca="1" si="10"/>
        <v>616.91</v>
      </c>
      <c r="V67" s="150"/>
      <c r="Z67" s="155">
        <f>IF(B67&gt;$C$20,"",IF(COUNTIF(Feriados!A20:A35,EDATE($C$48,B66))=0,EDATE($C$48,B66),EDATE($C$48,B66)+VLOOKUP(EDATE($C$48,B66),Feriados!$A$2:$B$17,2,FALSE)))</f>
        <v>46503</v>
      </c>
    </row>
    <row r="68" spans="2:26" x14ac:dyDescent="0.3">
      <c r="B68" s="152">
        <f t="shared" si="11"/>
        <v>21</v>
      </c>
      <c r="C68" s="153">
        <f t="shared" si="0"/>
        <v>46533</v>
      </c>
      <c r="D68" s="154">
        <f t="shared" si="1"/>
        <v>3</v>
      </c>
      <c r="E68" s="155">
        <f t="shared" si="16"/>
        <v>46533</v>
      </c>
      <c r="F68" s="154">
        <f t="shared" si="17"/>
        <v>30</v>
      </c>
      <c r="G68" s="154">
        <f t="shared" si="12"/>
        <v>642</v>
      </c>
      <c r="H68" s="156">
        <f t="shared" ca="1" si="18"/>
        <v>29233.04000763514</v>
      </c>
      <c r="I68" s="156">
        <f t="shared" ca="1" si="2"/>
        <v>240.92567025939832</v>
      </c>
      <c r="J68" s="157">
        <f t="shared" ca="1" si="3"/>
        <v>919.32032452290798</v>
      </c>
      <c r="K68" s="158">
        <f t="shared" si="4"/>
        <v>0</v>
      </c>
      <c r="L68" s="159">
        <f t="shared" si="5"/>
        <v>0</v>
      </c>
      <c r="M68" s="157">
        <f t="shared" ca="1" si="13"/>
        <v>1160.2459947823063</v>
      </c>
      <c r="N68" s="160">
        <f t="shared" ca="1" si="6"/>
        <v>28992.11433737574</v>
      </c>
      <c r="O68" s="160">
        <f t="shared" si="7"/>
        <v>0.51549809259537749</v>
      </c>
      <c r="P68" s="160">
        <f t="shared" si="14"/>
        <v>0.51549809259537749</v>
      </c>
      <c r="R68" s="161">
        <f t="shared" ca="1" si="8"/>
        <v>1160.2459947823063</v>
      </c>
      <c r="S68" s="154">
        <f t="shared" si="9"/>
        <v>642</v>
      </c>
      <c r="T68" s="162">
        <f t="shared" si="15"/>
        <v>1.9398726716208112</v>
      </c>
      <c r="U68" s="145">
        <f t="shared" ca="1" si="10"/>
        <v>598.1</v>
      </c>
      <c r="V68" s="150"/>
      <c r="Z68" s="155">
        <f>IF(B68&gt;$C$20,"",IF(COUNTIF(Feriados!A21:A36,EDATE($C$48,B67))=0,EDATE($C$48,B67),EDATE($C$48,B67)+VLOOKUP(EDATE($C$48,B67),Feriados!$A$2:$B$17,2,FALSE)))</f>
        <v>46533</v>
      </c>
    </row>
    <row r="69" spans="2:26" x14ac:dyDescent="0.3">
      <c r="B69" s="152">
        <f t="shared" si="11"/>
        <v>22</v>
      </c>
      <c r="C69" s="153">
        <f t="shared" si="0"/>
        <v>46564</v>
      </c>
      <c r="D69" s="154">
        <f t="shared" si="1"/>
        <v>6</v>
      </c>
      <c r="E69" s="155">
        <f t="shared" si="16"/>
        <v>46564</v>
      </c>
      <c r="F69" s="154">
        <f t="shared" si="17"/>
        <v>31</v>
      </c>
      <c r="G69" s="154">
        <f t="shared" si="12"/>
        <v>673</v>
      </c>
      <c r="H69" s="156">
        <f t="shared" ca="1" si="18"/>
        <v>28992.11433737574</v>
      </c>
      <c r="I69" s="156">
        <f t="shared" ca="1" si="2"/>
        <v>217.6219651797096</v>
      </c>
      <c r="J69" s="157">
        <f t="shared" ca="1" si="3"/>
        <v>942.62402960259669</v>
      </c>
      <c r="K69" s="158">
        <f t="shared" si="4"/>
        <v>0</v>
      </c>
      <c r="L69" s="159">
        <f t="shared" si="5"/>
        <v>0</v>
      </c>
      <c r="M69" s="157">
        <f t="shared" ca="1" si="13"/>
        <v>1160.2459947823063</v>
      </c>
      <c r="N69" s="160">
        <f t="shared" ca="1" si="6"/>
        <v>28774.492372196029</v>
      </c>
      <c r="O69" s="160">
        <f t="shared" si="7"/>
        <v>0.49926541725552098</v>
      </c>
      <c r="P69" s="160">
        <f t="shared" si="14"/>
        <v>0.49926541725552098</v>
      </c>
      <c r="R69" s="161">
        <f t="shared" ca="1" si="8"/>
        <v>1160.2459947823063</v>
      </c>
      <c r="S69" s="154">
        <f t="shared" si="9"/>
        <v>673</v>
      </c>
      <c r="T69" s="162">
        <f t="shared" si="15"/>
        <v>2.0029440444041993</v>
      </c>
      <c r="U69" s="145">
        <f t="shared" ca="1" si="10"/>
        <v>579.27</v>
      </c>
      <c r="V69" s="150"/>
      <c r="Z69" s="155">
        <f>IF(B69&gt;$C$20,"",IF(COUNTIF(Feriados!A22:A37,EDATE($C$48,B68))=0,EDATE($C$48,B68),EDATE($C$48,B68)+VLOOKUP(EDATE($C$48,B68),Feriados!$A$2:$B$17,2,FALSE)))</f>
        <v>46564</v>
      </c>
    </row>
    <row r="70" spans="2:26" x14ac:dyDescent="0.3">
      <c r="B70" s="152">
        <f t="shared" si="11"/>
        <v>23</v>
      </c>
      <c r="C70" s="153">
        <f t="shared" si="0"/>
        <v>46594</v>
      </c>
      <c r="D70" s="154">
        <f t="shared" si="1"/>
        <v>1</v>
      </c>
      <c r="E70" s="155">
        <f t="shared" si="16"/>
        <v>46594</v>
      </c>
      <c r="F70" s="154">
        <f t="shared" si="17"/>
        <v>30</v>
      </c>
      <c r="G70" s="154">
        <f t="shared" si="12"/>
        <v>703</v>
      </c>
      <c r="H70" s="156">
        <f t="shared" ca="1" si="18"/>
        <v>28774.492372196029</v>
      </c>
      <c r="I70" s="156">
        <f t="shared" ca="1" si="2"/>
        <v>255.34607131625023</v>
      </c>
      <c r="J70" s="157">
        <f t="shared" ca="1" si="3"/>
        <v>904.89992346605607</v>
      </c>
      <c r="K70" s="158">
        <f t="shared" si="4"/>
        <v>0</v>
      </c>
      <c r="L70" s="159">
        <f t="shared" si="5"/>
        <v>0</v>
      </c>
      <c r="M70" s="157">
        <f t="shared" ca="1" si="13"/>
        <v>1160.2459947823063</v>
      </c>
      <c r="N70" s="160">
        <f t="shared" ca="1" si="6"/>
        <v>28519.14630087978</v>
      </c>
      <c r="O70" s="160">
        <f t="shared" si="7"/>
        <v>0.48404323098690916</v>
      </c>
      <c r="P70" s="160">
        <f t="shared" si="14"/>
        <v>0.48404323098690916</v>
      </c>
      <c r="R70" s="161">
        <f t="shared" ca="1" si="8"/>
        <v>1160.2459947823063</v>
      </c>
      <c r="S70" s="154">
        <f t="shared" si="9"/>
        <v>703</v>
      </c>
      <c r="T70" s="162">
        <f t="shared" si="15"/>
        <v>2.0659326708674883</v>
      </c>
      <c r="U70" s="145">
        <f t="shared" ca="1" si="10"/>
        <v>561.61</v>
      </c>
      <c r="V70" s="150"/>
      <c r="Z70" s="155">
        <f>IF(B70&gt;$C$20,"",IF(COUNTIF(Feriados!A23:A38,EDATE($C$48,B69))=0,EDATE($C$48,B69),EDATE($C$48,B69)+VLOOKUP(EDATE($C$48,B69),Feriados!$A$2:$B$17,2,FALSE)))</f>
        <v>46594</v>
      </c>
    </row>
    <row r="71" spans="2:26" x14ac:dyDescent="0.3">
      <c r="B71" s="152">
        <f t="shared" si="11"/>
        <v>24</v>
      </c>
      <c r="C71" s="153">
        <f t="shared" si="0"/>
        <v>46625</v>
      </c>
      <c r="D71" s="154">
        <f t="shared" si="1"/>
        <v>4</v>
      </c>
      <c r="E71" s="155">
        <f t="shared" si="16"/>
        <v>46625</v>
      </c>
      <c r="F71" s="154">
        <f t="shared" si="17"/>
        <v>31</v>
      </c>
      <c r="G71" s="154">
        <f t="shared" si="12"/>
        <v>734</v>
      </c>
      <c r="H71" s="156">
        <f t="shared" ca="1" si="18"/>
        <v>28519.14630087978</v>
      </c>
      <c r="I71" s="156">
        <f t="shared" ca="1" si="2"/>
        <v>232.99963068030058</v>
      </c>
      <c r="J71" s="157">
        <f t="shared" ca="1" si="3"/>
        <v>927.24636410200571</v>
      </c>
      <c r="K71" s="158">
        <f t="shared" si="4"/>
        <v>0</v>
      </c>
      <c r="L71" s="159">
        <f t="shared" si="5"/>
        <v>0</v>
      </c>
      <c r="M71" s="157">
        <f t="shared" ca="1" si="13"/>
        <v>1160.2459947823063</v>
      </c>
      <c r="N71" s="160">
        <f t="shared" ca="1" si="6"/>
        <v>28286.14667019948</v>
      </c>
      <c r="O71" s="160">
        <f t="shared" si="7"/>
        <v>0.46880104729713745</v>
      </c>
      <c r="P71" s="160">
        <f t="shared" si="14"/>
        <v>0.46880104729713745</v>
      </c>
      <c r="R71" s="161">
        <f t="shared" ca="1" si="8"/>
        <v>1160.2459947823063</v>
      </c>
      <c r="S71" s="154">
        <f t="shared" si="9"/>
        <v>734</v>
      </c>
      <c r="T71" s="162">
        <f t="shared" si="15"/>
        <v>2.1331026514213121</v>
      </c>
      <c r="U71" s="145">
        <f t="shared" ca="1" si="10"/>
        <v>543.91999999999996</v>
      </c>
      <c r="V71" s="150"/>
      <c r="Z71" s="155">
        <f>IF(B71&gt;$C$20,"",IF(COUNTIF(Feriados!A24:A39,EDATE($C$48,B70))=0,EDATE($C$48,B70),EDATE($C$48,B70)+VLOOKUP(EDATE($C$48,B70),Feriados!$A$2:$B$17,2,FALSE)))</f>
        <v>46625</v>
      </c>
    </row>
    <row r="72" spans="2:26" x14ac:dyDescent="0.3">
      <c r="B72" s="152">
        <f t="shared" si="11"/>
        <v>25</v>
      </c>
      <c r="C72" s="153">
        <f t="shared" si="0"/>
        <v>46657</v>
      </c>
      <c r="D72" s="154">
        <f t="shared" si="1"/>
        <v>1</v>
      </c>
      <c r="E72" s="155">
        <f t="shared" si="16"/>
        <v>46657</v>
      </c>
      <c r="F72" s="154">
        <f t="shared" si="17"/>
        <v>32</v>
      </c>
      <c r="G72" s="154">
        <f t="shared" si="12"/>
        <v>766</v>
      </c>
      <c r="H72" s="156">
        <f t="shared" ca="1" si="18"/>
        <v>28286.14667019948</v>
      </c>
      <c r="I72" s="156">
        <f t="shared" ca="1" si="2"/>
        <v>210.41567641452332</v>
      </c>
      <c r="J72" s="157">
        <f t="shared" ca="1" si="3"/>
        <v>949.83031836778298</v>
      </c>
      <c r="K72" s="158">
        <f t="shared" si="4"/>
        <v>0</v>
      </c>
      <c r="L72" s="159">
        <f t="shared" si="5"/>
        <v>0</v>
      </c>
      <c r="M72" s="157">
        <f t="shared" ca="1" si="13"/>
        <v>1160.2459947823063</v>
      </c>
      <c r="N72" s="160">
        <f t="shared" ca="1" si="6"/>
        <v>28075.730993784957</v>
      </c>
      <c r="O72" s="160">
        <f t="shared" si="7"/>
        <v>0.45357044808783048</v>
      </c>
      <c r="P72" s="160">
        <f t="shared" si="14"/>
        <v>0.45357044808783048</v>
      </c>
      <c r="R72" s="161">
        <f t="shared" ca="1" si="8"/>
        <v>1160.2459947823063</v>
      </c>
      <c r="S72" s="154">
        <f t="shared" si="9"/>
        <v>766</v>
      </c>
      <c r="T72" s="162">
        <f t="shared" si="15"/>
        <v>2.2047309170962008</v>
      </c>
      <c r="U72" s="145">
        <f t="shared" ca="1" si="10"/>
        <v>526.25</v>
      </c>
      <c r="V72" s="150"/>
      <c r="Z72" s="155">
        <f>IF(B72&gt;$C$20,"",IF(COUNTIF(Feriados!A25:A40,EDATE($C$48,B71))=0,EDATE($C$48,B71),EDATE($C$48,B71)+VLOOKUP(EDATE($C$48,B71),Feriados!$A$2:$B$17,2,FALSE)))</f>
        <v>46656</v>
      </c>
    </row>
    <row r="73" spans="2:26" x14ac:dyDescent="0.3">
      <c r="B73" s="152">
        <f t="shared" si="11"/>
        <v>26</v>
      </c>
      <c r="C73" s="153">
        <f t="shared" si="0"/>
        <v>46686</v>
      </c>
      <c r="D73" s="154">
        <f t="shared" si="1"/>
        <v>2</v>
      </c>
      <c r="E73" s="155">
        <f t="shared" si="16"/>
        <v>46686</v>
      </c>
      <c r="F73" s="154">
        <f t="shared" si="17"/>
        <v>29</v>
      </c>
      <c r="G73" s="154">
        <f t="shared" si="12"/>
        <v>795</v>
      </c>
      <c r="H73" s="156">
        <f t="shared" ca="1" si="18"/>
        <v>28075.730993784957</v>
      </c>
      <c r="I73" s="156">
        <f t="shared" ca="1" si="2"/>
        <v>307.19412939755841</v>
      </c>
      <c r="J73" s="157">
        <f t="shared" ca="1" si="3"/>
        <v>853.05186538474788</v>
      </c>
      <c r="K73" s="158">
        <f t="shared" si="4"/>
        <v>0</v>
      </c>
      <c r="L73" s="159">
        <f t="shared" si="5"/>
        <v>0</v>
      </c>
      <c r="M73" s="157">
        <f t="shared" ca="1" si="13"/>
        <v>1160.2459947823063</v>
      </c>
      <c r="N73" s="160">
        <f t="shared" ca="1" si="6"/>
        <v>27768.536864387399</v>
      </c>
      <c r="O73" s="160">
        <f t="shared" si="7"/>
        <v>0.44019556402484344</v>
      </c>
      <c r="P73" s="160">
        <f t="shared" si="14"/>
        <v>0.44019556402484344</v>
      </c>
      <c r="R73" s="161">
        <f t="shared" ca="1" si="8"/>
        <v>1160.2459947823063</v>
      </c>
      <c r="S73" s="154">
        <f t="shared" si="9"/>
        <v>795</v>
      </c>
      <c r="T73" s="162">
        <f t="shared" si="15"/>
        <v>2.2717194392987268</v>
      </c>
      <c r="U73" s="145">
        <f t="shared" ca="1" si="10"/>
        <v>510.73</v>
      </c>
      <c r="V73" s="150"/>
      <c r="Z73" s="155">
        <f>IF(B73&gt;$C$20,"",IF(COUNTIF(Feriados!A26:A41,EDATE($C$48,B72))=0,EDATE($C$48,B72),EDATE($C$48,B72)+VLOOKUP(EDATE($C$48,B72),Feriados!$A$2:$B$17,2,FALSE)))</f>
        <v>46686</v>
      </c>
    </row>
    <row r="74" spans="2:26" x14ac:dyDescent="0.3">
      <c r="B74" s="152">
        <f t="shared" si="11"/>
        <v>27</v>
      </c>
      <c r="C74" s="153">
        <f t="shared" si="0"/>
        <v>46717</v>
      </c>
      <c r="D74" s="154">
        <f t="shared" si="1"/>
        <v>5</v>
      </c>
      <c r="E74" s="155">
        <f t="shared" si="16"/>
        <v>46717</v>
      </c>
      <c r="F74" s="154">
        <f t="shared" si="17"/>
        <v>31</v>
      </c>
      <c r="G74" s="154">
        <f t="shared" si="12"/>
        <v>826</v>
      </c>
      <c r="H74" s="156">
        <f t="shared" ca="1" si="18"/>
        <v>27768.536864387399</v>
      </c>
      <c r="I74" s="156">
        <f t="shared" ca="1" si="2"/>
        <v>257.40428373356337</v>
      </c>
      <c r="J74" s="157">
        <f t="shared" ca="1" si="3"/>
        <v>902.84171104874292</v>
      </c>
      <c r="K74" s="158">
        <f t="shared" si="4"/>
        <v>0</v>
      </c>
      <c r="L74" s="159">
        <f t="shared" si="5"/>
        <v>0</v>
      </c>
      <c r="M74" s="157">
        <f t="shared" ca="1" si="13"/>
        <v>1160.2459947823063</v>
      </c>
      <c r="N74" s="160">
        <f t="shared" ca="1" si="6"/>
        <v>27511.132580653837</v>
      </c>
      <c r="O74" s="160">
        <f t="shared" si="7"/>
        <v>0.42633411278089295</v>
      </c>
      <c r="P74" s="160">
        <f t="shared" si="14"/>
        <v>0.42633411278089295</v>
      </c>
      <c r="R74" s="161">
        <f t="shared" ca="1" si="8"/>
        <v>1160.2459947823063</v>
      </c>
      <c r="S74" s="154">
        <f t="shared" si="9"/>
        <v>826</v>
      </c>
      <c r="T74" s="162">
        <f t="shared" si="15"/>
        <v>2.3455801960954936</v>
      </c>
      <c r="U74" s="145">
        <f t="shared" ca="1" si="10"/>
        <v>494.65</v>
      </c>
      <c r="V74" s="150"/>
      <c r="Z74" s="155">
        <f>IF(B74&gt;$C$20,"",IF(COUNTIF(Feriados!A27:A42,EDATE($C$48,B73))=0,EDATE($C$48,B73),EDATE($C$48,B73)+VLOOKUP(EDATE($C$48,B73),Feriados!$A$2:$B$17,2,FALSE)))</f>
        <v>46717</v>
      </c>
    </row>
    <row r="75" spans="2:26" x14ac:dyDescent="0.3">
      <c r="B75" s="152">
        <f t="shared" si="11"/>
        <v>28</v>
      </c>
      <c r="C75" s="153">
        <f t="shared" si="0"/>
        <v>46748</v>
      </c>
      <c r="D75" s="154">
        <f t="shared" si="1"/>
        <v>1</v>
      </c>
      <c r="E75" s="155">
        <f t="shared" si="16"/>
        <v>46748</v>
      </c>
      <c r="F75" s="154">
        <f t="shared" si="17"/>
        <v>31</v>
      </c>
      <c r="G75" s="154">
        <f t="shared" si="12"/>
        <v>857</v>
      </c>
      <c r="H75" s="156">
        <f t="shared" ca="1" si="18"/>
        <v>27511.132580653837</v>
      </c>
      <c r="I75" s="156">
        <f t="shared" ca="1" si="2"/>
        <v>265.77329954063418</v>
      </c>
      <c r="J75" s="157">
        <f t="shared" ca="1" si="3"/>
        <v>894.47269524167211</v>
      </c>
      <c r="K75" s="158">
        <f t="shared" si="4"/>
        <v>0</v>
      </c>
      <c r="L75" s="159">
        <f t="shared" si="5"/>
        <v>0</v>
      </c>
      <c r="M75" s="157">
        <f t="shared" ca="1" si="13"/>
        <v>1160.2459947823063</v>
      </c>
      <c r="N75" s="160">
        <f t="shared" ca="1" si="6"/>
        <v>27245.359281113204</v>
      </c>
      <c r="O75" s="160">
        <f t="shared" si="7"/>
        <v>0.41290914896728276</v>
      </c>
      <c r="P75" s="160">
        <f t="shared" si="14"/>
        <v>0.41290914896728276</v>
      </c>
      <c r="R75" s="161">
        <f t="shared" ca="1" si="8"/>
        <v>1160.2459947823063</v>
      </c>
      <c r="S75" s="154">
        <f t="shared" si="9"/>
        <v>857</v>
      </c>
      <c r="T75" s="162">
        <f t="shared" si="15"/>
        <v>2.4218423988191726</v>
      </c>
      <c r="U75" s="145">
        <f t="shared" ca="1" si="10"/>
        <v>479.08</v>
      </c>
      <c r="V75" s="150"/>
      <c r="Z75" s="155">
        <f>IF(B75&gt;$C$20,"",IF(COUNTIF(Feriados!A28:A43,EDATE($C$48,B74))=0,EDATE($C$48,B74),EDATE($C$48,B74)+VLOOKUP(EDATE($C$48,B74),Feriados!$A$2:$B$17,2,FALSE)))</f>
        <v>46747</v>
      </c>
    </row>
    <row r="76" spans="2:26" x14ac:dyDescent="0.3">
      <c r="B76" s="152">
        <f t="shared" si="11"/>
        <v>29</v>
      </c>
      <c r="C76" s="153">
        <f t="shared" si="0"/>
        <v>46778</v>
      </c>
      <c r="D76" s="154">
        <f t="shared" si="1"/>
        <v>3</v>
      </c>
      <c r="E76" s="155">
        <f t="shared" si="16"/>
        <v>46778</v>
      </c>
      <c r="F76" s="154">
        <f t="shared" si="17"/>
        <v>30</v>
      </c>
      <c r="G76" s="154">
        <f t="shared" si="12"/>
        <v>887</v>
      </c>
      <c r="H76" s="156">
        <f t="shared" ca="1" si="18"/>
        <v>27245.359281113204</v>
      </c>
      <c r="I76" s="156">
        <f t="shared" ca="1" si="2"/>
        <v>303.43423214953407</v>
      </c>
      <c r="J76" s="157">
        <f t="shared" ca="1" si="3"/>
        <v>856.81176263277223</v>
      </c>
      <c r="K76" s="158">
        <f t="shared" si="4"/>
        <v>0</v>
      </c>
      <c r="L76" s="159">
        <f t="shared" si="5"/>
        <v>0</v>
      </c>
      <c r="M76" s="157">
        <f t="shared" ca="1" si="13"/>
        <v>1160.2459947823063</v>
      </c>
      <c r="N76" s="160">
        <f t="shared" ca="1" si="6"/>
        <v>26941.925048963669</v>
      </c>
      <c r="O76" s="160">
        <f t="shared" si="7"/>
        <v>0.40031989331215462</v>
      </c>
      <c r="P76" s="160">
        <f t="shared" si="14"/>
        <v>0.40031989331215462</v>
      </c>
      <c r="R76" s="161">
        <f t="shared" ca="1" si="8"/>
        <v>1160.2459947823063</v>
      </c>
      <c r="S76" s="154">
        <f t="shared" si="9"/>
        <v>887</v>
      </c>
      <c r="T76" s="162">
        <f t="shared" si="15"/>
        <v>2.498004549548428</v>
      </c>
      <c r="U76" s="145">
        <f t="shared" ca="1" si="10"/>
        <v>464.47</v>
      </c>
      <c r="V76" s="150"/>
      <c r="Z76" s="155">
        <f>IF(B76&gt;$C$20,"",IF(COUNTIF(Feriados!A29:A44,EDATE($C$48,B75))=0,EDATE($C$48,B75),EDATE($C$48,B75)+VLOOKUP(EDATE($C$48,B75),Feriados!$A$2:$B$17,2,FALSE)))</f>
        <v>46778</v>
      </c>
    </row>
    <row r="77" spans="2:26" x14ac:dyDescent="0.3">
      <c r="B77" s="152">
        <f t="shared" si="11"/>
        <v>30</v>
      </c>
      <c r="C77" s="153">
        <f t="shared" si="0"/>
        <v>46809</v>
      </c>
      <c r="D77" s="154">
        <f t="shared" si="1"/>
        <v>6</v>
      </c>
      <c r="E77" s="155">
        <f t="shared" si="16"/>
        <v>46809</v>
      </c>
      <c r="F77" s="154">
        <f t="shared" si="17"/>
        <v>31</v>
      </c>
      <c r="G77" s="154">
        <f t="shared" si="12"/>
        <v>918</v>
      </c>
      <c r="H77" s="156">
        <f t="shared" ca="1" si="18"/>
        <v>26941.925048963669</v>
      </c>
      <c r="I77" s="156">
        <f t="shared" ca="1" si="2"/>
        <v>284.28001108840954</v>
      </c>
      <c r="J77" s="157">
        <f t="shared" ca="1" si="3"/>
        <v>875.96598369389676</v>
      </c>
      <c r="K77" s="158">
        <f t="shared" si="4"/>
        <v>0</v>
      </c>
      <c r="L77" s="159">
        <f t="shared" si="5"/>
        <v>0</v>
      </c>
      <c r="M77" s="157">
        <f t="shared" ca="1" si="13"/>
        <v>1160.2459947823063</v>
      </c>
      <c r="N77" s="160">
        <f t="shared" ca="1" si="6"/>
        <v>26657.64503787526</v>
      </c>
      <c r="O77" s="160">
        <f t="shared" si="7"/>
        <v>0.38771409912287758</v>
      </c>
      <c r="P77" s="160">
        <f t="shared" si="14"/>
        <v>0.38771409912287758</v>
      </c>
      <c r="R77" s="161">
        <f t="shared" ca="1" si="8"/>
        <v>1160.2459947823063</v>
      </c>
      <c r="S77" s="154">
        <f t="shared" si="9"/>
        <v>918</v>
      </c>
      <c r="T77" s="162">
        <f t="shared" si="15"/>
        <v>2.5792225482676576</v>
      </c>
      <c r="U77" s="145">
        <f t="shared" ca="1" si="10"/>
        <v>449.84</v>
      </c>
      <c r="V77" s="150"/>
      <c r="Z77" s="155">
        <f>IF(B77&gt;$C$20,"",IF(COUNTIF(Feriados!A30:A45,EDATE($C$48,B76))=0,EDATE($C$48,B76),EDATE($C$48,B76)+VLOOKUP(EDATE($C$48,B76),Feriados!$A$2:$B$17,2,FALSE)))</f>
        <v>46809</v>
      </c>
    </row>
    <row r="78" spans="2:26" x14ac:dyDescent="0.3">
      <c r="B78" s="152">
        <f t="shared" si="11"/>
        <v>31</v>
      </c>
      <c r="C78" s="153">
        <f t="shared" si="0"/>
        <v>46839</v>
      </c>
      <c r="D78" s="154">
        <f t="shared" si="1"/>
        <v>1</v>
      </c>
      <c r="E78" s="155">
        <f t="shared" si="16"/>
        <v>46839</v>
      </c>
      <c r="F78" s="154">
        <f t="shared" si="17"/>
        <v>30</v>
      </c>
      <c r="G78" s="154">
        <f t="shared" si="12"/>
        <v>948</v>
      </c>
      <c r="H78" s="156">
        <f t="shared" ca="1" si="18"/>
        <v>26657.64503787526</v>
      </c>
      <c r="I78" s="156">
        <f t="shared" ca="1" si="2"/>
        <v>321.9166632849591</v>
      </c>
      <c r="J78" s="157">
        <f t="shared" ca="1" si="3"/>
        <v>838.3293314973472</v>
      </c>
      <c r="K78" s="158">
        <f t="shared" si="4"/>
        <v>0</v>
      </c>
      <c r="L78" s="159">
        <f t="shared" si="5"/>
        <v>0</v>
      </c>
      <c r="M78" s="157">
        <f t="shared" ca="1" si="13"/>
        <v>1160.2459947823063</v>
      </c>
      <c r="N78" s="160">
        <f t="shared" ca="1" si="6"/>
        <v>26335.728374590301</v>
      </c>
      <c r="O78" s="160">
        <f t="shared" si="7"/>
        <v>0.37589301952906518</v>
      </c>
      <c r="P78" s="160">
        <f t="shared" si="14"/>
        <v>0.37589301952906518</v>
      </c>
      <c r="R78" s="161">
        <f t="shared" ca="1" si="8"/>
        <v>1160.2459947823063</v>
      </c>
      <c r="S78" s="154">
        <f t="shared" si="9"/>
        <v>948</v>
      </c>
      <c r="T78" s="162">
        <f t="shared" si="15"/>
        <v>2.6603339932490626</v>
      </c>
      <c r="U78" s="145">
        <f t="shared" ca="1" si="10"/>
        <v>436.13</v>
      </c>
      <c r="V78" s="150"/>
      <c r="Z78" s="155">
        <f>IF(B78&gt;$C$20,"",IF(COUNTIF(Feriados!A31:A46,EDATE($C$48,B77))=0,EDATE($C$48,B77),EDATE($C$48,B77)+VLOOKUP(EDATE($C$48,B77),Feriados!$A$2:$B$17,2,FALSE)))</f>
        <v>46838</v>
      </c>
    </row>
    <row r="79" spans="2:26" x14ac:dyDescent="0.3">
      <c r="B79" s="152">
        <f t="shared" si="11"/>
        <v>32</v>
      </c>
      <c r="C79" s="153">
        <f t="shared" si="0"/>
        <v>46869</v>
      </c>
      <c r="D79" s="154">
        <f t="shared" si="1"/>
        <v>3</v>
      </c>
      <c r="E79" s="155">
        <f t="shared" si="16"/>
        <v>46869</v>
      </c>
      <c r="F79" s="154">
        <f t="shared" si="17"/>
        <v>30</v>
      </c>
      <c r="G79" s="154">
        <f t="shared" si="12"/>
        <v>978</v>
      </c>
      <c r="H79" s="156">
        <f t="shared" ca="1" si="18"/>
        <v>26335.728374590301</v>
      </c>
      <c r="I79" s="156">
        <f t="shared" ca="1" si="2"/>
        <v>332.0402950140973</v>
      </c>
      <c r="J79" s="157">
        <f t="shared" ca="1" si="3"/>
        <v>828.205699768209</v>
      </c>
      <c r="K79" s="158">
        <f t="shared" si="4"/>
        <v>0</v>
      </c>
      <c r="L79" s="159">
        <f t="shared" si="5"/>
        <v>0</v>
      </c>
      <c r="M79" s="157">
        <f t="shared" ca="1" si="13"/>
        <v>1160.2459947823063</v>
      </c>
      <c r="N79" s="160">
        <f t="shared" ca="1" si="6"/>
        <v>26003.688079576204</v>
      </c>
      <c r="O79" s="160">
        <f t="shared" si="7"/>
        <v>0.36443235479527303</v>
      </c>
      <c r="P79" s="160">
        <f t="shared" si="14"/>
        <v>0.36443235479527303</v>
      </c>
      <c r="R79" s="161">
        <f t="shared" ca="1" si="8"/>
        <v>1160.2459947823063</v>
      </c>
      <c r="S79" s="154">
        <f t="shared" si="9"/>
        <v>978</v>
      </c>
      <c r="T79" s="162">
        <f t="shared" si="15"/>
        <v>2.7439962326593514</v>
      </c>
      <c r="U79" s="145">
        <f t="shared" ca="1" si="10"/>
        <v>422.83</v>
      </c>
      <c r="V79" s="150"/>
      <c r="Z79" s="155">
        <f>IF(B79&gt;$C$20,"",IF(COUNTIF(Feriados!A32:A47,EDATE($C$48,B78))=0,EDATE($C$48,B78),EDATE($C$48,B78)+VLOOKUP(EDATE($C$48,B78),Feriados!$A$2:$B$17,2,FALSE)))</f>
        <v>46869</v>
      </c>
    </row>
    <row r="80" spans="2:26" x14ac:dyDescent="0.3">
      <c r="B80" s="152">
        <f t="shared" si="11"/>
        <v>33</v>
      </c>
      <c r="C80" s="153">
        <f t="shared" si="0"/>
        <v>46899</v>
      </c>
      <c r="D80" s="154">
        <f t="shared" si="1"/>
        <v>5</v>
      </c>
      <c r="E80" s="155">
        <f t="shared" si="16"/>
        <v>46899</v>
      </c>
      <c r="F80" s="154">
        <f t="shared" si="17"/>
        <v>30</v>
      </c>
      <c r="G80" s="154">
        <f t="shared" si="12"/>
        <v>1008</v>
      </c>
      <c r="H80" s="156">
        <f t="shared" ca="1" si="18"/>
        <v>26003.688079576204</v>
      </c>
      <c r="I80" s="156">
        <f t="shared" ca="1" si="2"/>
        <v>342.48229460385312</v>
      </c>
      <c r="J80" s="157">
        <f t="shared" ca="1" si="3"/>
        <v>817.76370017845318</v>
      </c>
      <c r="K80" s="158">
        <f t="shared" si="4"/>
        <v>0</v>
      </c>
      <c r="L80" s="159">
        <f t="shared" si="5"/>
        <v>0</v>
      </c>
      <c r="M80" s="157">
        <f t="shared" ca="1" si="13"/>
        <v>1160.2459947823063</v>
      </c>
      <c r="N80" s="160">
        <f t="shared" ca="1" si="6"/>
        <v>25661.20578497235</v>
      </c>
      <c r="O80" s="160">
        <f t="shared" si="7"/>
        <v>0.35332111617294459</v>
      </c>
      <c r="P80" s="160">
        <f t="shared" si="14"/>
        <v>0.35332111617294459</v>
      </c>
      <c r="R80" s="161">
        <f t="shared" ca="1" si="8"/>
        <v>1160.2459947823063</v>
      </c>
      <c r="S80" s="154">
        <f t="shared" si="9"/>
        <v>1008</v>
      </c>
      <c r="T80" s="162">
        <f t="shared" si="15"/>
        <v>2.8302894839354074</v>
      </c>
      <c r="U80" s="145">
        <f t="shared" ca="1" si="10"/>
        <v>409.94</v>
      </c>
      <c r="V80" s="150"/>
      <c r="Z80" s="155">
        <f>IF(B80&gt;$C$20,"",IF(COUNTIF(Feriados!A33:A48,EDATE($C$48,B79))=0,EDATE($C$48,B79),EDATE($C$48,B79)+VLOOKUP(EDATE($C$48,B79),Feriados!$A$2:$B$17,2,FALSE)))</f>
        <v>46899</v>
      </c>
    </row>
    <row r="81" spans="2:26" x14ac:dyDescent="0.3">
      <c r="B81" s="152">
        <f t="shared" si="11"/>
        <v>34</v>
      </c>
      <c r="C81" s="153">
        <f t="shared" si="0"/>
        <v>46930</v>
      </c>
      <c r="D81" s="154">
        <f t="shared" si="1"/>
        <v>1</v>
      </c>
      <c r="E81" s="155">
        <f t="shared" si="16"/>
        <v>46930</v>
      </c>
      <c r="F81" s="154">
        <f t="shared" si="17"/>
        <v>31</v>
      </c>
      <c r="G81" s="154">
        <f t="shared" si="12"/>
        <v>1039</v>
      </c>
      <c r="H81" s="156">
        <f t="shared" ca="1" si="18"/>
        <v>25661.20578497235</v>
      </c>
      <c r="I81" s="156">
        <f t="shared" ca="1" si="2"/>
        <v>325.92018742618131</v>
      </c>
      <c r="J81" s="157">
        <f t="shared" ca="1" si="3"/>
        <v>834.32580735612498</v>
      </c>
      <c r="K81" s="158">
        <f t="shared" si="4"/>
        <v>0</v>
      </c>
      <c r="L81" s="159">
        <f t="shared" si="5"/>
        <v>0</v>
      </c>
      <c r="M81" s="157">
        <f t="shared" ca="1" si="13"/>
        <v>1160.2459947823063</v>
      </c>
      <c r="N81" s="160">
        <f t="shared" ca="1" si="6"/>
        <v>25335.285597546168</v>
      </c>
      <c r="O81" s="160">
        <f t="shared" si="7"/>
        <v>0.34219528069084726</v>
      </c>
      <c r="P81" s="160">
        <f t="shared" si="14"/>
        <v>0.34219528069084726</v>
      </c>
      <c r="R81" s="161">
        <f t="shared" ca="1" si="8"/>
        <v>1160.2459947823063</v>
      </c>
      <c r="S81" s="154">
        <f t="shared" si="9"/>
        <v>1039</v>
      </c>
      <c r="T81" s="162">
        <f t="shared" si="15"/>
        <v>2.9223111128483215</v>
      </c>
      <c r="U81" s="145">
        <f t="shared" ca="1" si="10"/>
        <v>397.03</v>
      </c>
      <c r="V81" s="150"/>
      <c r="Z81" s="155">
        <f>IF(B81&gt;$C$20,"",IF(COUNTIF(Feriados!A34:A49,EDATE($C$48,B80))=0,EDATE($C$48,B80),EDATE($C$48,B80)+VLOOKUP(EDATE($C$48,B80),Feriados!$A$2:$B$17,2,FALSE)))</f>
        <v>46930</v>
      </c>
    </row>
    <row r="82" spans="2:26" x14ac:dyDescent="0.3">
      <c r="B82" s="152">
        <f t="shared" si="11"/>
        <v>35</v>
      </c>
      <c r="C82" s="153">
        <f t="shared" si="0"/>
        <v>46960</v>
      </c>
      <c r="D82" s="154">
        <f t="shared" si="1"/>
        <v>3</v>
      </c>
      <c r="E82" s="155">
        <f t="shared" si="16"/>
        <v>46960</v>
      </c>
      <c r="F82" s="154">
        <f t="shared" si="17"/>
        <v>30</v>
      </c>
      <c r="G82" s="154">
        <f t="shared" si="12"/>
        <v>1069</v>
      </c>
      <c r="H82" s="156">
        <f t="shared" ca="1" si="18"/>
        <v>25335.285597546168</v>
      </c>
      <c r="I82" s="156">
        <f t="shared" ca="1" si="2"/>
        <v>363.50220859607839</v>
      </c>
      <c r="J82" s="157">
        <f t="shared" ca="1" si="3"/>
        <v>796.74378618622791</v>
      </c>
      <c r="K82" s="158">
        <f t="shared" si="4"/>
        <v>0</v>
      </c>
      <c r="L82" s="159">
        <f t="shared" si="5"/>
        <v>0</v>
      </c>
      <c r="M82" s="157">
        <f t="shared" ca="1" si="13"/>
        <v>1160.2459947823063</v>
      </c>
      <c r="N82" s="160">
        <f t="shared" ca="1" si="6"/>
        <v>24971.783388950091</v>
      </c>
      <c r="O82" s="160">
        <f t="shared" si="7"/>
        <v>0.33176203191597742</v>
      </c>
      <c r="P82" s="160">
        <f t="shared" si="14"/>
        <v>0.33176203191597742</v>
      </c>
      <c r="R82" s="161">
        <f t="shared" ca="1" si="8"/>
        <v>1160.2459947823063</v>
      </c>
      <c r="S82" s="154">
        <f t="shared" si="9"/>
        <v>1069</v>
      </c>
      <c r="T82" s="162">
        <f t="shared" si="15"/>
        <v>3.0142120142294564</v>
      </c>
      <c r="U82" s="145">
        <f t="shared" ca="1" si="10"/>
        <v>384.93</v>
      </c>
      <c r="V82" s="150"/>
      <c r="Z82" s="155">
        <f>IF(B82&gt;$C$20,"",IF(COUNTIF(Feriados!A35:A50,EDATE($C$48,B81))=0,EDATE($C$48,B81),EDATE($C$48,B81)+VLOOKUP(EDATE($C$48,B81),Feriados!$A$2:$B$17,2,FALSE)))</f>
        <v>46960</v>
      </c>
    </row>
    <row r="83" spans="2:26" x14ac:dyDescent="0.3">
      <c r="B83" s="152">
        <f t="shared" si="11"/>
        <v>36</v>
      </c>
      <c r="C83" s="153">
        <f t="shared" si="0"/>
        <v>46991</v>
      </c>
      <c r="D83" s="154">
        <f t="shared" si="1"/>
        <v>6</v>
      </c>
      <c r="E83" s="155">
        <f t="shared" si="16"/>
        <v>46991</v>
      </c>
      <c r="F83" s="154">
        <f t="shared" si="17"/>
        <v>31</v>
      </c>
      <c r="G83" s="154">
        <f t="shared" si="12"/>
        <v>1100</v>
      </c>
      <c r="H83" s="156">
        <f t="shared" ca="1" si="18"/>
        <v>24971.783388950091</v>
      </c>
      <c r="I83" s="156">
        <f t="shared" ca="1" si="2"/>
        <v>348.33545902294759</v>
      </c>
      <c r="J83" s="157">
        <f t="shared" ca="1" si="3"/>
        <v>811.91053575935871</v>
      </c>
      <c r="K83" s="158">
        <f t="shared" si="4"/>
        <v>0</v>
      </c>
      <c r="L83" s="159">
        <f t="shared" si="5"/>
        <v>0</v>
      </c>
      <c r="M83" s="157">
        <f t="shared" ca="1" si="13"/>
        <v>1160.2459947823063</v>
      </c>
      <c r="N83" s="160">
        <f t="shared" ca="1" si="6"/>
        <v>24623.447929927144</v>
      </c>
      <c r="O83" s="160">
        <f t="shared" si="7"/>
        <v>0.32131507695816303</v>
      </c>
      <c r="P83" s="160">
        <f t="shared" si="14"/>
        <v>0.32131507695816303</v>
      </c>
      <c r="R83" s="161">
        <f t="shared" ca="1" si="8"/>
        <v>1160.2459947823063</v>
      </c>
      <c r="S83" s="154">
        <f t="shared" si="9"/>
        <v>1100</v>
      </c>
      <c r="T83" s="162">
        <f t="shared" si="15"/>
        <v>3.1122135441127501</v>
      </c>
      <c r="U83" s="145">
        <f t="shared" ca="1" si="10"/>
        <v>372.8</v>
      </c>
      <c r="V83" s="150"/>
      <c r="Z83" s="155">
        <f>IF(B83&gt;$C$20,"",IF(COUNTIF(Feriados!A36:A51,EDATE($C$48,B82))=0,EDATE($C$48,B82),EDATE($C$48,B82)+VLOOKUP(EDATE($C$48,B82),Feriados!$A$2:$B$17,2,FALSE)))</f>
        <v>46991</v>
      </c>
    </row>
    <row r="84" spans="2:26" x14ac:dyDescent="0.3">
      <c r="B84" s="152">
        <f t="shared" si="11"/>
        <v>37</v>
      </c>
      <c r="C84" s="153">
        <f t="shared" si="0"/>
        <v>47022</v>
      </c>
      <c r="D84" s="154">
        <f t="shared" si="1"/>
        <v>2</v>
      </c>
      <c r="E84" s="155">
        <f t="shared" si="16"/>
        <v>47022</v>
      </c>
      <c r="F84" s="154">
        <f t="shared" si="17"/>
        <v>31</v>
      </c>
      <c r="G84" s="154">
        <f t="shared" si="12"/>
        <v>1131</v>
      </c>
      <c r="H84" s="156">
        <f t="shared" ca="1" si="18"/>
        <v>24623.447929927144</v>
      </c>
      <c r="I84" s="156">
        <f t="shared" ca="1" si="2"/>
        <v>359.66093084665602</v>
      </c>
      <c r="J84" s="157">
        <f t="shared" ca="1" si="3"/>
        <v>800.58506393565028</v>
      </c>
      <c r="K84" s="158">
        <f t="shared" si="4"/>
        <v>0</v>
      </c>
      <c r="L84" s="159">
        <f t="shared" si="5"/>
        <v>0</v>
      </c>
      <c r="M84" s="157">
        <f t="shared" ca="1" si="13"/>
        <v>1160.2459947823063</v>
      </c>
      <c r="N84" s="160">
        <f t="shared" ca="1" si="6"/>
        <v>24263.786999080487</v>
      </c>
      <c r="O84" s="160">
        <f t="shared" si="7"/>
        <v>0.31119708932448842</v>
      </c>
      <c r="P84" s="160">
        <f t="shared" si="14"/>
        <v>0.31119708932448842</v>
      </c>
      <c r="R84" s="161">
        <f t="shared" ca="1" si="8"/>
        <v>1160.2459947823063</v>
      </c>
      <c r="S84" s="154">
        <f t="shared" si="9"/>
        <v>1131</v>
      </c>
      <c r="T84" s="162">
        <f t="shared" si="15"/>
        <v>3.2134014125197208</v>
      </c>
      <c r="U84" s="145">
        <f t="shared" ca="1" si="10"/>
        <v>361.06</v>
      </c>
      <c r="V84" s="150"/>
      <c r="Z84" s="155">
        <f>IF(B84&gt;$C$20,"",IF(COUNTIF(Feriados!A37:A52,EDATE($C$48,B83))=0,EDATE($C$48,B83),EDATE($C$48,B83)+VLOOKUP(EDATE($C$48,B83),Feriados!$A$2:$B$17,2,FALSE)))</f>
        <v>47022</v>
      </c>
    </row>
    <row r="85" spans="2:26" x14ac:dyDescent="0.3">
      <c r="B85" s="152">
        <f t="shared" si="11"/>
        <v>38</v>
      </c>
      <c r="C85" s="153">
        <f t="shared" si="0"/>
        <v>47052</v>
      </c>
      <c r="D85" s="154">
        <f t="shared" si="1"/>
        <v>4</v>
      </c>
      <c r="E85" s="155">
        <f t="shared" si="16"/>
        <v>47052</v>
      </c>
      <c r="F85" s="154">
        <f t="shared" si="17"/>
        <v>30</v>
      </c>
      <c r="G85" s="154">
        <f t="shared" si="12"/>
        <v>1161</v>
      </c>
      <c r="H85" s="156">
        <f t="shared" ca="1" si="18"/>
        <v>24263.786999080487</v>
      </c>
      <c r="I85" s="156">
        <f t="shared" ca="1" si="2"/>
        <v>397.19868487805365</v>
      </c>
      <c r="J85" s="157">
        <f t="shared" ca="1" si="3"/>
        <v>763.04730990425264</v>
      </c>
      <c r="K85" s="158">
        <f t="shared" si="4"/>
        <v>0</v>
      </c>
      <c r="L85" s="159">
        <f t="shared" si="5"/>
        <v>0</v>
      </c>
      <c r="M85" s="157">
        <f t="shared" ca="1" si="13"/>
        <v>1160.2459947823063</v>
      </c>
      <c r="N85" s="160">
        <f t="shared" ca="1" si="6"/>
        <v>23866.588314202432</v>
      </c>
      <c r="O85" s="160">
        <f t="shared" si="7"/>
        <v>0.30170894955709338</v>
      </c>
      <c r="P85" s="160">
        <f t="shared" si="14"/>
        <v>0.30170894955709338</v>
      </c>
      <c r="R85" s="161">
        <f t="shared" ca="1" si="8"/>
        <v>1160.2459947823063</v>
      </c>
      <c r="S85" s="154">
        <f t="shared" si="9"/>
        <v>1161</v>
      </c>
      <c r="T85" s="162">
        <f t="shared" si="15"/>
        <v>3.3144565277713398</v>
      </c>
      <c r="U85" s="145">
        <f t="shared" ca="1" si="10"/>
        <v>350.06</v>
      </c>
      <c r="V85" s="150"/>
      <c r="Z85" s="155">
        <f>IF(B85&gt;$C$20,"",IF(COUNTIF(Feriados!A38:A53,EDATE($C$48,B84))=0,EDATE($C$48,B84),EDATE($C$48,B84)+VLOOKUP(EDATE($C$48,B84),Feriados!$A$2:$B$17,2,FALSE)))</f>
        <v>47052</v>
      </c>
    </row>
    <row r="86" spans="2:26" x14ac:dyDescent="0.3">
      <c r="B86" s="152">
        <f t="shared" si="11"/>
        <v>39</v>
      </c>
      <c r="C86" s="153">
        <f t="shared" si="0"/>
        <v>47084</v>
      </c>
      <c r="D86" s="154">
        <f t="shared" si="1"/>
        <v>1</v>
      </c>
      <c r="E86" s="155">
        <f t="shared" si="16"/>
        <v>47084</v>
      </c>
      <c r="F86" s="154">
        <f t="shared" si="17"/>
        <v>32</v>
      </c>
      <c r="G86" s="154">
        <f t="shared" si="12"/>
        <v>1193</v>
      </c>
      <c r="H86" s="156">
        <f t="shared" ca="1" si="18"/>
        <v>23866.588314202432</v>
      </c>
      <c r="I86" s="156">
        <f t="shared" ca="1" si="2"/>
        <v>358.82155754304915</v>
      </c>
      <c r="J86" s="157">
        <f t="shared" ca="1" si="3"/>
        <v>801.42443723925714</v>
      </c>
      <c r="K86" s="158">
        <f t="shared" si="4"/>
        <v>0</v>
      </c>
      <c r="L86" s="159">
        <f t="shared" si="5"/>
        <v>0</v>
      </c>
      <c r="M86" s="157">
        <f t="shared" ca="1" si="13"/>
        <v>1160.2459947823063</v>
      </c>
      <c r="N86" s="160">
        <f t="shared" ca="1" si="6"/>
        <v>23507.766756659385</v>
      </c>
      <c r="O86" s="160">
        <f t="shared" si="7"/>
        <v>0.29190690641947942</v>
      </c>
      <c r="P86" s="160">
        <f t="shared" si="14"/>
        <v>0.29190690641947942</v>
      </c>
      <c r="R86" s="161">
        <f t="shared" ca="1" si="8"/>
        <v>1160.2459947823063</v>
      </c>
      <c r="S86" s="154">
        <f t="shared" si="9"/>
        <v>1193</v>
      </c>
      <c r="T86" s="162">
        <f t="shared" si="15"/>
        <v>3.425753924819197</v>
      </c>
      <c r="U86" s="145">
        <f t="shared" ca="1" si="10"/>
        <v>338.68</v>
      </c>
      <c r="V86" s="150"/>
      <c r="Z86" s="155">
        <f>IF(B86&gt;$C$20,"",IF(COUNTIF(Feriados!A39:A54,EDATE($C$48,B85))=0,EDATE($C$48,B85),EDATE($C$48,B85)+VLOOKUP(EDATE($C$48,B85),Feriados!$A$2:$B$17,2,FALSE)))</f>
        <v>47083</v>
      </c>
    </row>
    <row r="87" spans="2:26" x14ac:dyDescent="0.3">
      <c r="B87" s="152">
        <f t="shared" si="11"/>
        <v>40</v>
      </c>
      <c r="C87" s="153">
        <f t="shared" si="0"/>
        <v>47113</v>
      </c>
      <c r="D87" s="154">
        <f t="shared" si="1"/>
        <v>2</v>
      </c>
      <c r="E87" s="155">
        <f t="shared" si="16"/>
        <v>47113</v>
      </c>
      <c r="F87" s="154">
        <f t="shared" si="17"/>
        <v>29</v>
      </c>
      <c r="G87" s="154">
        <f t="shared" si="12"/>
        <v>1222</v>
      </c>
      <c r="H87" s="156">
        <f t="shared" ca="1" si="18"/>
        <v>23507.766756659385</v>
      </c>
      <c r="I87" s="156">
        <f t="shared" ca="1" si="2"/>
        <v>445.98696846391749</v>
      </c>
      <c r="J87" s="157">
        <f t="shared" ca="1" si="3"/>
        <v>714.25902631838881</v>
      </c>
      <c r="K87" s="158">
        <f t="shared" si="4"/>
        <v>0</v>
      </c>
      <c r="L87" s="159">
        <f t="shared" si="5"/>
        <v>0</v>
      </c>
      <c r="M87" s="157">
        <f t="shared" ca="1" si="13"/>
        <v>1160.2459947823063</v>
      </c>
      <c r="N87" s="160">
        <f t="shared" ca="1" si="6"/>
        <v>23061.779788195468</v>
      </c>
      <c r="O87" s="160">
        <f t="shared" si="7"/>
        <v>0.28329915640621206</v>
      </c>
      <c r="P87" s="160">
        <f t="shared" si="14"/>
        <v>0.28329915640621206</v>
      </c>
      <c r="R87" s="161">
        <f t="shared" ca="1" si="8"/>
        <v>1160.2459947823063</v>
      </c>
      <c r="S87" s="154">
        <f t="shared" si="9"/>
        <v>1222</v>
      </c>
      <c r="T87" s="162">
        <f t="shared" si="15"/>
        <v>3.5298419979140268</v>
      </c>
      <c r="U87" s="145">
        <f t="shared" ca="1" si="10"/>
        <v>328.7</v>
      </c>
      <c r="V87" s="150"/>
      <c r="Z87" s="155">
        <f>IF(B87&gt;$C$20,"",IF(COUNTIF(Feriados!A40:A55,EDATE($C$48,B86))=0,EDATE($C$48,B86),EDATE($C$48,B86)+VLOOKUP(EDATE($C$48,B86),Feriados!$A$2:$B$17,2,FALSE)))</f>
        <v>47113</v>
      </c>
    </row>
    <row r="88" spans="2:26" x14ac:dyDescent="0.3">
      <c r="B88" s="152">
        <f t="shared" si="11"/>
        <v>41</v>
      </c>
      <c r="C88" s="153">
        <f t="shared" si="0"/>
        <v>47144</v>
      </c>
      <c r="D88" s="154">
        <f t="shared" si="1"/>
        <v>5</v>
      </c>
      <c r="E88" s="155">
        <f t="shared" si="16"/>
        <v>47144</v>
      </c>
      <c r="F88" s="154">
        <f t="shared" si="17"/>
        <v>31</v>
      </c>
      <c r="G88" s="154">
        <f t="shared" si="12"/>
        <v>1253</v>
      </c>
      <c r="H88" s="156">
        <f t="shared" ca="1" si="18"/>
        <v>23061.779788195468</v>
      </c>
      <c r="I88" s="156">
        <f t="shared" ca="1" si="2"/>
        <v>410.4356311507097</v>
      </c>
      <c r="J88" s="157">
        <f t="shared" ca="1" si="3"/>
        <v>749.8103636315966</v>
      </c>
      <c r="K88" s="158">
        <f t="shared" si="4"/>
        <v>0</v>
      </c>
      <c r="L88" s="159">
        <f t="shared" si="5"/>
        <v>0</v>
      </c>
      <c r="M88" s="157">
        <f t="shared" ca="1" si="13"/>
        <v>1160.2459947823063</v>
      </c>
      <c r="N88" s="160">
        <f t="shared" ca="1" si="6"/>
        <v>22651.344157044758</v>
      </c>
      <c r="O88" s="160">
        <f t="shared" si="7"/>
        <v>0.27437826359195511</v>
      </c>
      <c r="P88" s="160">
        <f t="shared" si="14"/>
        <v>0.27437826359195511</v>
      </c>
      <c r="R88" s="161">
        <f t="shared" ca="1" si="8"/>
        <v>1160.2459947823063</v>
      </c>
      <c r="S88" s="154">
        <f t="shared" si="9"/>
        <v>1253</v>
      </c>
      <c r="T88" s="162">
        <f t="shared" si="15"/>
        <v>3.6446082832346405</v>
      </c>
      <c r="U88" s="145">
        <f t="shared" ca="1" si="10"/>
        <v>318.35000000000002</v>
      </c>
      <c r="V88" s="150"/>
      <c r="Z88" s="155">
        <f>IF(B88&gt;$C$20,"",IF(COUNTIF(Feriados!A41:A56,EDATE($C$48,B87))=0,EDATE($C$48,B87),EDATE($C$48,B87)+VLOOKUP(EDATE($C$48,B87),Feriados!$A$2:$B$17,2,FALSE)))</f>
        <v>47144</v>
      </c>
    </row>
    <row r="89" spans="2:26" x14ac:dyDescent="0.3">
      <c r="B89" s="152">
        <f t="shared" si="11"/>
        <v>42</v>
      </c>
      <c r="C89" s="153">
        <f t="shared" si="0"/>
        <v>47175</v>
      </c>
      <c r="D89" s="154">
        <f t="shared" si="1"/>
        <v>1</v>
      </c>
      <c r="E89" s="155">
        <f t="shared" si="16"/>
        <v>47175</v>
      </c>
      <c r="F89" s="154">
        <f t="shared" si="17"/>
        <v>31</v>
      </c>
      <c r="G89" s="154">
        <f t="shared" si="12"/>
        <v>1284</v>
      </c>
      <c r="H89" s="156">
        <f t="shared" ca="1" si="18"/>
        <v>22651.344157044758</v>
      </c>
      <c r="I89" s="156">
        <f t="shared" ca="1" si="2"/>
        <v>423.78017318809418</v>
      </c>
      <c r="J89" s="157">
        <f t="shared" ca="1" si="3"/>
        <v>736.46582159421212</v>
      </c>
      <c r="K89" s="158">
        <f t="shared" si="4"/>
        <v>0</v>
      </c>
      <c r="L89" s="159">
        <f t="shared" si="5"/>
        <v>0</v>
      </c>
      <c r="M89" s="157">
        <f t="shared" ca="1" si="13"/>
        <v>1160.2459947823063</v>
      </c>
      <c r="N89" s="160">
        <f t="shared" ca="1" si="6"/>
        <v>22227.563983856664</v>
      </c>
      <c r="O89" s="160">
        <f t="shared" si="7"/>
        <v>0.26573828346947237</v>
      </c>
      <c r="P89" s="160">
        <f t="shared" si="14"/>
        <v>0.26573828346947237</v>
      </c>
      <c r="R89" s="161">
        <f t="shared" ca="1" si="8"/>
        <v>1160.2459947823063</v>
      </c>
      <c r="S89" s="154">
        <f t="shared" si="9"/>
        <v>1284</v>
      </c>
      <c r="T89" s="162">
        <f t="shared" si="15"/>
        <v>3.7631059821012642</v>
      </c>
      <c r="U89" s="145">
        <f t="shared" ca="1" si="10"/>
        <v>308.32</v>
      </c>
      <c r="V89" s="150"/>
      <c r="Z89" s="155">
        <f>IF(B89&gt;$C$20,"",IF(COUNTIF(Feriados!A42:A57,EDATE($C$48,B88))=0,EDATE($C$48,B88),EDATE($C$48,B88)+VLOOKUP(EDATE($C$48,B88),Feriados!$A$2:$B$17,2,FALSE)))</f>
        <v>47175</v>
      </c>
    </row>
    <row r="90" spans="2:26" x14ac:dyDescent="0.3">
      <c r="B90" s="152">
        <f t="shared" si="11"/>
        <v>43</v>
      </c>
      <c r="C90" s="153">
        <f t="shared" si="0"/>
        <v>47203</v>
      </c>
      <c r="D90" s="154">
        <f t="shared" si="1"/>
        <v>1</v>
      </c>
      <c r="E90" s="155">
        <f t="shared" si="16"/>
        <v>47203</v>
      </c>
      <c r="F90" s="154">
        <f t="shared" si="17"/>
        <v>28</v>
      </c>
      <c r="G90" s="154">
        <f t="shared" si="12"/>
        <v>1312</v>
      </c>
      <c r="H90" s="156">
        <f t="shared" ca="1" si="18"/>
        <v>22227.563983856664</v>
      </c>
      <c r="I90" s="156">
        <f t="shared" ca="1" si="2"/>
        <v>508.5109925708</v>
      </c>
      <c r="J90" s="157">
        <f t="shared" ca="1" si="3"/>
        <v>651.7350022115063</v>
      </c>
      <c r="K90" s="158">
        <f t="shared" si="4"/>
        <v>0</v>
      </c>
      <c r="L90" s="159">
        <f t="shared" si="5"/>
        <v>0</v>
      </c>
      <c r="M90" s="157">
        <f t="shared" ca="1" si="13"/>
        <v>1160.2459947823063</v>
      </c>
      <c r="N90" s="160">
        <f t="shared" ca="1" si="6"/>
        <v>21719.052991285866</v>
      </c>
      <c r="O90" s="160">
        <f t="shared" si="7"/>
        <v>0.25816851741719443</v>
      </c>
      <c r="P90" s="160">
        <f t="shared" si="14"/>
        <v>0.25816851741719443</v>
      </c>
      <c r="R90" s="161">
        <f t="shared" ca="1" si="8"/>
        <v>1160.2459947823063</v>
      </c>
      <c r="S90" s="154">
        <f t="shared" si="9"/>
        <v>1312</v>
      </c>
      <c r="T90" s="162">
        <f t="shared" si="15"/>
        <v>3.873444225803528</v>
      </c>
      <c r="U90" s="145">
        <f t="shared" ca="1" si="10"/>
        <v>299.54000000000002</v>
      </c>
      <c r="V90" s="150"/>
      <c r="Z90" s="155">
        <f>IF(B90&gt;$C$20,"",IF(COUNTIF(Feriados!A43:A58,EDATE($C$48,B89))=0,EDATE($C$48,B89),EDATE($C$48,B89)+VLOOKUP(EDATE($C$48,B89),Feriados!$A$2:$B$17,2,FALSE)))</f>
        <v>47203</v>
      </c>
    </row>
    <row r="91" spans="2:26" x14ac:dyDescent="0.3">
      <c r="B91" s="152">
        <f t="shared" si="11"/>
        <v>44</v>
      </c>
      <c r="C91" s="153">
        <f t="shared" si="0"/>
        <v>47234</v>
      </c>
      <c r="D91" s="154">
        <f t="shared" si="1"/>
        <v>4</v>
      </c>
      <c r="E91" s="155">
        <f t="shared" si="16"/>
        <v>47234</v>
      </c>
      <c r="F91" s="154">
        <f t="shared" si="17"/>
        <v>31</v>
      </c>
      <c r="G91" s="154">
        <f t="shared" si="12"/>
        <v>1343</v>
      </c>
      <c r="H91" s="156">
        <f t="shared" ca="1" si="18"/>
        <v>21719.052991285866</v>
      </c>
      <c r="I91" s="156">
        <f t="shared" ca="1" si="2"/>
        <v>454.0918657126241</v>
      </c>
      <c r="J91" s="157">
        <f t="shared" ca="1" si="3"/>
        <v>706.1541290696822</v>
      </c>
      <c r="K91" s="158">
        <f t="shared" si="4"/>
        <v>0</v>
      </c>
      <c r="L91" s="159">
        <f t="shared" si="5"/>
        <v>0</v>
      </c>
      <c r="M91" s="157">
        <f t="shared" ca="1" si="13"/>
        <v>1160.2459947823063</v>
      </c>
      <c r="N91" s="160">
        <f t="shared" ca="1" si="6"/>
        <v>21264.961125573242</v>
      </c>
      <c r="O91" s="160">
        <f t="shared" si="7"/>
        <v>0.25003897089432331</v>
      </c>
      <c r="P91" s="160">
        <f t="shared" si="14"/>
        <v>0.25003897089432331</v>
      </c>
      <c r="R91" s="161">
        <f t="shared" ca="1" si="8"/>
        <v>1160.2459947823063</v>
      </c>
      <c r="S91" s="154">
        <f t="shared" si="9"/>
        <v>1343</v>
      </c>
      <c r="T91" s="162">
        <f t="shared" si="15"/>
        <v>3.9993821021885765</v>
      </c>
      <c r="U91" s="145">
        <f t="shared" ca="1" si="10"/>
        <v>290.11</v>
      </c>
      <c r="V91" s="150"/>
      <c r="Z91" s="155">
        <f>IF(B91&gt;$C$20,"",IF(COUNTIF(Feriados!A44:A59,EDATE($C$48,B90))=0,EDATE($C$48,B90),EDATE($C$48,B90)+VLOOKUP(EDATE($C$48,B90),Feriados!$A$2:$B$17,2,FALSE)))</f>
        <v>47234</v>
      </c>
    </row>
    <row r="92" spans="2:26" x14ac:dyDescent="0.3">
      <c r="B92" s="152">
        <f t="shared" si="11"/>
        <v>45</v>
      </c>
      <c r="C92" s="153">
        <f t="shared" si="0"/>
        <v>47264</v>
      </c>
      <c r="D92" s="154">
        <f t="shared" si="1"/>
        <v>6</v>
      </c>
      <c r="E92" s="155">
        <f t="shared" si="16"/>
        <v>47264</v>
      </c>
      <c r="F92" s="154">
        <f t="shared" si="17"/>
        <v>30</v>
      </c>
      <c r="G92" s="154">
        <f t="shared" si="12"/>
        <v>1373</v>
      </c>
      <c r="H92" s="156">
        <f t="shared" ca="1" si="18"/>
        <v>21264.961125573242</v>
      </c>
      <c r="I92" s="156">
        <f t="shared" ca="1" si="2"/>
        <v>491.50572836379183</v>
      </c>
      <c r="J92" s="157">
        <f t="shared" ca="1" si="3"/>
        <v>668.74026641851447</v>
      </c>
      <c r="K92" s="158">
        <f t="shared" si="4"/>
        <v>0</v>
      </c>
      <c r="L92" s="159">
        <f t="shared" si="5"/>
        <v>0</v>
      </c>
      <c r="M92" s="157">
        <f t="shared" ca="1" si="13"/>
        <v>1160.2459947823063</v>
      </c>
      <c r="N92" s="160">
        <f t="shared" ca="1" si="6"/>
        <v>20773.455397209451</v>
      </c>
      <c r="O92" s="160">
        <f t="shared" si="7"/>
        <v>0.24241549116226438</v>
      </c>
      <c r="P92" s="160">
        <f t="shared" si="14"/>
        <v>0.24241549116226438</v>
      </c>
      <c r="R92" s="161">
        <f t="shared" ca="1" si="8"/>
        <v>1160.2459947823063</v>
      </c>
      <c r="S92" s="154">
        <f t="shared" si="9"/>
        <v>1373</v>
      </c>
      <c r="T92" s="162">
        <f t="shared" si="15"/>
        <v>4.1251547547110068</v>
      </c>
      <c r="U92" s="145">
        <f t="shared" ca="1" si="10"/>
        <v>281.26</v>
      </c>
      <c r="V92" s="150"/>
      <c r="Z92" s="155">
        <f>IF(B92&gt;$C$20,"",IF(COUNTIF(Feriados!A45:A60,EDATE($C$48,B91))=0,EDATE($C$48,B91),EDATE($C$48,B91)+VLOOKUP(EDATE($C$48,B91),Feriados!$A$2:$B$17,2,FALSE)))</f>
        <v>47264</v>
      </c>
    </row>
    <row r="93" spans="2:26" x14ac:dyDescent="0.3">
      <c r="B93" s="152">
        <f t="shared" si="11"/>
        <v>46</v>
      </c>
      <c r="C93" s="153">
        <f t="shared" si="0"/>
        <v>47295</v>
      </c>
      <c r="D93" s="154">
        <f t="shared" si="1"/>
        <v>2</v>
      </c>
      <c r="E93" s="155">
        <f t="shared" si="16"/>
        <v>47295</v>
      </c>
      <c r="F93" s="154">
        <f t="shared" si="17"/>
        <v>31</v>
      </c>
      <c r="G93" s="154">
        <f t="shared" si="12"/>
        <v>1404</v>
      </c>
      <c r="H93" s="156">
        <f t="shared" ca="1" si="18"/>
        <v>20773.455397209451</v>
      </c>
      <c r="I93" s="156">
        <f t="shared" ca="1" si="2"/>
        <v>484.83619170894292</v>
      </c>
      <c r="J93" s="157">
        <f t="shared" ca="1" si="3"/>
        <v>675.40980307336338</v>
      </c>
      <c r="K93" s="158">
        <f t="shared" si="4"/>
        <v>0</v>
      </c>
      <c r="L93" s="159">
        <f t="shared" si="5"/>
        <v>0</v>
      </c>
      <c r="M93" s="157">
        <f t="shared" ca="1" si="13"/>
        <v>1160.2459947823063</v>
      </c>
      <c r="N93" s="160">
        <f t="shared" ca="1" si="6"/>
        <v>20288.619205500509</v>
      </c>
      <c r="O93" s="160">
        <f t="shared" si="7"/>
        <v>0.23478199644732359</v>
      </c>
      <c r="P93" s="160">
        <f t="shared" si="14"/>
        <v>0.23478199644732359</v>
      </c>
      <c r="R93" s="161">
        <f t="shared" ca="1" si="8"/>
        <v>1160.2459947823063</v>
      </c>
      <c r="S93" s="154">
        <f t="shared" si="9"/>
        <v>1404</v>
      </c>
      <c r="T93" s="162">
        <f t="shared" si="15"/>
        <v>4.2592765334905165</v>
      </c>
      <c r="U93" s="145">
        <f t="shared" ca="1" si="10"/>
        <v>272.39999999999998</v>
      </c>
      <c r="V93" s="150"/>
      <c r="Z93" s="155">
        <f>IF(B93&gt;$C$20,"",IF(COUNTIF(Feriados!A46:A61,EDATE($C$48,B92))=0,EDATE($C$48,B92),EDATE($C$48,B92)+VLOOKUP(EDATE($C$48,B92),Feriados!$A$2:$B$17,2,FALSE)))</f>
        <v>47295</v>
      </c>
    </row>
    <row r="94" spans="2:26" x14ac:dyDescent="0.3">
      <c r="B94" s="152">
        <f t="shared" si="11"/>
        <v>47</v>
      </c>
      <c r="C94" s="153">
        <f t="shared" si="0"/>
        <v>47325</v>
      </c>
      <c r="D94" s="154">
        <f t="shared" si="1"/>
        <v>4</v>
      </c>
      <c r="E94" s="155">
        <f t="shared" si="16"/>
        <v>47325</v>
      </c>
      <c r="F94" s="154">
        <f t="shared" si="17"/>
        <v>30</v>
      </c>
      <c r="G94" s="154">
        <f t="shared" si="12"/>
        <v>1434</v>
      </c>
      <c r="H94" s="156">
        <f t="shared" ca="1" si="18"/>
        <v>20288.619205500509</v>
      </c>
      <c r="I94" s="156">
        <f t="shared" ca="1" si="2"/>
        <v>522.2097184576088</v>
      </c>
      <c r="J94" s="157">
        <f t="shared" ca="1" si="3"/>
        <v>638.0362763246975</v>
      </c>
      <c r="K94" s="158">
        <f t="shared" si="4"/>
        <v>0</v>
      </c>
      <c r="L94" s="159">
        <f t="shared" si="5"/>
        <v>0</v>
      </c>
      <c r="M94" s="157">
        <f t="shared" ca="1" si="13"/>
        <v>1160.2459947823063</v>
      </c>
      <c r="N94" s="160">
        <f t="shared" ca="1" si="6"/>
        <v>19766.4094870429</v>
      </c>
      <c r="O94" s="160">
        <f t="shared" si="7"/>
        <v>0.22762368914439934</v>
      </c>
      <c r="P94" s="160">
        <f t="shared" si="14"/>
        <v>0.22762368914439934</v>
      </c>
      <c r="R94" s="161">
        <f t="shared" ca="1" si="8"/>
        <v>1160.2459947823063</v>
      </c>
      <c r="S94" s="154">
        <f t="shared" si="9"/>
        <v>1434</v>
      </c>
      <c r="T94" s="162">
        <f t="shared" si="15"/>
        <v>4.3932223515583866</v>
      </c>
      <c r="U94" s="145">
        <f t="shared" ca="1" si="10"/>
        <v>264.10000000000002</v>
      </c>
      <c r="V94" s="150"/>
      <c r="Z94" s="155">
        <f>IF(B94&gt;$C$20,"",IF(COUNTIF(Feriados!A47:A62,EDATE($C$48,B93))=0,EDATE($C$48,B93),EDATE($C$48,B93)+VLOOKUP(EDATE($C$48,B93),Feriados!$A$2:$B$17,2,FALSE)))</f>
        <v>47325</v>
      </c>
    </row>
    <row r="95" spans="2:26" x14ac:dyDescent="0.3">
      <c r="B95" s="152">
        <f t="shared" si="11"/>
        <v>48</v>
      </c>
      <c r="C95" s="153">
        <f t="shared" si="0"/>
        <v>47357</v>
      </c>
      <c r="D95" s="154">
        <f t="shared" si="1"/>
        <v>1</v>
      </c>
      <c r="E95" s="155">
        <f t="shared" si="16"/>
        <v>47357</v>
      </c>
      <c r="F95" s="154">
        <f t="shared" si="17"/>
        <v>32</v>
      </c>
      <c r="G95" s="154">
        <f t="shared" si="12"/>
        <v>1466</v>
      </c>
      <c r="H95" s="156">
        <f t="shared" ca="1" si="18"/>
        <v>19766.4094870429</v>
      </c>
      <c r="I95" s="156">
        <f t="shared" ca="1" si="2"/>
        <v>496.50288282829058</v>
      </c>
      <c r="J95" s="157">
        <f t="shared" ca="1" si="3"/>
        <v>663.74311195401572</v>
      </c>
      <c r="K95" s="158">
        <f t="shared" si="4"/>
        <v>0</v>
      </c>
      <c r="L95" s="159">
        <f t="shared" si="5"/>
        <v>0</v>
      </c>
      <c r="M95" s="157">
        <f t="shared" ca="1" si="13"/>
        <v>1160.2459947823063</v>
      </c>
      <c r="N95" s="160">
        <f t="shared" ca="1" si="6"/>
        <v>19269.906604214608</v>
      </c>
      <c r="O95" s="160">
        <f t="shared" si="7"/>
        <v>0.22022855809703873</v>
      </c>
      <c r="P95" s="160">
        <f t="shared" si="14"/>
        <v>0.22022855809703873</v>
      </c>
      <c r="R95" s="161">
        <f t="shared" ca="1" si="8"/>
        <v>1160.2459947823063</v>
      </c>
      <c r="S95" s="154">
        <f t="shared" si="9"/>
        <v>1466</v>
      </c>
      <c r="T95" s="162">
        <f t="shared" si="15"/>
        <v>4.5407440367227681</v>
      </c>
      <c r="U95" s="145">
        <f t="shared" ca="1" si="10"/>
        <v>255.52</v>
      </c>
      <c r="V95" s="150"/>
      <c r="Z95" s="155">
        <f>IF(B95&gt;$C$20,"",IF(COUNTIF(Feriados!A48:A63,EDATE($C$48,B94))=0,EDATE($C$48,B94),EDATE($C$48,B94)+VLOOKUP(EDATE($C$48,B94),Feriados!$A$2:$B$17,2,FALSE)))</f>
        <v>47356</v>
      </c>
    </row>
    <row r="96" spans="2:26" x14ac:dyDescent="0.3">
      <c r="B96" s="152">
        <f t="shared" si="11"/>
        <v>49</v>
      </c>
      <c r="C96" s="153">
        <f t="shared" si="0"/>
        <v>47387</v>
      </c>
      <c r="D96" s="154">
        <f t="shared" si="1"/>
        <v>3</v>
      </c>
      <c r="E96" s="155">
        <f t="shared" si="16"/>
        <v>47387</v>
      </c>
      <c r="F96" s="154">
        <f t="shared" si="17"/>
        <v>30</v>
      </c>
      <c r="G96" s="154">
        <f t="shared" si="12"/>
        <v>1496</v>
      </c>
      <c r="H96" s="156">
        <f t="shared" ca="1" si="18"/>
        <v>19269.906604214608</v>
      </c>
      <c r="I96" s="156">
        <f t="shared" ca="1" si="2"/>
        <v>554.24618127383076</v>
      </c>
      <c r="J96" s="157">
        <f t="shared" ca="1" si="3"/>
        <v>605.99981350847554</v>
      </c>
      <c r="K96" s="158">
        <f t="shared" si="4"/>
        <v>0</v>
      </c>
      <c r="L96" s="159">
        <f t="shared" si="5"/>
        <v>0</v>
      </c>
      <c r="M96" s="157">
        <f t="shared" ca="1" si="13"/>
        <v>1160.2459947823063</v>
      </c>
      <c r="N96" s="160">
        <f t="shared" ca="1" si="6"/>
        <v>18715.660422940779</v>
      </c>
      <c r="O96" s="160">
        <f t="shared" si="7"/>
        <v>0.21351397299429123</v>
      </c>
      <c r="P96" s="160">
        <f t="shared" si="14"/>
        <v>0.21351397299429123</v>
      </c>
      <c r="R96" s="161">
        <f t="shared" ca="1" si="8"/>
        <v>1160.2459947823063</v>
      </c>
      <c r="S96" s="154">
        <f t="shared" si="9"/>
        <v>1496</v>
      </c>
      <c r="T96" s="162">
        <f t="shared" si="15"/>
        <v>4.6835414507561781</v>
      </c>
      <c r="U96" s="145">
        <f t="shared" ca="1" si="10"/>
        <v>247.73</v>
      </c>
      <c r="V96" s="150"/>
      <c r="Z96" s="155">
        <f>IF(B96&gt;$C$20,"",IF(COUNTIF(Feriados!A49:A64,EDATE($C$48,B95))=0,EDATE($C$48,B95),EDATE($C$48,B95)+VLOOKUP(EDATE($C$48,B95),Feriados!$A$2:$B$17,2,FALSE)))</f>
        <v>47387</v>
      </c>
    </row>
    <row r="97" spans="2:26" x14ac:dyDescent="0.3">
      <c r="B97" s="152">
        <f t="shared" si="11"/>
        <v>50</v>
      </c>
      <c r="C97" s="153">
        <f t="shared" si="0"/>
        <v>47417</v>
      </c>
      <c r="D97" s="154">
        <f t="shared" si="1"/>
        <v>5</v>
      </c>
      <c r="E97" s="155">
        <f t="shared" si="16"/>
        <v>47417</v>
      </c>
      <c r="F97" s="154">
        <f t="shared" si="17"/>
        <v>30</v>
      </c>
      <c r="G97" s="154">
        <f t="shared" si="12"/>
        <v>1526</v>
      </c>
      <c r="H97" s="156">
        <f t="shared" ca="1" si="18"/>
        <v>18715.660422940779</v>
      </c>
      <c r="I97" s="156">
        <f t="shared" ca="1" si="2"/>
        <v>571.67610916026194</v>
      </c>
      <c r="J97" s="157">
        <f t="shared" ca="1" si="3"/>
        <v>588.56988562204435</v>
      </c>
      <c r="K97" s="158">
        <f t="shared" si="4"/>
        <v>0</v>
      </c>
      <c r="L97" s="159">
        <f t="shared" si="5"/>
        <v>0</v>
      </c>
      <c r="M97" s="157">
        <f t="shared" ca="1" si="13"/>
        <v>1160.2459947823063</v>
      </c>
      <c r="N97" s="160">
        <f t="shared" ca="1" si="6"/>
        <v>18143.984313780518</v>
      </c>
      <c r="O97" s="160">
        <f t="shared" si="7"/>
        <v>0.20700410999249025</v>
      </c>
      <c r="P97" s="160">
        <f t="shared" si="14"/>
        <v>0.20700410999249025</v>
      </c>
      <c r="R97" s="161">
        <f t="shared" ca="1" si="8"/>
        <v>1160.2459947823063</v>
      </c>
      <c r="S97" s="154">
        <f t="shared" si="9"/>
        <v>1526</v>
      </c>
      <c r="T97" s="162">
        <f t="shared" si="15"/>
        <v>4.8308295608714875</v>
      </c>
      <c r="U97" s="145">
        <f t="shared" ca="1" si="10"/>
        <v>240.18</v>
      </c>
      <c r="V97" s="150"/>
      <c r="Z97" s="155">
        <f>IF(B97&gt;$C$20,"",IF(COUNTIF(Feriados!A50:A65,EDATE($C$48,B96))=0,EDATE($C$48,B96),EDATE($C$48,B96)+VLOOKUP(EDATE($C$48,B96),Feriados!$A$2:$B$17,2,FALSE)))</f>
        <v>47417</v>
      </c>
    </row>
    <row r="98" spans="2:26" x14ac:dyDescent="0.3">
      <c r="B98" s="152">
        <f t="shared" si="11"/>
        <v>51</v>
      </c>
      <c r="C98" s="153">
        <f t="shared" si="0"/>
        <v>47448</v>
      </c>
      <c r="D98" s="154">
        <f t="shared" si="1"/>
        <v>1</v>
      </c>
      <c r="E98" s="155">
        <f t="shared" si="16"/>
        <v>47448</v>
      </c>
      <c r="F98" s="154">
        <f t="shared" si="17"/>
        <v>31</v>
      </c>
      <c r="G98" s="154">
        <f t="shared" si="12"/>
        <v>1557</v>
      </c>
      <c r="H98" s="156">
        <f t="shared" ca="1" si="18"/>
        <v>18143.984313780518</v>
      </c>
      <c r="I98" s="156">
        <f t="shared" ca="1" si="2"/>
        <v>570.32849487601311</v>
      </c>
      <c r="J98" s="157">
        <f t="shared" ca="1" si="3"/>
        <v>589.91749990629319</v>
      </c>
      <c r="K98" s="158">
        <f t="shared" si="4"/>
        <v>0</v>
      </c>
      <c r="L98" s="159">
        <f t="shared" si="5"/>
        <v>0</v>
      </c>
      <c r="M98" s="157">
        <f t="shared" ca="1" si="13"/>
        <v>1160.2459947823063</v>
      </c>
      <c r="N98" s="160">
        <f t="shared" ca="1" si="6"/>
        <v>17573.655818904506</v>
      </c>
      <c r="O98" s="160">
        <f t="shared" si="7"/>
        <v>0.20048569496867064</v>
      </c>
      <c r="P98" s="160">
        <f t="shared" si="14"/>
        <v>0.20048569496867064</v>
      </c>
      <c r="R98" s="161">
        <f t="shared" ca="1" si="8"/>
        <v>1160.2459947823063</v>
      </c>
      <c r="S98" s="154">
        <f t="shared" si="9"/>
        <v>1557</v>
      </c>
      <c r="T98" s="162">
        <f t="shared" si="15"/>
        <v>4.9878950510678957</v>
      </c>
      <c r="U98" s="145">
        <f t="shared" ca="1" si="10"/>
        <v>232.61</v>
      </c>
      <c r="V98" s="150"/>
      <c r="Z98" s="155">
        <f>IF(B98&gt;$C$20,"",IF(COUNTIF(Feriados!A51:A66,EDATE($C$48,B97))=0,EDATE($C$48,B97),EDATE($C$48,B97)+VLOOKUP(EDATE($C$48,B97),Feriados!$A$2:$B$17,2,FALSE)))</f>
        <v>47448</v>
      </c>
    </row>
    <row r="99" spans="2:26" x14ac:dyDescent="0.3">
      <c r="B99" s="152">
        <f t="shared" si="11"/>
        <v>52</v>
      </c>
      <c r="C99" s="153">
        <f t="shared" si="0"/>
        <v>47478</v>
      </c>
      <c r="D99" s="154">
        <f t="shared" si="1"/>
        <v>3</v>
      </c>
      <c r="E99" s="155">
        <f t="shared" si="16"/>
        <v>47478</v>
      </c>
      <c r="F99" s="154">
        <f t="shared" si="17"/>
        <v>30</v>
      </c>
      <c r="G99" s="154">
        <f t="shared" si="12"/>
        <v>1587</v>
      </c>
      <c r="H99" s="156">
        <f t="shared" ca="1" si="18"/>
        <v>17573.655818904506</v>
      </c>
      <c r="I99" s="156">
        <f t="shared" ca="1" si="2"/>
        <v>607.58985753932461</v>
      </c>
      <c r="J99" s="157">
        <f t="shared" ca="1" si="3"/>
        <v>552.65613724298169</v>
      </c>
      <c r="K99" s="158">
        <f t="shared" si="4"/>
        <v>0</v>
      </c>
      <c r="L99" s="159">
        <f t="shared" si="5"/>
        <v>0</v>
      </c>
      <c r="M99" s="157">
        <f t="shared" ca="1" si="13"/>
        <v>1160.2459947823063</v>
      </c>
      <c r="N99" s="160">
        <f t="shared" ca="1" si="6"/>
        <v>16966.065961365181</v>
      </c>
      <c r="O99" s="160">
        <f t="shared" si="7"/>
        <v>0.194373053300475</v>
      </c>
      <c r="P99" s="160">
        <f t="shared" si="14"/>
        <v>0.194373053300475</v>
      </c>
      <c r="R99" s="161">
        <f t="shared" ca="1" si="8"/>
        <v>1160.2459947823063</v>
      </c>
      <c r="S99" s="154">
        <f t="shared" si="9"/>
        <v>1587</v>
      </c>
      <c r="T99" s="162">
        <f t="shared" si="15"/>
        <v>5.1447544796113727</v>
      </c>
      <c r="U99" s="145">
        <f t="shared" ca="1" si="10"/>
        <v>225.52</v>
      </c>
      <c r="V99" s="150"/>
      <c r="Z99" s="155">
        <f>IF(B99&gt;$C$20,"",IF(COUNTIF(Feriados!A52:A67,EDATE($C$48,B98))=0,EDATE($C$48,B98),EDATE($C$48,B98)+VLOOKUP(EDATE($C$48,B98),Feriados!$A$2:$B$17,2,FALSE)))</f>
        <v>47478</v>
      </c>
    </row>
    <row r="100" spans="2:26" x14ac:dyDescent="0.3">
      <c r="B100" s="152">
        <f t="shared" si="11"/>
        <v>53</v>
      </c>
      <c r="C100" s="153">
        <f t="shared" si="0"/>
        <v>47509</v>
      </c>
      <c r="D100" s="154">
        <f t="shared" si="1"/>
        <v>6</v>
      </c>
      <c r="E100" s="155">
        <f t="shared" si="16"/>
        <v>47509</v>
      </c>
      <c r="F100" s="154">
        <f t="shared" si="17"/>
        <v>31</v>
      </c>
      <c r="G100" s="154">
        <f t="shared" si="12"/>
        <v>1618</v>
      </c>
      <c r="H100" s="156">
        <f t="shared" ca="1" si="18"/>
        <v>16966.065961365181</v>
      </c>
      <c r="I100" s="156">
        <f t="shared" ca="1" si="2"/>
        <v>608.6262930626458</v>
      </c>
      <c r="J100" s="157">
        <f t="shared" ca="1" si="3"/>
        <v>551.6197017196605</v>
      </c>
      <c r="K100" s="158">
        <f t="shared" si="4"/>
        <v>0</v>
      </c>
      <c r="L100" s="159">
        <f t="shared" si="5"/>
        <v>0</v>
      </c>
      <c r="M100" s="157">
        <f t="shared" ca="1" si="13"/>
        <v>1160.2459947823063</v>
      </c>
      <c r="N100" s="160">
        <f t="shared" ca="1" si="6"/>
        <v>16357.439668302535</v>
      </c>
      <c r="O100" s="160">
        <f t="shared" si="7"/>
        <v>0.18825238144084153</v>
      </c>
      <c r="P100" s="160">
        <f t="shared" si="14"/>
        <v>0.18825238144084153</v>
      </c>
      <c r="R100" s="161">
        <f t="shared" ca="1" si="8"/>
        <v>1160.2459947823063</v>
      </c>
      <c r="S100" s="154">
        <f t="shared" si="9"/>
        <v>1618</v>
      </c>
      <c r="T100" s="162">
        <f t="shared" si="15"/>
        <v>5.3120266580432984</v>
      </c>
      <c r="U100" s="145">
        <f t="shared" ca="1" si="10"/>
        <v>218.42</v>
      </c>
      <c r="V100" s="150"/>
      <c r="Z100" s="155">
        <f>IF(B100&gt;$C$20,"",IF(COUNTIF(Feriados!A53:A68,EDATE($C$48,B99))=0,EDATE($C$48,B99),EDATE($C$48,B99)+VLOOKUP(EDATE($C$48,B99),Feriados!$A$2:$B$17,2,FALSE)))</f>
        <v>47509</v>
      </c>
    </row>
    <row r="101" spans="2:26" x14ac:dyDescent="0.3">
      <c r="B101" s="152">
        <f t="shared" si="11"/>
        <v>54</v>
      </c>
      <c r="C101" s="153">
        <f t="shared" si="0"/>
        <v>47540</v>
      </c>
      <c r="D101" s="154">
        <f t="shared" si="1"/>
        <v>2</v>
      </c>
      <c r="E101" s="155">
        <f t="shared" si="16"/>
        <v>47540</v>
      </c>
      <c r="F101" s="154">
        <f t="shared" si="17"/>
        <v>31</v>
      </c>
      <c r="G101" s="154">
        <f t="shared" si="12"/>
        <v>1649</v>
      </c>
      <c r="H101" s="156">
        <f t="shared" ca="1" si="18"/>
        <v>16357.439668302535</v>
      </c>
      <c r="I101" s="156">
        <f t="shared" ca="1" si="2"/>
        <v>628.41463144365161</v>
      </c>
      <c r="J101" s="157">
        <f t="shared" ca="1" si="3"/>
        <v>531.83136333865468</v>
      </c>
      <c r="K101" s="158">
        <f t="shared" si="4"/>
        <v>0</v>
      </c>
      <c r="L101" s="159">
        <f t="shared" si="5"/>
        <v>0</v>
      </c>
      <c r="M101" s="157">
        <f t="shared" ca="1" si="13"/>
        <v>1160.2459947823063</v>
      </c>
      <c r="N101" s="160">
        <f t="shared" ca="1" si="6"/>
        <v>15729.025036858884</v>
      </c>
      <c r="O101" s="160">
        <f t="shared" si="7"/>
        <v>0.18232444526847122</v>
      </c>
      <c r="P101" s="160">
        <f t="shared" si="14"/>
        <v>0.18232444526847122</v>
      </c>
      <c r="R101" s="161">
        <f t="shared" ca="1" si="8"/>
        <v>1160.2459947823063</v>
      </c>
      <c r="S101" s="154">
        <f t="shared" si="9"/>
        <v>1649</v>
      </c>
      <c r="T101" s="162">
        <f t="shared" si="15"/>
        <v>5.4847373820439689</v>
      </c>
      <c r="U101" s="145">
        <f t="shared" ca="1" si="10"/>
        <v>211.54</v>
      </c>
      <c r="V101" s="150"/>
      <c r="Z101" s="155">
        <f>IF(B101&gt;$C$20,"",IF(COUNTIF(Feriados!A54:A69,EDATE($C$48,B100))=0,EDATE($C$48,B100),EDATE($C$48,B100)+VLOOKUP(EDATE($C$48,B100),Feriados!$A$2:$B$17,2,FALSE)))</f>
        <v>47540</v>
      </c>
    </row>
    <row r="102" spans="2:26" x14ac:dyDescent="0.3">
      <c r="B102" s="152">
        <f t="shared" si="11"/>
        <v>55</v>
      </c>
      <c r="C102" s="153">
        <f t="shared" si="0"/>
        <v>47568</v>
      </c>
      <c r="D102" s="154">
        <f t="shared" si="1"/>
        <v>2</v>
      </c>
      <c r="E102" s="155">
        <f t="shared" si="16"/>
        <v>47568</v>
      </c>
      <c r="F102" s="154">
        <f t="shared" si="17"/>
        <v>28</v>
      </c>
      <c r="G102" s="154">
        <f t="shared" si="12"/>
        <v>1677</v>
      </c>
      <c r="H102" s="156">
        <f t="shared" ca="1" si="18"/>
        <v>15729.025036858884</v>
      </c>
      <c r="I102" s="156">
        <f t="shared" ca="1" si="2"/>
        <v>699.05482805673864</v>
      </c>
      <c r="J102" s="157">
        <f t="shared" ca="1" si="3"/>
        <v>461.19116672556771</v>
      </c>
      <c r="K102" s="158">
        <f t="shared" si="4"/>
        <v>0</v>
      </c>
      <c r="L102" s="159">
        <f t="shared" si="5"/>
        <v>0</v>
      </c>
      <c r="M102" s="157">
        <f t="shared" ca="1" si="13"/>
        <v>1160.2459947823063</v>
      </c>
      <c r="N102" s="160">
        <f t="shared" ca="1" si="6"/>
        <v>15029.970208802146</v>
      </c>
      <c r="O102" s="160">
        <f t="shared" si="7"/>
        <v>0.1771307886440871</v>
      </c>
      <c r="P102" s="160">
        <f t="shared" si="14"/>
        <v>0.1771307886440871</v>
      </c>
      <c r="R102" s="161">
        <f t="shared" ca="1" si="8"/>
        <v>1160.2459947823063</v>
      </c>
      <c r="S102" s="154">
        <f t="shared" si="9"/>
        <v>1677</v>
      </c>
      <c r="T102" s="162">
        <f t="shared" si="15"/>
        <v>5.6455556775640323</v>
      </c>
      <c r="U102" s="145">
        <f t="shared" ca="1" si="10"/>
        <v>205.51</v>
      </c>
      <c r="V102" s="150"/>
      <c r="Z102" s="155">
        <f>IF(B102&gt;$C$20,"",IF(COUNTIF(Feriados!A55:A70,EDATE($C$48,B101))=0,EDATE($C$48,B101),EDATE($C$48,B101)+VLOOKUP(EDATE($C$48,B101),Feriados!$A$2:$B$17,2,FALSE)))</f>
        <v>47568</v>
      </c>
    </row>
    <row r="103" spans="2:26" x14ac:dyDescent="0.3">
      <c r="B103" s="152">
        <f t="shared" si="11"/>
        <v>56</v>
      </c>
      <c r="C103" s="153">
        <f t="shared" si="0"/>
        <v>47599</v>
      </c>
      <c r="D103" s="154">
        <f t="shared" si="1"/>
        <v>5</v>
      </c>
      <c r="E103" s="155">
        <f t="shared" si="16"/>
        <v>47599</v>
      </c>
      <c r="F103" s="154">
        <f t="shared" si="17"/>
        <v>31</v>
      </c>
      <c r="G103" s="154">
        <f t="shared" si="12"/>
        <v>1708</v>
      </c>
      <c r="H103" s="156">
        <f t="shared" ca="1" si="18"/>
        <v>15029.970208802146</v>
      </c>
      <c r="I103" s="156">
        <f t="shared" ca="1" si="2"/>
        <v>671.57480239660254</v>
      </c>
      <c r="J103" s="157">
        <f t="shared" ca="1" si="3"/>
        <v>488.6711923857037</v>
      </c>
      <c r="K103" s="158">
        <f t="shared" si="4"/>
        <v>0</v>
      </c>
      <c r="L103" s="159">
        <f t="shared" si="5"/>
        <v>0</v>
      </c>
      <c r="M103" s="157">
        <f t="shared" ca="1" si="13"/>
        <v>1160.2459947823063</v>
      </c>
      <c r="N103" s="160">
        <f t="shared" ca="1" si="6"/>
        <v>14358.395406405543</v>
      </c>
      <c r="O103" s="160">
        <f t="shared" si="7"/>
        <v>0.17155306367079784</v>
      </c>
      <c r="P103" s="160">
        <f t="shared" si="14"/>
        <v>0.17155306367079784</v>
      </c>
      <c r="R103" s="161">
        <f t="shared" ca="1" si="8"/>
        <v>1160.2459947823063</v>
      </c>
      <c r="S103" s="154">
        <f t="shared" si="9"/>
        <v>1708</v>
      </c>
      <c r="T103" s="162">
        <f t="shared" si="15"/>
        <v>5.8291104808859977</v>
      </c>
      <c r="U103" s="145">
        <f t="shared" ca="1" si="10"/>
        <v>199.04</v>
      </c>
      <c r="V103" s="150"/>
      <c r="Z103" s="155">
        <f>IF(B103&gt;$C$20,"",IF(COUNTIF(Feriados!A56:A71,EDATE($C$48,B102))=0,EDATE($C$48,B102),EDATE($C$48,B102)+VLOOKUP(EDATE($C$48,B102),Feriados!$A$2:$B$17,2,FALSE)))</f>
        <v>47599</v>
      </c>
    </row>
    <row r="104" spans="2:26" x14ac:dyDescent="0.3">
      <c r="B104" s="152">
        <f t="shared" si="11"/>
        <v>57</v>
      </c>
      <c r="C104" s="153">
        <f t="shared" si="0"/>
        <v>47630</v>
      </c>
      <c r="D104" s="154">
        <f t="shared" si="1"/>
        <v>1</v>
      </c>
      <c r="E104" s="155">
        <f t="shared" si="16"/>
        <v>47630</v>
      </c>
      <c r="F104" s="154">
        <f t="shared" si="17"/>
        <v>31</v>
      </c>
      <c r="G104" s="154">
        <f t="shared" si="12"/>
        <v>1739</v>
      </c>
      <c r="H104" s="156">
        <f t="shared" ca="1" si="18"/>
        <v>14358.395406405543</v>
      </c>
      <c r="I104" s="156">
        <f t="shared" ca="1" si="2"/>
        <v>693.40979307882935</v>
      </c>
      <c r="J104" s="157">
        <f t="shared" ca="1" si="3"/>
        <v>466.83620170347695</v>
      </c>
      <c r="K104" s="158">
        <f t="shared" si="4"/>
        <v>0</v>
      </c>
      <c r="L104" s="159">
        <f t="shared" si="5"/>
        <v>0</v>
      </c>
      <c r="M104" s="157">
        <f t="shared" ca="1" si="13"/>
        <v>1160.2459947823063</v>
      </c>
      <c r="N104" s="160">
        <f t="shared" ca="1" si="6"/>
        <v>13664.985613326713</v>
      </c>
      <c r="O104" s="160">
        <f t="shared" si="7"/>
        <v>0.16615097736606418</v>
      </c>
      <c r="P104" s="160">
        <f t="shared" si="14"/>
        <v>0.16615097736606418</v>
      </c>
      <c r="R104" s="161">
        <f t="shared" ca="1" si="8"/>
        <v>1160.2459947823063</v>
      </c>
      <c r="S104" s="154">
        <f t="shared" si="9"/>
        <v>1739</v>
      </c>
      <c r="T104" s="162">
        <f t="shared" si="15"/>
        <v>6.0186332292158333</v>
      </c>
      <c r="U104" s="145">
        <f t="shared" ca="1" si="10"/>
        <v>192.78</v>
      </c>
      <c r="V104" s="150"/>
      <c r="Z104" s="155">
        <f>IF(B104&gt;$C$20,"",IF(COUNTIF(Feriados!A57:A72,EDATE($C$48,B103))=0,EDATE($C$48,B103),EDATE($C$48,B103)+VLOOKUP(EDATE($C$48,B103),Feriados!$A$2:$B$17,2,FALSE)))</f>
        <v>47629</v>
      </c>
    </row>
    <row r="105" spans="2:26" x14ac:dyDescent="0.3">
      <c r="B105" s="152">
        <f t="shared" si="11"/>
        <v>58</v>
      </c>
      <c r="C105" s="153">
        <f t="shared" si="0"/>
        <v>47660</v>
      </c>
      <c r="D105" s="154">
        <f t="shared" si="1"/>
        <v>3</v>
      </c>
      <c r="E105" s="155">
        <f t="shared" si="16"/>
        <v>47660</v>
      </c>
      <c r="F105" s="154">
        <f t="shared" si="17"/>
        <v>30</v>
      </c>
      <c r="G105" s="154">
        <f t="shared" si="12"/>
        <v>1769</v>
      </c>
      <c r="H105" s="156">
        <f t="shared" ca="1" si="18"/>
        <v>13664.985613326713</v>
      </c>
      <c r="I105" s="156">
        <f t="shared" ca="1" si="2"/>
        <v>730.50967569392947</v>
      </c>
      <c r="J105" s="157">
        <f t="shared" ca="1" si="3"/>
        <v>429.73631908837689</v>
      </c>
      <c r="K105" s="158">
        <f t="shared" si="4"/>
        <v>0</v>
      </c>
      <c r="L105" s="159">
        <f t="shared" si="5"/>
        <v>0</v>
      </c>
      <c r="M105" s="157">
        <f t="shared" ca="1" si="13"/>
        <v>1160.2459947823063</v>
      </c>
      <c r="N105" s="160">
        <f t="shared" ca="1" si="6"/>
        <v>12934.475937632784</v>
      </c>
      <c r="O105" s="160">
        <f t="shared" si="7"/>
        <v>0.16108517260818386</v>
      </c>
      <c r="P105" s="160">
        <f t="shared" si="14"/>
        <v>0.16108517260818386</v>
      </c>
      <c r="R105" s="161">
        <f t="shared" ca="1" si="8"/>
        <v>1160.2459947823063</v>
      </c>
      <c r="S105" s="154">
        <f t="shared" si="9"/>
        <v>1769</v>
      </c>
      <c r="T105" s="162">
        <f t="shared" si="15"/>
        <v>6.2079073336790884</v>
      </c>
      <c r="U105" s="145">
        <f t="shared" ca="1" si="10"/>
        <v>186.9</v>
      </c>
      <c r="V105" s="150"/>
      <c r="Z105" s="155">
        <f>IF(B105&gt;$C$20,"",IF(COUNTIF(Feriados!A58:A73,EDATE($C$48,B104))=0,EDATE($C$48,B104),EDATE($C$48,B104)+VLOOKUP(EDATE($C$48,B104),Feriados!$A$2:$B$17,2,FALSE)))</f>
        <v>47660</v>
      </c>
    </row>
    <row r="106" spans="2:26" x14ac:dyDescent="0.3">
      <c r="B106" s="152">
        <f t="shared" si="11"/>
        <v>59</v>
      </c>
      <c r="C106" s="153">
        <f t="shared" si="0"/>
        <v>47690</v>
      </c>
      <c r="D106" s="154">
        <f t="shared" si="1"/>
        <v>5</v>
      </c>
      <c r="E106" s="155">
        <f t="shared" si="16"/>
        <v>47690</v>
      </c>
      <c r="F106" s="154">
        <f t="shared" si="17"/>
        <v>30</v>
      </c>
      <c r="G106" s="154">
        <f t="shared" si="12"/>
        <v>1799</v>
      </c>
      <c r="H106" s="156">
        <f t="shared" ca="1" si="18"/>
        <v>12934.475937632784</v>
      </c>
      <c r="I106" s="156">
        <f t="shared" ca="1" si="2"/>
        <v>753.48273603765915</v>
      </c>
      <c r="J106" s="157">
        <f t="shared" ca="1" si="3"/>
        <v>406.7632587446472</v>
      </c>
      <c r="K106" s="158">
        <f t="shared" si="4"/>
        <v>0</v>
      </c>
      <c r="L106" s="159">
        <f t="shared" si="5"/>
        <v>0</v>
      </c>
      <c r="M106" s="157">
        <f t="shared" ca="1" si="13"/>
        <v>1160.2459947823063</v>
      </c>
      <c r="N106" s="160">
        <f t="shared" ca="1" si="6"/>
        <v>12180.993201595125</v>
      </c>
      <c r="O106" s="160">
        <f t="shared" si="7"/>
        <v>0.15617382001334093</v>
      </c>
      <c r="P106" s="160">
        <f t="shared" si="14"/>
        <v>0.15617382001334093</v>
      </c>
      <c r="R106" s="161">
        <f t="shared" ca="1" si="8"/>
        <v>1160.2459947823063</v>
      </c>
      <c r="S106" s="154">
        <f t="shared" si="9"/>
        <v>1799</v>
      </c>
      <c r="T106" s="162">
        <f t="shared" si="15"/>
        <v>6.4031337341630508</v>
      </c>
      <c r="U106" s="145">
        <f t="shared" ca="1" si="10"/>
        <v>181.2</v>
      </c>
      <c r="V106" s="150"/>
      <c r="Z106" s="155">
        <f>IF(B106&gt;$C$20,"",IF(COUNTIF(Feriados!A59:A74,EDATE($C$48,B105))=0,EDATE($C$48,B105),EDATE($C$48,B105)+VLOOKUP(EDATE($C$48,B105),Feriados!$A$2:$B$17,2,FALSE)))</f>
        <v>47690</v>
      </c>
    </row>
    <row r="107" spans="2:26" x14ac:dyDescent="0.3">
      <c r="B107" s="152">
        <f t="shared" si="11"/>
        <v>60</v>
      </c>
      <c r="C107" s="153">
        <f t="shared" si="0"/>
        <v>47721</v>
      </c>
      <c r="D107" s="154">
        <f t="shared" si="1"/>
        <v>1</v>
      </c>
      <c r="E107" s="155">
        <f t="shared" si="16"/>
        <v>47721</v>
      </c>
      <c r="F107" s="154">
        <f t="shared" si="17"/>
        <v>31</v>
      </c>
      <c r="G107" s="154">
        <f t="shared" si="12"/>
        <v>1830</v>
      </c>
      <c r="H107" s="156">
        <f t="shared" ca="1" si="18"/>
        <v>12180.993201595125</v>
      </c>
      <c r="I107" s="156">
        <f t="shared" ca="1" si="2"/>
        <v>764.20392752793339</v>
      </c>
      <c r="J107" s="157">
        <f t="shared" ca="1" si="3"/>
        <v>396.04206725437291</v>
      </c>
      <c r="K107" s="158">
        <f t="shared" si="4"/>
        <v>0</v>
      </c>
      <c r="L107" s="159">
        <f t="shared" si="5"/>
        <v>0</v>
      </c>
      <c r="M107" s="157">
        <f t="shared" ca="1" si="13"/>
        <v>1160.2459947823063</v>
      </c>
      <c r="N107" s="160">
        <f t="shared" ca="1" si="6"/>
        <v>11416.789274067192</v>
      </c>
      <c r="O107" s="160">
        <f t="shared" si="7"/>
        <v>0.15125601536328256</v>
      </c>
      <c r="P107" s="160">
        <f t="shared" si="14"/>
        <v>0.15125601536328256</v>
      </c>
      <c r="R107" s="161">
        <f t="shared" ca="1" si="8"/>
        <v>1160.2459947823063</v>
      </c>
      <c r="S107" s="154">
        <f t="shared" si="9"/>
        <v>1830</v>
      </c>
      <c r="T107" s="162">
        <f t="shared" si="15"/>
        <v>6.6113197871125244</v>
      </c>
      <c r="U107" s="145">
        <f t="shared" ca="1" si="10"/>
        <v>175.49</v>
      </c>
      <c r="V107" s="150"/>
      <c r="Z107" s="155">
        <f>IF(B107&gt;$C$20,"",IF(COUNTIF(Feriados!A60:A75,EDATE($C$48,B106))=0,EDATE($C$48,B106),EDATE($C$48,B106)+VLOOKUP(EDATE($C$48,B106),Feriados!$A$2:$B$17,2,FALSE)))</f>
        <v>47721</v>
      </c>
    </row>
    <row r="108" spans="2:26" x14ac:dyDescent="0.3">
      <c r="B108" s="152">
        <f t="shared" si="11"/>
        <v>61</v>
      </c>
      <c r="C108" s="153">
        <f t="shared" si="0"/>
        <v>47752</v>
      </c>
      <c r="D108" s="154">
        <f t="shared" si="1"/>
        <v>4</v>
      </c>
      <c r="E108" s="155">
        <f t="shared" si="16"/>
        <v>47752</v>
      </c>
      <c r="F108" s="154">
        <f t="shared" si="17"/>
        <v>31</v>
      </c>
      <c r="G108" s="154">
        <f t="shared" si="12"/>
        <v>1861</v>
      </c>
      <c r="H108" s="156">
        <f t="shared" ca="1" si="18"/>
        <v>11416.789274067192</v>
      </c>
      <c r="I108" s="156">
        <f t="shared" ca="1" si="2"/>
        <v>789.05057987007899</v>
      </c>
      <c r="J108" s="157">
        <f t="shared" ca="1" si="3"/>
        <v>371.19541491222725</v>
      </c>
      <c r="K108" s="158">
        <f t="shared" si="4"/>
        <v>0</v>
      </c>
      <c r="L108" s="159">
        <f t="shared" si="5"/>
        <v>0</v>
      </c>
      <c r="M108" s="157">
        <f t="shared" ca="1" si="13"/>
        <v>1160.2459947823063</v>
      </c>
      <c r="N108" s="160">
        <f t="shared" ca="1" si="6"/>
        <v>10627.738694197113</v>
      </c>
      <c r="O108" s="160">
        <f t="shared" si="7"/>
        <v>0.14649306895114186</v>
      </c>
      <c r="P108" s="160">
        <f t="shared" si="14"/>
        <v>0.14649306895114186</v>
      </c>
      <c r="R108" s="161">
        <f t="shared" ca="1" si="8"/>
        <v>1160.2459947823063</v>
      </c>
      <c r="S108" s="154">
        <f t="shared" si="9"/>
        <v>1861</v>
      </c>
      <c r="T108" s="162">
        <f t="shared" si="15"/>
        <v>6.8262746246043902</v>
      </c>
      <c r="U108" s="145">
        <f t="shared" ca="1" si="10"/>
        <v>169.97</v>
      </c>
      <c r="Z108" s="155">
        <f>IF(B108&gt;$C$20,"",IF(COUNTIF(Feriados!A61:A76,EDATE($C$48,B107))=0,EDATE($C$48,B107),EDATE($C$48,B107)+VLOOKUP(EDATE($C$48,B107),Feriados!$A$2:$B$17,2,FALSE)))</f>
        <v>47752</v>
      </c>
    </row>
    <row r="109" spans="2:26" x14ac:dyDescent="0.3">
      <c r="B109" s="152">
        <f t="shared" si="11"/>
        <v>62</v>
      </c>
      <c r="C109" s="153">
        <f t="shared" si="0"/>
        <v>47782</v>
      </c>
      <c r="D109" s="154">
        <f t="shared" si="1"/>
        <v>6</v>
      </c>
      <c r="E109" s="155">
        <f t="shared" si="16"/>
        <v>47782</v>
      </c>
      <c r="F109" s="154">
        <f t="shared" si="17"/>
        <v>30</v>
      </c>
      <c r="G109" s="154">
        <f t="shared" si="12"/>
        <v>1891</v>
      </c>
      <c r="H109" s="156">
        <f t="shared" ca="1" si="18"/>
        <v>10627.738694197113</v>
      </c>
      <c r="I109" s="156">
        <f t="shared" ca="1" si="2"/>
        <v>826.0249838049283</v>
      </c>
      <c r="J109" s="157">
        <f t="shared" ca="1" si="3"/>
        <v>334.22101097737806</v>
      </c>
      <c r="K109" s="158">
        <f t="shared" si="4"/>
        <v>0</v>
      </c>
      <c r="L109" s="159">
        <f t="shared" si="5"/>
        <v>0</v>
      </c>
      <c r="M109" s="157">
        <f t="shared" ca="1" si="13"/>
        <v>1160.2459947823063</v>
      </c>
      <c r="N109" s="160">
        <f t="shared" ca="1" si="6"/>
        <v>9801.713710392185</v>
      </c>
      <c r="O109" s="160">
        <f t="shared" si="7"/>
        <v>0.14202661742943828</v>
      </c>
      <c r="P109" s="160">
        <f t="shared" si="14"/>
        <v>0.14202661742943828</v>
      </c>
      <c r="R109" s="161">
        <f t="shared" ca="1" si="8"/>
        <v>1160.2459947823063</v>
      </c>
      <c r="S109" s="154">
        <f t="shared" si="9"/>
        <v>1891</v>
      </c>
      <c r="T109" s="162">
        <f t="shared" si="15"/>
        <v>7.0409474526678135</v>
      </c>
      <c r="U109" s="145">
        <f t="shared" ca="1" si="10"/>
        <v>164.79</v>
      </c>
      <c r="Z109" s="155">
        <f>IF(B109&gt;$C$20,"",IF(COUNTIF(Feriados!A62:A77,EDATE($C$48,B108))=0,EDATE($C$48,B108),EDATE($C$48,B108)+VLOOKUP(EDATE($C$48,B108),Feriados!$A$2:$B$17,2,FALSE)))</f>
        <v>47782</v>
      </c>
    </row>
    <row r="110" spans="2:26" x14ac:dyDescent="0.3">
      <c r="B110" s="152">
        <f t="shared" si="11"/>
        <v>63</v>
      </c>
      <c r="C110" s="153">
        <f t="shared" si="0"/>
        <v>47813</v>
      </c>
      <c r="D110" s="154">
        <f t="shared" si="1"/>
        <v>2</v>
      </c>
      <c r="E110" s="155">
        <f t="shared" si="16"/>
        <v>47813</v>
      </c>
      <c r="F110" s="154">
        <f t="shared" si="17"/>
        <v>31</v>
      </c>
      <c r="G110" s="154">
        <f t="shared" si="12"/>
        <v>1922</v>
      </c>
      <c r="H110" s="156">
        <f t="shared" ca="1" si="18"/>
        <v>9801.713710392185</v>
      </c>
      <c r="I110" s="156">
        <f t="shared" ca="1" si="2"/>
        <v>841.56172197679246</v>
      </c>
      <c r="J110" s="157">
        <f t="shared" ca="1" si="3"/>
        <v>318.68427280551384</v>
      </c>
      <c r="K110" s="158">
        <f t="shared" si="4"/>
        <v>0</v>
      </c>
      <c r="L110" s="159">
        <f t="shared" si="5"/>
        <v>0</v>
      </c>
      <c r="M110" s="157">
        <f t="shared" ca="1" si="13"/>
        <v>1160.2459947823063</v>
      </c>
      <c r="N110" s="160">
        <f t="shared" ca="1" si="6"/>
        <v>8960.1519884153931</v>
      </c>
      <c r="O110" s="160">
        <f t="shared" si="7"/>
        <v>0.13755429832008387</v>
      </c>
      <c r="P110" s="160">
        <f t="shared" si="14"/>
        <v>0.13755429832008387</v>
      </c>
      <c r="R110" s="161">
        <f t="shared" ca="1" si="8"/>
        <v>1160.2459947823063</v>
      </c>
      <c r="S110" s="154">
        <f t="shared" si="9"/>
        <v>1922</v>
      </c>
      <c r="T110" s="162">
        <f t="shared" si="15"/>
        <v>7.2698708392550433</v>
      </c>
      <c r="U110" s="145">
        <f t="shared" ca="1" si="10"/>
        <v>159.6</v>
      </c>
      <c r="Z110" s="155">
        <f>IF(B110&gt;$C$20,"",IF(COUNTIF(Feriados!A63:A78,EDATE($C$48,B109))=0,EDATE($C$48,B109),EDATE($C$48,B109)+VLOOKUP(EDATE($C$48,B109),Feriados!$A$2:$B$17,2,FALSE)))</f>
        <v>47813</v>
      </c>
    </row>
    <row r="111" spans="2:26" x14ac:dyDescent="0.3">
      <c r="B111" s="152">
        <f t="shared" si="11"/>
        <v>64</v>
      </c>
      <c r="C111" s="153">
        <f t="shared" si="0"/>
        <v>47843</v>
      </c>
      <c r="D111" s="154">
        <f t="shared" si="1"/>
        <v>4</v>
      </c>
      <c r="E111" s="155">
        <f t="shared" si="16"/>
        <v>47843</v>
      </c>
      <c r="F111" s="154">
        <f t="shared" si="17"/>
        <v>30</v>
      </c>
      <c r="G111" s="154">
        <f t="shared" si="12"/>
        <v>1952</v>
      </c>
      <c r="H111" s="156">
        <f t="shared" ca="1" si="18"/>
        <v>8960.1519884153931</v>
      </c>
      <c r="I111" s="156">
        <f t="shared" ca="1" si="2"/>
        <v>878.46723240886865</v>
      </c>
      <c r="J111" s="157">
        <f t="shared" ca="1" si="3"/>
        <v>281.77876237343764</v>
      </c>
      <c r="K111" s="158">
        <f t="shared" si="4"/>
        <v>0</v>
      </c>
      <c r="L111" s="159">
        <f t="shared" si="5"/>
        <v>0</v>
      </c>
      <c r="M111" s="157">
        <f t="shared" ca="1" si="13"/>
        <v>1160.2459947823063</v>
      </c>
      <c r="N111" s="160">
        <f t="shared" ca="1" si="6"/>
        <v>8081.6847560065244</v>
      </c>
      <c r="O111" s="160">
        <f t="shared" si="7"/>
        <v>0.13336038246148776</v>
      </c>
      <c r="P111" s="160">
        <f t="shared" si="14"/>
        <v>0.13336038246148776</v>
      </c>
      <c r="R111" s="161">
        <f t="shared" ca="1" si="8"/>
        <v>1160.2459947823063</v>
      </c>
      <c r="S111" s="154">
        <f t="shared" si="9"/>
        <v>1952</v>
      </c>
      <c r="T111" s="162">
        <f t="shared" si="15"/>
        <v>7.4984938904129237</v>
      </c>
      <c r="U111" s="145">
        <f t="shared" ca="1" si="10"/>
        <v>154.72999999999999</v>
      </c>
      <c r="Z111" s="155">
        <f>IF(B111&gt;$C$20,"",IF(COUNTIF(Feriados!A64:A79,EDATE($C$48,B110))=0,EDATE($C$48,B110),EDATE($C$48,B110)+VLOOKUP(EDATE($C$48,B110),Feriados!$A$2:$B$17,2,FALSE)))</f>
        <v>47843</v>
      </c>
    </row>
    <row r="112" spans="2:26" x14ac:dyDescent="0.3">
      <c r="B112" s="152">
        <f t="shared" si="11"/>
        <v>65</v>
      </c>
      <c r="C112" s="153">
        <f t="shared" ref="C112:C119" si="19">IFERROR(IF(D112=7,E112+1,E112),"")</f>
        <v>47875</v>
      </c>
      <c r="D112" s="154">
        <f t="shared" ref="D112:D119" si="20">IFERROR(IF(B112&lt;=$C$20,WEEKDAY(E112,2),""),"")</f>
        <v>1</v>
      </c>
      <c r="E112" s="155">
        <f t="shared" si="16"/>
        <v>47875</v>
      </c>
      <c r="F112" s="154">
        <f t="shared" si="17"/>
        <v>32</v>
      </c>
      <c r="G112" s="154">
        <f t="shared" si="12"/>
        <v>1984</v>
      </c>
      <c r="H112" s="156">
        <f t="shared" ca="1" si="18"/>
        <v>8081.6847560065244</v>
      </c>
      <c r="I112" s="156">
        <f t="shared" ref="I112:I119" ca="1" si="21">IF(B112&gt;Y$16,"",M112-L112-K112-J112)</f>
        <v>888.86830257678116</v>
      </c>
      <c r="J112" s="157">
        <f t="shared" ref="J112:J119" ca="1" si="22">IF(B112&gt;Y$16,"",((1+Y$21)^(F112/360)-1)*H112)</f>
        <v>271.37769220552519</v>
      </c>
      <c r="K112" s="158">
        <f t="shared" ref="K112:K119" si="23">IF(B112&gt;Y$16,"",Y$23*Y$24)</f>
        <v>0</v>
      </c>
      <c r="L112" s="159">
        <f t="shared" ref="L112:L119" si="24">IF(B112&gt;Y$16,"",Y$25)</f>
        <v>0</v>
      </c>
      <c r="M112" s="157">
        <f t="shared" ca="1" si="13"/>
        <v>1160.2459947823063</v>
      </c>
      <c r="N112" s="160">
        <f t="shared" ref="N112:N119" ca="1" si="25">IF(B112&gt;Y$16,"",H112-I112)</f>
        <v>7192.816453429743</v>
      </c>
      <c r="O112" s="160">
        <f t="shared" ref="O112:O119" si="26">IFERROR(IF(AND(MONTH(C112)=7,C$22=2),2/(1+Y$22)^(G112/360),IF(AND(MONTH(C112)=12,C$23=2),2/(1+Y$22)^(G112/360),1/(1+Y$22)^(G112/360))),"")</f>
        <v>0.12902771608332711</v>
      </c>
      <c r="P112" s="160">
        <f t="shared" si="14"/>
        <v>0.12902771608332711</v>
      </c>
      <c r="R112" s="161">
        <f t="shared" ref="R112:R119" ca="1" si="27">IFERROR(I112+J112+K112+L112,"")</f>
        <v>1160.2459947823063</v>
      </c>
      <c r="S112" s="154">
        <f t="shared" ref="S112:S119" si="28">G112</f>
        <v>1984</v>
      </c>
      <c r="T112" s="162">
        <f t="shared" si="15"/>
        <v>7.750288670277901</v>
      </c>
      <c r="U112" s="145">
        <f t="shared" ref="U112:U119" ca="1" si="29">IFERROR(ROUND(R112/T112,2),"")</f>
        <v>149.69999999999999</v>
      </c>
      <c r="Z112" s="155">
        <f>IF(B112&gt;$C$20,"",IF(COUNTIF(Feriados!A65:A80,EDATE($C$48,B111))=0,EDATE($C$48,B111),EDATE($C$48,B111)+VLOOKUP(EDATE($C$48,B111),Feriados!$A$2:$B$17,2,FALSE)))</f>
        <v>47874</v>
      </c>
    </row>
    <row r="113" spans="2:26" x14ac:dyDescent="0.3">
      <c r="B113" s="152">
        <f t="shared" ref="B113:B119" si="30">IF(B112&gt;=$C$20,"",B112+1)</f>
        <v>66</v>
      </c>
      <c r="C113" s="153">
        <f t="shared" si="19"/>
        <v>47905</v>
      </c>
      <c r="D113" s="154">
        <f t="shared" si="20"/>
        <v>3</v>
      </c>
      <c r="E113" s="155">
        <f t="shared" si="16"/>
        <v>47905</v>
      </c>
      <c r="F113" s="154">
        <f t="shared" si="17"/>
        <v>30</v>
      </c>
      <c r="G113" s="154">
        <f t="shared" ref="G113:G119" si="31">IFERROR(F113+G112,"")</f>
        <v>2014</v>
      </c>
      <c r="H113" s="156">
        <f t="shared" ca="1" si="18"/>
        <v>7192.816453429743</v>
      </c>
      <c r="I113" s="156">
        <f t="shared" ca="1" si="21"/>
        <v>934.04638110977419</v>
      </c>
      <c r="J113" s="157">
        <f t="shared" ca="1" si="22"/>
        <v>226.19961367253208</v>
      </c>
      <c r="K113" s="158">
        <f t="shared" si="23"/>
        <v>0</v>
      </c>
      <c r="L113" s="159">
        <f t="shared" si="24"/>
        <v>0</v>
      </c>
      <c r="M113" s="157">
        <f t="shared" ref="M113:M119" ca="1" si="32">IF(B113&gt;Y$16,"",IF(B113=Y$16,H113+J113+K113+L113,IF(AND(Y$19=2,MONTH(C113)=7),2*Y$26,IF(AND(Y$20=2,MONTH(C113)=12),2*Y$26,Y$26))))</f>
        <v>1160.2459947823063</v>
      </c>
      <c r="N113" s="160">
        <f t="shared" ca="1" si="25"/>
        <v>6258.7700723199687</v>
      </c>
      <c r="O113" s="160">
        <f t="shared" si="26"/>
        <v>0.12509376860739219</v>
      </c>
      <c r="P113" s="160">
        <f t="shared" ref="P113:P119" si="33">IFERROR(1/(1+Y$22)^(G113/360),"")</f>
        <v>0.12509376860739219</v>
      </c>
      <c r="R113" s="161">
        <f t="shared" ca="1" si="27"/>
        <v>1160.2459947823063</v>
      </c>
      <c r="S113" s="154">
        <f t="shared" si="28"/>
        <v>2014</v>
      </c>
      <c r="T113" s="162">
        <f t="shared" ref="T113:T119" si="34">IFERROR((1+Y$28)^(S113/360),"")</f>
        <v>7.9940199114968777</v>
      </c>
      <c r="U113" s="145">
        <f t="shared" ca="1" si="29"/>
        <v>145.13999999999999</v>
      </c>
      <c r="Z113" s="155">
        <f>IF(B113&gt;$C$20,"",IF(COUNTIF(Feriados!A66:A81,EDATE($C$48,B112))=0,EDATE($C$48,B112),EDATE($C$48,B112)+VLOOKUP(EDATE($C$48,B112),Feriados!$A$2:$B$17,2,FALSE)))</f>
        <v>47905</v>
      </c>
    </row>
    <row r="114" spans="2:26" x14ac:dyDescent="0.3">
      <c r="B114" s="152">
        <f t="shared" si="30"/>
        <v>67</v>
      </c>
      <c r="C114" s="153">
        <f t="shared" si="19"/>
        <v>47933</v>
      </c>
      <c r="D114" s="154">
        <f t="shared" si="20"/>
        <v>3</v>
      </c>
      <c r="E114" s="155">
        <f t="shared" ref="E114:E119" si="35">IF(B114&gt;$Y$16,"",IF(WEEKDAY(Z114,2)=7,Z114+1,Z114))</f>
        <v>47933</v>
      </c>
      <c r="F114" s="154">
        <f t="shared" ref="F114:F119" si="36">IF(B114&gt;Y$16,"",C114-C113)</f>
        <v>28</v>
      </c>
      <c r="G114" s="154">
        <f t="shared" si="31"/>
        <v>2042</v>
      </c>
      <c r="H114" s="156">
        <f t="shared" ref="H114:H119" ca="1" si="37">IF(B114&gt;C$20,"",N113)</f>
        <v>6258.7700723199687</v>
      </c>
      <c r="I114" s="156">
        <f t="shared" ca="1" si="21"/>
        <v>976.73242892833844</v>
      </c>
      <c r="J114" s="157">
        <f t="shared" ca="1" si="22"/>
        <v>183.51356585396789</v>
      </c>
      <c r="K114" s="158">
        <f t="shared" si="23"/>
        <v>0</v>
      </c>
      <c r="L114" s="159">
        <f t="shared" si="24"/>
        <v>0</v>
      </c>
      <c r="M114" s="157">
        <f t="shared" ca="1" si="32"/>
        <v>1160.2459947823063</v>
      </c>
      <c r="N114" s="160">
        <f t="shared" ca="1" si="25"/>
        <v>5282.0376433916299</v>
      </c>
      <c r="O114" s="160">
        <f t="shared" si="26"/>
        <v>0.12153037325993732</v>
      </c>
      <c r="P114" s="160">
        <f t="shared" si="33"/>
        <v>0.12153037325993732</v>
      </c>
      <c r="R114" s="161">
        <f t="shared" ca="1" si="27"/>
        <v>1160.2459947823063</v>
      </c>
      <c r="S114" s="154">
        <f t="shared" si="28"/>
        <v>2042</v>
      </c>
      <c r="T114" s="162">
        <f t="shared" si="34"/>
        <v>8.2284130222279703</v>
      </c>
      <c r="U114" s="145">
        <f t="shared" ca="1" si="29"/>
        <v>141</v>
      </c>
      <c r="Z114" s="155">
        <f>IF(B114&gt;$C$20,"",IF(COUNTIF(Feriados!A67:A82,EDATE($C$48,B113))=0,EDATE($C$48,B113),EDATE($C$48,B113)+VLOOKUP(EDATE($C$48,B113),Feriados!$A$2:$B$17,2,FALSE)))</f>
        <v>47933</v>
      </c>
    </row>
    <row r="115" spans="2:26" x14ac:dyDescent="0.3">
      <c r="B115" s="152">
        <f t="shared" si="30"/>
        <v>68</v>
      </c>
      <c r="C115" s="153">
        <f t="shared" si="19"/>
        <v>47964</v>
      </c>
      <c r="D115" s="154">
        <f t="shared" si="20"/>
        <v>6</v>
      </c>
      <c r="E115" s="155">
        <f t="shared" si="35"/>
        <v>47964</v>
      </c>
      <c r="F115" s="154">
        <f t="shared" si="36"/>
        <v>31</v>
      </c>
      <c r="G115" s="154">
        <f t="shared" si="31"/>
        <v>2073</v>
      </c>
      <c r="H115" s="156">
        <f t="shared" ca="1" si="37"/>
        <v>5282.0376433916299</v>
      </c>
      <c r="I115" s="156">
        <f t="shared" ca="1" si="21"/>
        <v>988.51048249827534</v>
      </c>
      <c r="J115" s="157">
        <f t="shared" ca="1" si="22"/>
        <v>171.73551228403096</v>
      </c>
      <c r="K115" s="158">
        <f t="shared" si="23"/>
        <v>0</v>
      </c>
      <c r="L115" s="159">
        <f t="shared" si="24"/>
        <v>0</v>
      </c>
      <c r="M115" s="157">
        <f t="shared" ca="1" si="32"/>
        <v>1160.2459947823063</v>
      </c>
      <c r="N115" s="160">
        <f t="shared" ca="1" si="25"/>
        <v>4293.5271608933544</v>
      </c>
      <c r="O115" s="160">
        <f t="shared" si="26"/>
        <v>0.11770346658191663</v>
      </c>
      <c r="P115" s="160">
        <f t="shared" si="33"/>
        <v>0.11770346658191663</v>
      </c>
      <c r="R115" s="161">
        <f t="shared" ca="1" si="27"/>
        <v>1160.2459947823063</v>
      </c>
      <c r="S115" s="154">
        <f t="shared" si="28"/>
        <v>2073</v>
      </c>
      <c r="T115" s="162">
        <f t="shared" si="34"/>
        <v>8.4959446559959773</v>
      </c>
      <c r="U115" s="145">
        <f t="shared" ca="1" si="29"/>
        <v>136.56</v>
      </c>
      <c r="Z115" s="155">
        <f>IF(B115&gt;$C$20,"",IF(COUNTIF(Feriados!A68:A83,EDATE($C$48,B114))=0,EDATE($C$48,B114),EDATE($C$48,B114)+VLOOKUP(EDATE($C$48,B114),Feriados!$A$2:$B$17,2,FALSE)))</f>
        <v>47964</v>
      </c>
    </row>
    <row r="116" spans="2:26" x14ac:dyDescent="0.3">
      <c r="B116" s="152">
        <f t="shared" si="30"/>
        <v>69</v>
      </c>
      <c r="C116" s="153">
        <f t="shared" si="19"/>
        <v>47994</v>
      </c>
      <c r="D116" s="154">
        <f t="shared" si="20"/>
        <v>1</v>
      </c>
      <c r="E116" s="155">
        <f t="shared" si="35"/>
        <v>47994</v>
      </c>
      <c r="F116" s="154">
        <f t="shared" si="36"/>
        <v>30</v>
      </c>
      <c r="G116" s="154">
        <f t="shared" si="31"/>
        <v>2103</v>
      </c>
      <c r="H116" s="156">
        <f t="shared" ca="1" si="37"/>
        <v>4293.5271608933544</v>
      </c>
      <c r="I116" s="156">
        <f t="shared" ca="1" si="21"/>
        <v>1025.2231992786747</v>
      </c>
      <c r="J116" s="157">
        <f t="shared" ca="1" si="22"/>
        <v>135.02279550363153</v>
      </c>
      <c r="K116" s="158">
        <f t="shared" si="23"/>
        <v>0</v>
      </c>
      <c r="L116" s="159">
        <f t="shared" si="24"/>
        <v>0</v>
      </c>
      <c r="M116" s="157">
        <f t="shared" ca="1" si="32"/>
        <v>1160.2459947823063</v>
      </c>
      <c r="N116" s="160">
        <f t="shared" ca="1" si="25"/>
        <v>3268.3039616146798</v>
      </c>
      <c r="O116" s="160">
        <f t="shared" si="26"/>
        <v>0.11411478603075749</v>
      </c>
      <c r="P116" s="160">
        <f t="shared" si="33"/>
        <v>0.11411478603075749</v>
      </c>
      <c r="R116" s="161">
        <f t="shared" ca="1" si="27"/>
        <v>1160.2459947823063</v>
      </c>
      <c r="S116" s="154">
        <f t="shared" si="28"/>
        <v>2103</v>
      </c>
      <c r="T116" s="162">
        <f t="shared" si="34"/>
        <v>8.7631253023472322</v>
      </c>
      <c r="U116" s="145">
        <f t="shared" ca="1" si="29"/>
        <v>132.4</v>
      </c>
      <c r="Z116" s="155">
        <f>IF(B116&gt;$C$20,"",IF(COUNTIF(Feriados!A69:A84,EDATE($C$48,B115))=0,EDATE($C$48,B115),EDATE($C$48,B115)+VLOOKUP(EDATE($C$48,B115),Feriados!$A$2:$B$17,2,FALSE)))</f>
        <v>47994</v>
      </c>
    </row>
    <row r="117" spans="2:26" x14ac:dyDescent="0.3">
      <c r="B117" s="152">
        <f t="shared" si="30"/>
        <v>70</v>
      </c>
      <c r="C117" s="153">
        <f t="shared" si="19"/>
        <v>48025</v>
      </c>
      <c r="D117" s="154">
        <f t="shared" si="20"/>
        <v>4</v>
      </c>
      <c r="E117" s="155">
        <f t="shared" si="35"/>
        <v>48025</v>
      </c>
      <c r="F117" s="154">
        <f t="shared" si="36"/>
        <v>31</v>
      </c>
      <c r="G117" s="154">
        <f t="shared" si="31"/>
        <v>2134</v>
      </c>
      <c r="H117" s="156">
        <f t="shared" ca="1" si="37"/>
        <v>3268.3039616146798</v>
      </c>
      <c r="I117" s="156">
        <f t="shared" ca="1" si="21"/>
        <v>1053.9832429728699</v>
      </c>
      <c r="J117" s="157">
        <f t="shared" ca="1" si="22"/>
        <v>106.26275180943637</v>
      </c>
      <c r="K117" s="158">
        <f t="shared" si="23"/>
        <v>0</v>
      </c>
      <c r="L117" s="159">
        <f t="shared" si="24"/>
        <v>0</v>
      </c>
      <c r="M117" s="157">
        <f t="shared" ca="1" si="32"/>
        <v>1160.2459947823063</v>
      </c>
      <c r="N117" s="160">
        <f t="shared" ca="1" si="25"/>
        <v>2214.3207186418099</v>
      </c>
      <c r="O117" s="160">
        <f t="shared" si="26"/>
        <v>0.11052139102169301</v>
      </c>
      <c r="P117" s="160">
        <f t="shared" si="33"/>
        <v>0.11052139102169301</v>
      </c>
      <c r="R117" s="161">
        <f t="shared" ca="1" si="27"/>
        <v>1160.2459947823063</v>
      </c>
      <c r="S117" s="154">
        <f t="shared" si="28"/>
        <v>2134</v>
      </c>
      <c r="T117" s="162">
        <f t="shared" si="34"/>
        <v>9.0480421171349192</v>
      </c>
      <c r="U117" s="145">
        <f t="shared" ca="1" si="29"/>
        <v>128.22999999999999</v>
      </c>
      <c r="Z117" s="155">
        <f>IF(B117&gt;$C$20,"",IF(COUNTIF(Feriados!A70:A85,EDATE($C$48,B116))=0,EDATE($C$48,B116),EDATE($C$48,B116)+VLOOKUP(EDATE($C$48,B116),Feriados!$A$2:$B$17,2,FALSE)))</f>
        <v>48025</v>
      </c>
    </row>
    <row r="118" spans="2:26" x14ac:dyDescent="0.3">
      <c r="B118" s="152">
        <f t="shared" si="30"/>
        <v>71</v>
      </c>
      <c r="C118" s="153">
        <f t="shared" si="19"/>
        <v>48055</v>
      </c>
      <c r="D118" s="154">
        <f t="shared" si="20"/>
        <v>6</v>
      </c>
      <c r="E118" s="155">
        <f t="shared" si="35"/>
        <v>48055</v>
      </c>
      <c r="F118" s="154">
        <f t="shared" si="36"/>
        <v>30</v>
      </c>
      <c r="G118" s="154">
        <f t="shared" si="31"/>
        <v>2164</v>
      </c>
      <c r="H118" s="156">
        <f t="shared" ca="1" si="37"/>
        <v>2214.3207186418099</v>
      </c>
      <c r="I118" s="156">
        <f t="shared" ca="1" si="21"/>
        <v>1090.610060882585</v>
      </c>
      <c r="J118" s="157">
        <f t="shared" ca="1" si="22"/>
        <v>69.635933899721252</v>
      </c>
      <c r="K118" s="158">
        <f t="shared" si="23"/>
        <v>0</v>
      </c>
      <c r="L118" s="159">
        <f t="shared" si="24"/>
        <v>0</v>
      </c>
      <c r="M118" s="157">
        <f t="shared" ca="1" si="32"/>
        <v>1160.2459947823063</v>
      </c>
      <c r="N118" s="160">
        <f t="shared" ca="1" si="25"/>
        <v>1123.7106577592249</v>
      </c>
      <c r="O118" s="160">
        <f t="shared" si="26"/>
        <v>0.10715168596572025</v>
      </c>
      <c r="P118" s="160">
        <f t="shared" si="33"/>
        <v>0.10715168596572025</v>
      </c>
      <c r="R118" s="161">
        <f t="shared" ca="1" si="27"/>
        <v>1160.2459947823063</v>
      </c>
      <c r="S118" s="154">
        <f t="shared" si="28"/>
        <v>2164</v>
      </c>
      <c r="T118" s="162">
        <f t="shared" si="34"/>
        <v>9.3325851360637611</v>
      </c>
      <c r="U118" s="145">
        <f t="shared" ca="1" si="29"/>
        <v>124.32</v>
      </c>
      <c r="Z118" s="155">
        <f>IF(B118&gt;$C$20,"",IF(COUNTIF(Feriados!A71:A86,EDATE($C$48,B117))=0,EDATE($C$48,B117),EDATE($C$48,B117)+VLOOKUP(EDATE($C$48,B117),Feriados!$A$2:$B$17,2,FALSE)))</f>
        <v>48055</v>
      </c>
    </row>
    <row r="119" spans="2:26" x14ac:dyDescent="0.3">
      <c r="B119" s="152">
        <f t="shared" si="30"/>
        <v>72</v>
      </c>
      <c r="C119" s="153">
        <f t="shared" si="19"/>
        <v>48086</v>
      </c>
      <c r="D119" s="154">
        <f t="shared" si="20"/>
        <v>2</v>
      </c>
      <c r="E119" s="155">
        <f t="shared" si="35"/>
        <v>48086</v>
      </c>
      <c r="F119" s="154">
        <f t="shared" si="36"/>
        <v>31</v>
      </c>
      <c r="G119" s="154">
        <f t="shared" si="31"/>
        <v>2195</v>
      </c>
      <c r="H119" s="156">
        <f t="shared" ca="1" si="37"/>
        <v>1123.7106577592249</v>
      </c>
      <c r="I119" s="156">
        <f t="shared" ca="1" si="21"/>
        <v>1123.7106577592249</v>
      </c>
      <c r="J119" s="157">
        <f t="shared" ca="1" si="22"/>
        <v>36.535337022965919</v>
      </c>
      <c r="K119" s="158">
        <f t="shared" si="23"/>
        <v>0</v>
      </c>
      <c r="L119" s="159">
        <f t="shared" si="24"/>
        <v>0</v>
      </c>
      <c r="M119" s="157">
        <f t="shared" ca="1" si="32"/>
        <v>1160.2459947821908</v>
      </c>
      <c r="N119" s="160">
        <f t="shared" ca="1" si="25"/>
        <v>0</v>
      </c>
      <c r="O119" s="160">
        <f t="shared" si="26"/>
        <v>0.1037775541204545</v>
      </c>
      <c r="P119" s="160">
        <f t="shared" si="33"/>
        <v>0.1037775541204545</v>
      </c>
      <c r="R119" s="161">
        <f t="shared" ca="1" si="27"/>
        <v>1160.2459947821908</v>
      </c>
      <c r="S119" s="154">
        <f t="shared" si="28"/>
        <v>2195</v>
      </c>
      <c r="T119" s="162">
        <f t="shared" si="34"/>
        <v>9.6360168843225651</v>
      </c>
      <c r="U119" s="145">
        <f t="shared" ca="1" si="29"/>
        <v>120.41</v>
      </c>
      <c r="Z119" s="155">
        <f>IF(B119&gt;$C$20,"",IF(COUNTIF(Feriados!A72:A87,EDATE($C$48,B118))=0,EDATE($C$48,B118),EDATE($C$48,B118)+VLOOKUP(EDATE($C$48,B118),Feriados!$A$2:$B$17,2,FALSE)))</f>
        <v>48086</v>
      </c>
    </row>
    <row r="120" spans="2:26" x14ac:dyDescent="0.3">
      <c r="J120" s="163">
        <f ca="1">SUM(J48:J119)</f>
        <v>51107.711624325922</v>
      </c>
      <c r="M120" s="163">
        <f ca="1">SUM(M48:M119)</f>
        <v>83537.711624326039</v>
      </c>
    </row>
    <row r="122" spans="2:26" ht="12" customHeight="1" x14ac:dyDescent="0.3">
      <c r="B122" s="166" t="s">
        <v>94</v>
      </c>
      <c r="C122" s="166"/>
      <c r="D122" s="166"/>
      <c r="E122" s="166"/>
      <c r="F122" s="166"/>
      <c r="G122" s="166"/>
      <c r="H122" s="166"/>
      <c r="I122" s="166"/>
      <c r="J122" s="166"/>
      <c r="K122" s="166"/>
      <c r="L122" s="166"/>
      <c r="M122" s="166"/>
    </row>
    <row r="123" spans="2:26" ht="12" customHeight="1" x14ac:dyDescent="0.3">
      <c r="B123" s="166"/>
      <c r="C123" s="166"/>
      <c r="D123" s="166"/>
      <c r="E123" s="166"/>
      <c r="F123" s="166"/>
      <c r="G123" s="166"/>
      <c r="H123" s="166"/>
      <c r="I123" s="166"/>
      <c r="J123" s="166"/>
      <c r="K123" s="166"/>
      <c r="L123" s="166"/>
      <c r="M123" s="166"/>
    </row>
    <row r="124" spans="2:26" ht="12" customHeight="1" x14ac:dyDescent="0.3">
      <c r="B124" s="166"/>
      <c r="C124" s="166"/>
      <c r="D124" s="166"/>
      <c r="E124" s="166"/>
      <c r="F124" s="166"/>
      <c r="G124" s="166"/>
      <c r="H124" s="166"/>
      <c r="I124" s="166"/>
      <c r="J124" s="166"/>
      <c r="K124" s="166"/>
      <c r="L124" s="166"/>
      <c r="M124" s="166"/>
    </row>
    <row r="125" spans="2:26" ht="12" customHeight="1" x14ac:dyDescent="0.3">
      <c r="B125" s="166"/>
      <c r="C125" s="166"/>
      <c r="D125" s="166"/>
      <c r="E125" s="166"/>
      <c r="F125" s="166"/>
      <c r="G125" s="166"/>
      <c r="H125" s="166"/>
      <c r="I125" s="166"/>
      <c r="J125" s="166"/>
      <c r="K125" s="166"/>
      <c r="L125" s="166"/>
      <c r="M125" s="166"/>
    </row>
    <row r="126" spans="2:26" ht="12" customHeight="1" x14ac:dyDescent="0.3">
      <c r="B126" s="166"/>
      <c r="C126" s="166"/>
      <c r="D126" s="166"/>
      <c r="E126" s="166"/>
      <c r="F126" s="166"/>
      <c r="G126" s="166"/>
      <c r="H126" s="166"/>
      <c r="I126" s="166"/>
      <c r="J126" s="166"/>
      <c r="K126" s="166"/>
      <c r="L126" s="166"/>
      <c r="M126" s="166"/>
    </row>
    <row r="127" spans="2:26" x14ac:dyDescent="0.3">
      <c r="B127" s="166"/>
      <c r="C127" s="166"/>
      <c r="D127" s="166"/>
      <c r="E127" s="166"/>
      <c r="F127" s="166"/>
      <c r="G127" s="166"/>
      <c r="H127" s="166"/>
      <c r="I127" s="166"/>
      <c r="J127" s="166"/>
      <c r="K127" s="166"/>
      <c r="L127" s="166"/>
      <c r="M127" s="166"/>
    </row>
  </sheetData>
  <mergeCells count="12">
    <mergeCell ref="AC29:AD29"/>
    <mergeCell ref="AC30:AD30"/>
    <mergeCell ref="B122:M127"/>
    <mergeCell ref="B2:M4"/>
    <mergeCell ref="AC28:AD28"/>
    <mergeCell ref="AC15:AD15"/>
    <mergeCell ref="AC16:AD16"/>
    <mergeCell ref="AC3:AD3"/>
    <mergeCell ref="AC4:AD4"/>
    <mergeCell ref="AC5:AD5"/>
    <mergeCell ref="B8:B9"/>
    <mergeCell ref="B6:I7"/>
  </mergeCells>
  <dataValidations xWindow="271" yWindow="623" count="3">
    <dataValidation allowBlank="1" showInputMessage="1" showErrorMessage="1" prompt="Elegir un monto entre S/1,000 y S/40,000" sqref="C16 Y8" xr:uid="{C538AB3F-6437-4335-8A4C-5A9824C39E65}"/>
    <dataValidation type="list" allowBlank="1" showInputMessage="1" showErrorMessage="1" sqref="C34 Y15" xr:uid="{26B29289-C97D-49DD-A26C-BBEEC3471383}">
      <formula1>"Soles,Dolares"</formula1>
    </dataValidation>
    <dataValidation type="whole" allowBlank="1" showInputMessage="1" showErrorMessage="1" sqref="C19" xr:uid="{A39D4811-9CCC-470D-878E-2028773AA33A}">
      <formula1>1</formula1>
      <formula2>72</formula2>
    </dataValidation>
  </dataValidations>
  <pageMargins left="0.70866141732283472" right="0.70866141732283472" top="0.55118110236220474" bottom="0.55118110236220474" header="0.31496062992125984" footer="0.31496062992125984"/>
  <pageSetup paperSize="9" orientation="landscape" verticalDpi="599" r:id="rId1"/>
  <ignoredErrors>
    <ignoredError sqref="C28" unlockedFormula="1"/>
  </ignoredErrors>
  <drawing r:id="rId2"/>
  <legacyDrawing r:id="rId3"/>
  <controls>
    <mc:AlternateContent xmlns:mc="http://schemas.openxmlformats.org/markup-compatibility/2006">
      <mc:Choice Requires="x14">
        <control shapeId="10262" r:id="rId4" name="ComboBox1">
          <controlPr defaultSize="0" autoLine="0" linkedCell="C9" listFillRange="TarifarioBD!I2:I5" r:id="rId5">
            <anchor moveWithCells="1">
              <from>
                <xdr:col>2</xdr:col>
                <xdr:colOff>95250</xdr:colOff>
                <xdr:row>7</xdr:row>
                <xdr:rowOff>57150</xdr:rowOff>
              </from>
              <to>
                <xdr:col>8</xdr:col>
                <xdr:colOff>120650</xdr:colOff>
                <xdr:row>9</xdr:row>
                <xdr:rowOff>19050</xdr:rowOff>
              </to>
            </anchor>
          </controlPr>
        </control>
      </mc:Choice>
      <mc:Fallback>
        <control shapeId="10262" r:id="rId4" name="ComboBox1"/>
      </mc:Fallback>
    </mc:AlternateContent>
  </controls>
  <extLst>
    <ext xmlns:x14="http://schemas.microsoft.com/office/spreadsheetml/2009/9/main" uri="{CCE6A557-97BC-4b89-ADB6-D9C93CAAB3DF}">
      <x14:dataValidations xmlns:xm="http://schemas.microsoft.com/office/excel/2006/main" xWindow="271" yWindow="623" count="3">
        <x14:dataValidation type="list" allowBlank="1" showInputMessage="1" showErrorMessage="1" xr:uid="{9DB4E86A-EED2-4422-ADE6-2A6B227C22CC}">
          <x14:formula1>
            <xm:f>TarifarioBD!$H$2</xm:f>
          </x14:formula1>
          <xm:sqref>C14</xm:sqref>
        </x14:dataValidation>
        <x14:dataValidation type="list" allowBlank="1" showInputMessage="1" showErrorMessage="1" xr:uid="{913CE8FD-2563-4F6D-9472-3B4387AFC6DD}">
          <x14:formula1>
            <xm:f>TarifarioBD!$G$2</xm:f>
          </x14:formula1>
          <xm:sqref>C15 Y7</xm:sqref>
        </x14:dataValidation>
        <x14:dataValidation type="list" allowBlank="1" showInputMessage="1" showErrorMessage="1" xr:uid="{198B36B7-B89B-47A8-AD8C-6D4F57C67B5A}">
          <x14:formula1>
            <xm:f>TarifarioBD!$I$2:$I$5</xm:f>
          </x14:formula1>
          <xm:sqref>C9 C28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D66FD-0D7A-455E-822D-D5AC8B50875F}">
  <sheetPr codeName="Hoja4">
    <tabColor theme="9" tint="0.59999389629810485"/>
  </sheetPr>
  <dimension ref="A1:I29"/>
  <sheetViews>
    <sheetView workbookViewId="0">
      <selection activeCell="A9" sqref="A9:XFD29"/>
    </sheetView>
  </sheetViews>
  <sheetFormatPr baseColWidth="10" defaultColWidth="10.81640625" defaultRowHeight="14.5" x14ac:dyDescent="0.35"/>
  <cols>
    <col min="1" max="1" width="14.7265625" style="39" bestFit="1" customWidth="1"/>
    <col min="2" max="2" width="24.1796875" style="39" bestFit="1" customWidth="1"/>
    <col min="3" max="3" width="35" style="39" bestFit="1" customWidth="1"/>
    <col min="4" max="4" width="11.7265625" style="39" customWidth="1"/>
    <col min="5" max="5" width="10.54296875" style="39" bestFit="1" customWidth="1"/>
    <col min="6" max="6" width="8.81640625" style="39" customWidth="1"/>
    <col min="7" max="7" width="25.26953125" style="39" bestFit="1" customWidth="1"/>
    <col min="8" max="8" width="38.26953125" style="39" bestFit="1" customWidth="1"/>
    <col min="9" max="9" width="34.26953125" style="39" bestFit="1" customWidth="1"/>
    <col min="10" max="16384" width="10.81640625" style="39"/>
  </cols>
  <sheetData>
    <row r="1" spans="1:9" x14ac:dyDescent="0.35">
      <c r="A1" s="37" t="s">
        <v>46</v>
      </c>
      <c r="B1" s="37" t="s">
        <v>45</v>
      </c>
      <c r="C1" s="38" t="s">
        <v>47</v>
      </c>
      <c r="D1" s="37" t="s">
        <v>62</v>
      </c>
      <c r="E1" s="37" t="s">
        <v>48</v>
      </c>
      <c r="G1" s="37" t="s">
        <v>46</v>
      </c>
      <c r="H1" s="37" t="s">
        <v>45</v>
      </c>
      <c r="I1" s="37" t="s">
        <v>47</v>
      </c>
    </row>
    <row r="2" spans="1:9" x14ac:dyDescent="0.35">
      <c r="A2" s="44" t="s">
        <v>40</v>
      </c>
      <c r="B2" s="45" t="s">
        <v>61</v>
      </c>
      <c r="C2" s="84" t="s">
        <v>41</v>
      </c>
      <c r="D2" s="85" t="s">
        <v>67</v>
      </c>
      <c r="E2" s="86">
        <v>5.3999999999999999E-2</v>
      </c>
      <c r="G2" s="40" t="s">
        <v>40</v>
      </c>
      <c r="H2" s="16" t="s">
        <v>61</v>
      </c>
      <c r="I2" s="16" t="s">
        <v>41</v>
      </c>
    </row>
    <row r="3" spans="1:9" x14ac:dyDescent="0.35">
      <c r="A3" s="44" t="s">
        <v>40</v>
      </c>
      <c r="B3" s="45" t="s">
        <v>61</v>
      </c>
      <c r="C3" s="84" t="s">
        <v>41</v>
      </c>
      <c r="D3" s="85" t="s">
        <v>68</v>
      </c>
      <c r="E3" s="86">
        <v>5.8999999999999997E-2</v>
      </c>
      <c r="G3" s="40"/>
      <c r="H3" s="16"/>
      <c r="I3" s="16" t="s">
        <v>8</v>
      </c>
    </row>
    <row r="4" spans="1:9" x14ac:dyDescent="0.35">
      <c r="A4" s="44" t="s">
        <v>40</v>
      </c>
      <c r="B4" s="45" t="s">
        <v>61</v>
      </c>
      <c r="C4" s="84" t="s">
        <v>41</v>
      </c>
      <c r="D4" s="85" t="s">
        <v>69</v>
      </c>
      <c r="E4" s="86">
        <v>6.4000000000000001E-2</v>
      </c>
      <c r="G4" s="41"/>
      <c r="H4" s="16"/>
      <c r="I4" s="16" t="s">
        <v>42</v>
      </c>
    </row>
    <row r="5" spans="1:9" x14ac:dyDescent="0.35">
      <c r="A5" s="44" t="s">
        <v>40</v>
      </c>
      <c r="B5" s="45" t="s">
        <v>61</v>
      </c>
      <c r="C5" s="84" t="s">
        <v>41</v>
      </c>
      <c r="D5" s="85" t="s">
        <v>70</v>
      </c>
      <c r="E5" s="86">
        <v>6.8000000000000005E-2</v>
      </c>
      <c r="I5" s="39" t="s">
        <v>87</v>
      </c>
    </row>
    <row r="6" spans="1:9" x14ac:dyDescent="0.35">
      <c r="A6" s="44" t="s">
        <v>40</v>
      </c>
      <c r="B6" s="45" t="s">
        <v>61</v>
      </c>
      <c r="C6" s="84" t="s">
        <v>41</v>
      </c>
      <c r="D6" s="85" t="s">
        <v>71</v>
      </c>
      <c r="E6" s="86">
        <v>7.3999999999999996E-2</v>
      </c>
    </row>
    <row r="7" spans="1:9" x14ac:dyDescent="0.35">
      <c r="A7" s="46" t="s">
        <v>40</v>
      </c>
      <c r="B7" s="47" t="s">
        <v>61</v>
      </c>
      <c r="C7" s="84" t="s">
        <v>41</v>
      </c>
      <c r="D7" s="85" t="s">
        <v>72</v>
      </c>
      <c r="E7" s="86">
        <v>8.1000000000000003E-2</v>
      </c>
    </row>
    <row r="8" spans="1:9" x14ac:dyDescent="0.35">
      <c r="A8" s="46" t="s">
        <v>40</v>
      </c>
      <c r="B8" s="47" t="s">
        <v>61</v>
      </c>
      <c r="C8" s="84" t="s">
        <v>41</v>
      </c>
      <c r="D8" s="85" t="s">
        <v>73</v>
      </c>
      <c r="E8" s="86">
        <v>8.1000000000000003E-2</v>
      </c>
    </row>
    <row r="9" spans="1:9" x14ac:dyDescent="0.35">
      <c r="A9" s="46" t="s">
        <v>40</v>
      </c>
      <c r="B9" s="47" t="s">
        <v>61</v>
      </c>
      <c r="C9" s="87" t="s">
        <v>85</v>
      </c>
      <c r="D9" s="88" t="s">
        <v>67</v>
      </c>
      <c r="E9" s="89">
        <v>7.0999999999999994E-2</v>
      </c>
    </row>
    <row r="10" spans="1:9" x14ac:dyDescent="0.35">
      <c r="A10" s="46" t="s">
        <v>40</v>
      </c>
      <c r="B10" s="47" t="s">
        <v>61</v>
      </c>
      <c r="C10" s="87" t="s">
        <v>85</v>
      </c>
      <c r="D10" s="88" t="s">
        <v>68</v>
      </c>
      <c r="E10" s="89">
        <v>7.4999999999999997E-2</v>
      </c>
    </row>
    <row r="11" spans="1:9" x14ac:dyDescent="0.35">
      <c r="A11" s="46" t="s">
        <v>40</v>
      </c>
      <c r="B11" s="47" t="s">
        <v>61</v>
      </c>
      <c r="C11" s="87" t="s">
        <v>85</v>
      </c>
      <c r="D11" s="88" t="s">
        <v>69</v>
      </c>
      <c r="E11" s="89">
        <v>8.2000000000000003E-2</v>
      </c>
    </row>
    <row r="12" spans="1:9" x14ac:dyDescent="0.35">
      <c r="A12" s="46" t="s">
        <v>40</v>
      </c>
      <c r="B12" s="47" t="s">
        <v>61</v>
      </c>
      <c r="C12" s="87" t="s">
        <v>85</v>
      </c>
      <c r="D12" s="88" t="s">
        <v>70</v>
      </c>
      <c r="E12" s="89">
        <v>8.7999999999999995E-2</v>
      </c>
    </row>
    <row r="13" spans="1:9" x14ac:dyDescent="0.35">
      <c r="A13" s="46" t="s">
        <v>40</v>
      </c>
      <c r="B13" s="47" t="s">
        <v>61</v>
      </c>
      <c r="C13" s="87" t="s">
        <v>85</v>
      </c>
      <c r="D13" s="88" t="s">
        <v>71</v>
      </c>
      <c r="E13" s="89">
        <v>9.6000000000000002E-2</v>
      </c>
    </row>
    <row r="14" spans="1:9" x14ac:dyDescent="0.35">
      <c r="A14" s="46" t="s">
        <v>40</v>
      </c>
      <c r="B14" s="47" t="s">
        <v>61</v>
      </c>
      <c r="C14" s="87" t="s">
        <v>85</v>
      </c>
      <c r="D14" s="88" t="s">
        <v>72</v>
      </c>
      <c r="E14" s="89">
        <v>9.8000000000000004E-2</v>
      </c>
    </row>
    <row r="15" spans="1:9" x14ac:dyDescent="0.35">
      <c r="A15" s="46" t="s">
        <v>40</v>
      </c>
      <c r="B15" s="47" t="s">
        <v>61</v>
      </c>
      <c r="C15" s="87" t="s">
        <v>85</v>
      </c>
      <c r="D15" s="88" t="s">
        <v>73</v>
      </c>
      <c r="E15" s="89">
        <v>9.8000000000000004E-2</v>
      </c>
    </row>
    <row r="16" spans="1:9" x14ac:dyDescent="0.35">
      <c r="A16" s="44" t="s">
        <v>40</v>
      </c>
      <c r="B16" s="48" t="s">
        <v>61</v>
      </c>
      <c r="C16" s="45" t="s">
        <v>8</v>
      </c>
      <c r="D16" s="43" t="s">
        <v>67</v>
      </c>
      <c r="E16" s="49">
        <v>8.3140000000000002E-3</v>
      </c>
    </row>
    <row r="17" spans="1:7" x14ac:dyDescent="0.35">
      <c r="A17" s="46" t="s">
        <v>40</v>
      </c>
      <c r="B17" s="47" t="s">
        <v>61</v>
      </c>
      <c r="C17" s="45" t="s">
        <v>8</v>
      </c>
      <c r="D17" s="43" t="s">
        <v>68</v>
      </c>
      <c r="E17" s="50">
        <v>6.6010000000000001E-3</v>
      </c>
      <c r="G17" s="80"/>
    </row>
    <row r="18" spans="1:7" x14ac:dyDescent="0.35">
      <c r="A18" s="44" t="s">
        <v>40</v>
      </c>
      <c r="B18" s="48" t="s">
        <v>61</v>
      </c>
      <c r="C18" s="45" t="s">
        <v>8</v>
      </c>
      <c r="D18" s="43" t="s">
        <v>69</v>
      </c>
      <c r="E18" s="49">
        <v>5.0809999999999996E-3</v>
      </c>
      <c r="G18" s="80"/>
    </row>
    <row r="19" spans="1:7" x14ac:dyDescent="0.35">
      <c r="A19" s="46" t="s">
        <v>40</v>
      </c>
      <c r="B19" s="47" t="s">
        <v>61</v>
      </c>
      <c r="C19" s="45" t="s">
        <v>8</v>
      </c>
      <c r="D19" s="43" t="s">
        <v>70</v>
      </c>
      <c r="E19" s="49">
        <v>3.7880000000000001E-3</v>
      </c>
    </row>
    <row r="20" spans="1:7" x14ac:dyDescent="0.35">
      <c r="A20" s="44" t="s">
        <v>40</v>
      </c>
      <c r="B20" s="48" t="s">
        <v>61</v>
      </c>
      <c r="C20" s="45" t="s">
        <v>8</v>
      </c>
      <c r="D20" s="43" t="s">
        <v>71</v>
      </c>
      <c r="E20" s="49">
        <v>2.9420000000000002E-3</v>
      </c>
    </row>
    <row r="21" spans="1:7" x14ac:dyDescent="0.35">
      <c r="A21" s="44" t="s">
        <v>40</v>
      </c>
      <c r="B21" s="48" t="s">
        <v>61</v>
      </c>
      <c r="C21" s="45" t="s">
        <v>8</v>
      </c>
      <c r="D21" s="43" t="s">
        <v>72</v>
      </c>
      <c r="E21" s="49">
        <v>2.529E-3</v>
      </c>
    </row>
    <row r="22" spans="1:7" x14ac:dyDescent="0.35">
      <c r="A22" s="46" t="s">
        <v>40</v>
      </c>
      <c r="B22" s="47" t="s">
        <v>61</v>
      </c>
      <c r="C22" s="45" t="s">
        <v>8</v>
      </c>
      <c r="D22" s="43" t="s">
        <v>73</v>
      </c>
      <c r="E22" s="49">
        <v>2.0460000000000001E-3</v>
      </c>
    </row>
    <row r="23" spans="1:7" x14ac:dyDescent="0.35">
      <c r="A23" s="46" t="s">
        <v>40</v>
      </c>
      <c r="B23" s="47" t="s">
        <v>61</v>
      </c>
      <c r="C23" s="51" t="s">
        <v>42</v>
      </c>
      <c r="D23" s="43" t="s">
        <v>67</v>
      </c>
      <c r="E23" s="49">
        <v>1.0884E-2</v>
      </c>
    </row>
    <row r="24" spans="1:7" x14ac:dyDescent="0.35">
      <c r="A24" s="46" t="s">
        <v>40</v>
      </c>
      <c r="B24" s="47" t="s">
        <v>61</v>
      </c>
      <c r="C24" s="51" t="s">
        <v>42</v>
      </c>
      <c r="D24" s="43" t="s">
        <v>68</v>
      </c>
      <c r="E24" s="49">
        <v>8.5489999999999993E-3</v>
      </c>
    </row>
    <row r="25" spans="1:7" x14ac:dyDescent="0.35">
      <c r="A25" s="46" t="s">
        <v>40</v>
      </c>
      <c r="B25" s="47" t="s">
        <v>61</v>
      </c>
      <c r="C25" s="51" t="s">
        <v>42</v>
      </c>
      <c r="D25" s="43" t="s">
        <v>69</v>
      </c>
      <c r="E25" s="49">
        <v>6.6210000000000001E-3</v>
      </c>
    </row>
    <row r="26" spans="1:7" x14ac:dyDescent="0.35">
      <c r="A26" s="46" t="s">
        <v>40</v>
      </c>
      <c r="B26" s="47" t="s">
        <v>61</v>
      </c>
      <c r="C26" s="51" t="s">
        <v>42</v>
      </c>
      <c r="D26" s="43" t="s">
        <v>70</v>
      </c>
      <c r="E26" s="49">
        <v>4.9240000000000004E-3</v>
      </c>
    </row>
    <row r="27" spans="1:7" x14ac:dyDescent="0.35">
      <c r="A27" s="46" t="s">
        <v>40</v>
      </c>
      <c r="B27" s="47" t="s">
        <v>61</v>
      </c>
      <c r="C27" s="51" t="s">
        <v>42</v>
      </c>
      <c r="D27" s="43" t="s">
        <v>71</v>
      </c>
      <c r="E27" s="49">
        <v>3.8319999999999999E-3</v>
      </c>
    </row>
    <row r="28" spans="1:7" x14ac:dyDescent="0.35">
      <c r="A28" s="46" t="s">
        <v>40</v>
      </c>
      <c r="B28" s="47" t="s">
        <v>61</v>
      </c>
      <c r="C28" s="51" t="s">
        <v>42</v>
      </c>
      <c r="D28" s="43" t="s">
        <v>72</v>
      </c>
      <c r="E28" s="49">
        <v>3.2910000000000001E-3</v>
      </c>
    </row>
    <row r="29" spans="1:7" x14ac:dyDescent="0.35">
      <c r="A29" s="46" t="s">
        <v>40</v>
      </c>
      <c r="B29" s="47" t="s">
        <v>61</v>
      </c>
      <c r="C29" s="51" t="s">
        <v>42</v>
      </c>
      <c r="D29" s="43" t="s">
        <v>73</v>
      </c>
      <c r="E29" s="49">
        <v>2.663E-3</v>
      </c>
    </row>
  </sheetData>
  <sheetProtection algorithmName="SHA-512" hashValue="Ky0JDxrxtIK6iMPdYjbbBsRh2kz9+NMS3ug62bL3W0649r8h/WjXe33/E5Ifp+SqcqlcwXbEdq+oakSQcPENSA==" saltValue="Pd3OLki5cvJ2VDzkqbe4/A==" spinCount="100000" sheet="1" objects="1" scenarios="1"/>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1A6BA6-A489-4886-BBFA-FDB477501118}">
  <sheetPr codeName="Hoja2">
    <tabColor rgb="FF289254"/>
  </sheetPr>
  <dimension ref="B1:Y397"/>
  <sheetViews>
    <sheetView workbookViewId="0"/>
  </sheetViews>
  <sheetFormatPr baseColWidth="10" defaultColWidth="11.453125" defaultRowHeight="13" x14ac:dyDescent="0.3"/>
  <cols>
    <col min="1" max="1" width="2.7265625" style="1" customWidth="1"/>
    <col min="2" max="2" width="37.54296875" style="1" customWidth="1"/>
    <col min="3" max="3" width="23.1796875" style="1" customWidth="1"/>
    <col min="4" max="4" width="6.26953125" style="1" customWidth="1"/>
    <col min="5" max="5" width="15.1796875" style="1" customWidth="1"/>
    <col min="6" max="6" width="12.1796875" style="1" customWidth="1"/>
    <col min="7" max="7" width="35.81640625" style="1" customWidth="1"/>
    <col min="8" max="8" width="15.81640625" style="1" bestFit="1" customWidth="1"/>
    <col min="9" max="9" width="11.26953125" style="1" bestFit="1" customWidth="1"/>
    <col min="10" max="10" width="12.7265625" style="1" bestFit="1" customWidth="1"/>
    <col min="11" max="11" width="8" style="1" bestFit="1" customWidth="1"/>
    <col min="12" max="12" width="19.54296875" style="1" bestFit="1" customWidth="1"/>
    <col min="13" max="13" width="14.1796875" style="1" bestFit="1" customWidth="1"/>
    <col min="14" max="14" width="6.54296875" style="1" bestFit="1" customWidth="1"/>
    <col min="15" max="15" width="15.7265625" style="1" bestFit="1" customWidth="1"/>
    <col min="16" max="16" width="10.54296875" style="1" bestFit="1" customWidth="1"/>
    <col min="17" max="17" width="18.453125" style="1" bestFit="1" customWidth="1"/>
    <col min="18" max="18" width="20" style="1" bestFit="1" customWidth="1"/>
    <col min="19" max="19" width="5.453125" style="1" customWidth="1"/>
    <col min="20" max="20" width="14.7265625" style="1" bestFit="1" customWidth="1"/>
    <col min="21" max="21" width="10.26953125" style="1" bestFit="1" customWidth="1"/>
    <col min="22" max="22" width="15.54296875" style="1" bestFit="1" customWidth="1"/>
    <col min="23" max="23" width="10.453125" style="1" bestFit="1" customWidth="1"/>
    <col min="24" max="25" width="19.1796875" style="1" bestFit="1" customWidth="1"/>
    <col min="26" max="16384" width="11.453125" style="1"/>
  </cols>
  <sheetData>
    <row r="1" spans="2:11" s="16" customFormat="1" x14ac:dyDescent="0.3"/>
    <row r="2" spans="2:11" s="16" customFormat="1" x14ac:dyDescent="0.3">
      <c r="C2" s="171" t="s">
        <v>37</v>
      </c>
      <c r="D2" s="171"/>
      <c r="E2" s="171"/>
      <c r="F2" s="171"/>
      <c r="G2" s="171"/>
      <c r="H2" s="171"/>
      <c r="I2" s="171"/>
      <c r="J2" s="171"/>
    </row>
    <row r="3" spans="2:11" s="16" customFormat="1" x14ac:dyDescent="0.3">
      <c r="C3" s="171"/>
      <c r="D3" s="171"/>
      <c r="E3" s="171"/>
      <c r="F3" s="171"/>
      <c r="G3" s="171"/>
      <c r="H3" s="171"/>
      <c r="I3" s="171"/>
      <c r="J3" s="171"/>
    </row>
    <row r="4" spans="2:11" s="16" customFormat="1" x14ac:dyDescent="0.3">
      <c r="C4" s="171"/>
      <c r="D4" s="171"/>
      <c r="E4" s="171"/>
      <c r="F4" s="171"/>
      <c r="G4" s="171"/>
      <c r="H4" s="171"/>
      <c r="I4" s="171"/>
      <c r="J4" s="171"/>
    </row>
    <row r="5" spans="2:11" s="16" customFormat="1" x14ac:dyDescent="0.3"/>
    <row r="6" spans="2:11" s="16" customFormat="1" x14ac:dyDescent="0.3"/>
    <row r="7" spans="2:11" s="16" customFormat="1" x14ac:dyDescent="0.3">
      <c r="B7" s="17" t="s">
        <v>38</v>
      </c>
      <c r="G7" s="17" t="s">
        <v>50</v>
      </c>
    </row>
    <row r="8" spans="2:11" s="16" customFormat="1" x14ac:dyDescent="0.3"/>
    <row r="9" spans="2:11" s="16" customFormat="1" x14ac:dyDescent="0.3">
      <c r="B9" s="52" t="s">
        <v>39</v>
      </c>
      <c r="C9" s="62" t="str">
        <f>RESUMEN!C14</f>
        <v>Préstamos Personales (LD )</v>
      </c>
      <c r="G9" s="18" t="s">
        <v>36</v>
      </c>
      <c r="H9" s="19">
        <f ca="1">SUM(L38:L397)</f>
        <v>122303.57103066485</v>
      </c>
      <c r="I9" s="20"/>
    </row>
    <row r="10" spans="2:11" s="16" customFormat="1" x14ac:dyDescent="0.3">
      <c r="B10" s="52" t="s">
        <v>43</v>
      </c>
      <c r="C10" s="62" t="str">
        <f>RESUMEN!C28</f>
        <v>Seguro de Vida</v>
      </c>
      <c r="G10" s="18" t="s">
        <v>34</v>
      </c>
      <c r="H10" s="19">
        <f ca="1">NPV(C16,L38:L397)</f>
        <v>114347.77318811741</v>
      </c>
      <c r="I10" s="21"/>
    </row>
    <row r="11" spans="2:11" s="16" customFormat="1" x14ac:dyDescent="0.3">
      <c r="B11" s="52" t="s">
        <v>44</v>
      </c>
      <c r="C11" s="62" t="str">
        <f>RESUMEN!C15</f>
        <v>TARIFA TITULAR</v>
      </c>
      <c r="G11" s="21"/>
      <c r="H11" s="22"/>
      <c r="I11" s="21"/>
    </row>
    <row r="12" spans="2:11" s="16" customFormat="1" x14ac:dyDescent="0.3">
      <c r="B12" s="52" t="s">
        <v>33</v>
      </c>
      <c r="C12" s="63">
        <f>RESUMEN!C16</f>
        <v>30000</v>
      </c>
      <c r="G12" s="23" t="s">
        <v>51</v>
      </c>
      <c r="H12" s="22"/>
      <c r="I12" s="21"/>
      <c r="J12" s="22"/>
      <c r="K12" s="24"/>
    </row>
    <row r="13" spans="2:11" s="16" customFormat="1" x14ac:dyDescent="0.3">
      <c r="B13" s="64" t="str">
        <f>C10</f>
        <v>Seguro de Vida</v>
      </c>
      <c r="C13" s="82" cm="1">
        <f t="array" aca="1" ref="C13" ca="1">INDEX(_xlfn._xlws.FILTER(TarifarioPrincipal[],(TarifarioPrincipal[TARIFA]=Prima_Des!C11)*(TarifarioPrincipal[PRODUCTO]=Prima_Des!C9)*(TarifarioPrincipal[TIPO_SEGURO]=Prima_Des!C10)*(TarifarioPrincipal[Plazo]=Prima_Des!C20)),0,5)</f>
        <v>8.1000000000000003E-2</v>
      </c>
      <c r="I13" s="21"/>
      <c r="J13" s="25"/>
      <c r="K13" s="26"/>
    </row>
    <row r="14" spans="2:11" s="16" customFormat="1" ht="26" x14ac:dyDescent="0.3">
      <c r="B14" s="52" t="s">
        <v>53</v>
      </c>
      <c r="C14" s="65"/>
      <c r="G14" s="18" t="s">
        <v>33</v>
      </c>
      <c r="H14" s="27">
        <f>C12</f>
        <v>30000</v>
      </c>
      <c r="I14" s="24"/>
      <c r="J14" s="22"/>
      <c r="K14" s="28"/>
    </row>
    <row r="15" spans="2:11" s="16" customFormat="1" x14ac:dyDescent="0.3">
      <c r="B15" s="52" t="s">
        <v>32</v>
      </c>
      <c r="C15" s="63">
        <f>C12+C14</f>
        <v>30000</v>
      </c>
      <c r="G15" s="18" t="s">
        <v>55</v>
      </c>
      <c r="H15" s="27">
        <f ca="1">H10</f>
        <v>114347.77318811741</v>
      </c>
      <c r="J15" s="22"/>
    </row>
    <row r="16" spans="2:11" s="16" customFormat="1" x14ac:dyDescent="0.3">
      <c r="B16" s="52" t="s">
        <v>35</v>
      </c>
      <c r="C16" s="82" cm="1">
        <f t="array" ref="C16">INDEX(_xlfn._xlws.FILTER(Tabla2[],Tabla2[TARIFA]=C11),0,2)</f>
        <v>2.8709999999999999E-3</v>
      </c>
      <c r="E16" s="21"/>
      <c r="F16" s="21"/>
      <c r="G16" s="18" t="s">
        <v>54</v>
      </c>
      <c r="H16" s="29">
        <f ca="1">H15/H14</f>
        <v>3.8115924396039138</v>
      </c>
      <c r="I16" s="30"/>
      <c r="J16" s="22"/>
    </row>
    <row r="17" spans="2:21" s="16" customFormat="1" x14ac:dyDescent="0.3">
      <c r="B17" s="52" t="s">
        <v>1</v>
      </c>
      <c r="C17" s="66" t="str">
        <f>RESUMEN!C34</f>
        <v>Soles</v>
      </c>
      <c r="G17" s="18" t="s">
        <v>32</v>
      </c>
      <c r="H17" s="27">
        <f ca="1">H14+H15</f>
        <v>144347.77318811743</v>
      </c>
      <c r="M17" s="26"/>
    </row>
    <row r="18" spans="2:21" s="16" customFormat="1" x14ac:dyDescent="0.3">
      <c r="B18" s="52" t="s">
        <v>56</v>
      </c>
      <c r="C18" s="54">
        <f>RESUMEN!C19</f>
        <v>72</v>
      </c>
      <c r="G18" s="31"/>
      <c r="J18" s="22"/>
      <c r="L18" s="31"/>
      <c r="M18" s="26"/>
      <c r="O18" s="33"/>
    </row>
    <row r="19" spans="2:21" s="16" customFormat="1" x14ac:dyDescent="0.3">
      <c r="B19" s="52" t="s">
        <v>74</v>
      </c>
      <c r="C19" s="53">
        <f ca="1">(OFFSET(C37,(COUNT(C38:C397)),0))-$C$21</f>
        <v>2195</v>
      </c>
      <c r="G19" s="31"/>
      <c r="J19" s="22"/>
      <c r="L19" s="31"/>
      <c r="M19" s="26"/>
      <c r="O19" s="33"/>
    </row>
    <row r="20" spans="2:21" s="16" customFormat="1" x14ac:dyDescent="0.3">
      <c r="B20" s="52" t="s">
        <v>63</v>
      </c>
      <c r="C20" s="83" t="str">
        <f ca="1">IF(C19&lt;=370,"0-370",IF(AND(C19&gt;=371,C19&lt;=553),"371-553",IF(AND(C19&gt;=554,C19&lt;=736),"554-736",IF(AND(C19&gt;=737,C19&lt;=1101),"737-1101",IF(AND(C19&gt;=1102,C19&lt;=1466),"1102-1466",IF(AND(C19&gt;=1467,C19&lt;=1831),"1467-1831","1832-2257"))))))</f>
        <v>1832-2257</v>
      </c>
      <c r="G20" s="31"/>
      <c r="J20" s="22"/>
      <c r="L20" s="31"/>
      <c r="M20" s="26"/>
      <c r="O20" s="33"/>
    </row>
    <row r="21" spans="2:21" s="16" customFormat="1" x14ac:dyDescent="0.3">
      <c r="B21" s="52" t="s">
        <v>3</v>
      </c>
      <c r="C21" s="67">
        <f>RESUMEN!C20</f>
        <v>45891</v>
      </c>
      <c r="J21" s="22"/>
      <c r="L21" s="31"/>
      <c r="M21" s="26"/>
      <c r="O21" s="33"/>
    </row>
    <row r="22" spans="2:21" s="16" customFormat="1" x14ac:dyDescent="0.3">
      <c r="B22" s="52" t="s">
        <v>4</v>
      </c>
      <c r="C22" s="67">
        <f>RESUMEN!C21</f>
        <v>45926</v>
      </c>
      <c r="J22" s="22"/>
      <c r="L22" s="31"/>
      <c r="M22" s="26"/>
      <c r="O22" s="33"/>
    </row>
    <row r="23" spans="2:21" s="16" customFormat="1" x14ac:dyDescent="0.3">
      <c r="B23" s="52" t="s">
        <v>5</v>
      </c>
      <c r="C23" s="54">
        <f>RESUMEN!C22</f>
        <v>1</v>
      </c>
      <c r="J23" s="22"/>
      <c r="L23" s="31"/>
      <c r="M23" s="26"/>
      <c r="O23" s="33"/>
    </row>
    <row r="24" spans="2:21" s="16" customFormat="1" x14ac:dyDescent="0.3">
      <c r="B24" s="52" t="s">
        <v>6</v>
      </c>
      <c r="C24" s="54">
        <f>RESUMEN!C23</f>
        <v>1</v>
      </c>
      <c r="J24" s="26"/>
      <c r="L24" s="31"/>
      <c r="M24" s="26"/>
      <c r="O24" s="33"/>
    </row>
    <row r="25" spans="2:21" s="16" customFormat="1" x14ac:dyDescent="0.3">
      <c r="B25" s="68" t="s">
        <v>7</v>
      </c>
      <c r="C25" s="69">
        <f>RESUMEN!C24</f>
        <v>0.45</v>
      </c>
      <c r="D25" s="34"/>
      <c r="J25" s="26"/>
      <c r="L25" s="31"/>
      <c r="M25" s="26"/>
      <c r="O25" s="33"/>
    </row>
    <row r="26" spans="2:21" s="16" customFormat="1" x14ac:dyDescent="0.3">
      <c r="B26" s="70" t="s">
        <v>9</v>
      </c>
      <c r="C26" s="71">
        <f ca="1">(1+(((1+C25)^(30/360)-1)+C13))^12-1</f>
        <v>2.5921675386133924</v>
      </c>
      <c r="E26" s="31"/>
      <c r="F26" s="31"/>
      <c r="G26" s="34"/>
      <c r="J26" s="26"/>
      <c r="L26" s="31"/>
      <c r="M26" s="26"/>
      <c r="O26" s="33"/>
      <c r="U26" s="35"/>
    </row>
    <row r="27" spans="2:21" s="16" customFormat="1" x14ac:dyDescent="0.3">
      <c r="B27" s="70" t="s">
        <v>0</v>
      </c>
      <c r="C27" s="72">
        <v>0</v>
      </c>
      <c r="G27" s="30"/>
      <c r="J27" s="26"/>
      <c r="L27" s="31"/>
      <c r="M27" s="26"/>
      <c r="O27" s="33"/>
    </row>
    <row r="28" spans="2:21" s="16" customFormat="1" x14ac:dyDescent="0.3">
      <c r="B28" s="70" t="s">
        <v>10</v>
      </c>
      <c r="C28" s="73">
        <v>0</v>
      </c>
      <c r="J28" s="26"/>
      <c r="L28" s="31"/>
      <c r="M28" s="22"/>
      <c r="O28" s="33"/>
    </row>
    <row r="29" spans="2:21" s="16" customFormat="1" x14ac:dyDescent="0.3">
      <c r="B29" s="70" t="s">
        <v>11</v>
      </c>
      <c r="C29" s="74">
        <v>0</v>
      </c>
      <c r="J29" s="26"/>
      <c r="L29" s="31"/>
      <c r="M29" s="22"/>
      <c r="N29" s="28"/>
      <c r="O29" s="33"/>
    </row>
    <row r="30" spans="2:21" s="16" customFormat="1" x14ac:dyDescent="0.3">
      <c r="B30" s="75" t="s">
        <v>12</v>
      </c>
      <c r="C30" s="72">
        <f ca="1">(C15+(C28*C27+C29)*R36)/Q36</f>
        <v>3479.3690482548782</v>
      </c>
      <c r="D30" s="36"/>
      <c r="J30" s="26"/>
      <c r="L30" s="31"/>
      <c r="M30" s="22"/>
      <c r="O30" s="33"/>
      <c r="Q30" s="20"/>
    </row>
    <row r="31" spans="2:21" s="16" customFormat="1" x14ac:dyDescent="0.3">
      <c r="B31" s="76"/>
      <c r="C31" s="76"/>
      <c r="L31" s="31"/>
      <c r="O31" s="21"/>
      <c r="Q31" s="21"/>
    </row>
    <row r="32" spans="2:21" x14ac:dyDescent="0.3">
      <c r="B32" s="77" t="s">
        <v>13</v>
      </c>
      <c r="C32" s="71">
        <v>0.9236764757563436</v>
      </c>
      <c r="K32" s="16"/>
      <c r="N32" s="5"/>
      <c r="O32" s="3"/>
      <c r="P32" s="4"/>
      <c r="Q32" s="3"/>
    </row>
    <row r="33" spans="2:25" x14ac:dyDescent="0.3">
      <c r="E33" s="7"/>
      <c r="F33" s="7"/>
      <c r="O33" s="3"/>
      <c r="P33" s="4"/>
      <c r="Q33" s="3"/>
      <c r="W33" s="8">
        <f ca="1">C15-W36-C14</f>
        <v>-28642.810000000012</v>
      </c>
    </row>
    <row r="34" spans="2:25" x14ac:dyDescent="0.3">
      <c r="E34" s="7"/>
      <c r="F34" s="7"/>
      <c r="K34" s="3"/>
      <c r="L34" s="4"/>
      <c r="M34" s="3"/>
      <c r="O34" s="3"/>
      <c r="P34" s="4"/>
      <c r="Q34" s="3"/>
      <c r="W34" s="8"/>
    </row>
    <row r="35" spans="2:25" x14ac:dyDescent="0.3">
      <c r="B35" s="2" t="s">
        <v>52</v>
      </c>
      <c r="E35" s="7"/>
      <c r="F35" s="7"/>
      <c r="K35" s="3"/>
      <c r="L35" s="4"/>
      <c r="M35" s="3"/>
      <c r="O35" s="3"/>
      <c r="P35" s="4"/>
      <c r="Q35" s="3"/>
      <c r="W35" s="8"/>
    </row>
    <row r="36" spans="2:25" x14ac:dyDescent="0.3">
      <c r="Q36" s="81">
        <f ca="1">SUM(Q38:Q397)</f>
        <v>8.622252938373089</v>
      </c>
      <c r="R36" s="81">
        <f ca="1">SUM(R38:R397)</f>
        <v>8.622252938373089</v>
      </c>
      <c r="W36" s="8">
        <f ca="1">SUM(W38:W397)</f>
        <v>58642.810000000012</v>
      </c>
    </row>
    <row r="37" spans="2:25" s="16" customFormat="1" ht="26" x14ac:dyDescent="0.3">
      <c r="B37" s="55" t="s">
        <v>14</v>
      </c>
      <c r="C37" s="55" t="s">
        <v>15</v>
      </c>
      <c r="D37" s="55" t="s">
        <v>16</v>
      </c>
      <c r="E37" s="55" t="s">
        <v>15</v>
      </c>
      <c r="F37" s="78" t="s">
        <v>79</v>
      </c>
      <c r="G37" s="55" t="s">
        <v>17</v>
      </c>
      <c r="H37" s="55" t="s">
        <v>18</v>
      </c>
      <c r="I37" s="55" t="s">
        <v>19</v>
      </c>
      <c r="J37" s="55" t="s">
        <v>20</v>
      </c>
      <c r="K37" s="55" t="s">
        <v>21</v>
      </c>
      <c r="L37" s="55" t="s">
        <v>22</v>
      </c>
      <c r="M37" s="55" t="s">
        <v>10</v>
      </c>
      <c r="N37" s="55" t="s">
        <v>11</v>
      </c>
      <c r="O37" s="56" t="s">
        <v>23</v>
      </c>
      <c r="P37" s="56" t="s">
        <v>24</v>
      </c>
      <c r="Q37" s="56" t="s">
        <v>25</v>
      </c>
      <c r="R37" s="56" t="s">
        <v>26</v>
      </c>
      <c r="T37" s="55" t="s">
        <v>27</v>
      </c>
      <c r="U37" s="55" t="s">
        <v>28</v>
      </c>
      <c r="V37" s="55" t="s">
        <v>29</v>
      </c>
      <c r="W37" s="55" t="s">
        <v>30</v>
      </c>
      <c r="X37" s="56" t="s">
        <v>34</v>
      </c>
      <c r="Y37" s="56" t="s">
        <v>34</v>
      </c>
    </row>
    <row r="38" spans="2:25" s="16" customFormat="1" x14ac:dyDescent="0.3">
      <c r="B38" s="32">
        <v>1</v>
      </c>
      <c r="C38" s="79">
        <f>C22</f>
        <v>45926</v>
      </c>
      <c r="D38" s="32">
        <f t="shared" ref="D38:D101" si="0">IF(B38&lt;=$C$18,WEEKDAY(C38,2),"")</f>
        <v>5</v>
      </c>
      <c r="E38" s="79">
        <f>IF(D38=7,C38+1,C38)</f>
        <v>45926</v>
      </c>
      <c r="F38" s="79"/>
      <c r="G38" s="32">
        <f>E38-C21</f>
        <v>35</v>
      </c>
      <c r="H38" s="32">
        <f>G38</f>
        <v>35</v>
      </c>
      <c r="I38" s="57">
        <f>C15</f>
        <v>30000</v>
      </c>
      <c r="J38" s="57">
        <f ca="1">IF(B38&gt;C$18,"",O38-N38-M38-L38-K38)</f>
        <v>-477.89121525628138</v>
      </c>
      <c r="K38" s="58">
        <f t="shared" ref="K38:K101" si="1">IF(B38&gt;C$18,"",((1+C$25)^(G38/360)-1)*I38)</f>
        <v>1103.5392921237096</v>
      </c>
      <c r="L38" s="58">
        <f ca="1">IF(B38&gt;C$18,"",((1+C$13)^(G38/30)-1)*I38)</f>
        <v>2853.7209713874499</v>
      </c>
      <c r="M38" s="59">
        <f t="shared" ref="M38:M101" si="2">IF(B38&gt;C$18,"",C$27*C$28)</f>
        <v>0</v>
      </c>
      <c r="N38" s="32">
        <f t="shared" ref="N38:N101" si="3">IF(B38&gt;C$18,"",C$29)</f>
        <v>0</v>
      </c>
      <c r="O38" s="58">
        <f t="shared" ref="O38:O101" ca="1" si="4">IF(B38&gt;C$18,"",IF(B38=C$18,I38+K38+L38+M38+N38,IF(AND(C$23=2,MONTH(E38)=7),2*C$30,IF(AND(C$24=2,MONTH(E38)=12),2*C$30,C$30))))</f>
        <v>3479.3690482548782</v>
      </c>
      <c r="P38" s="58">
        <f t="shared" ref="P38:P49" ca="1" si="5">IF(B38&gt;C$18,"",I38-J38)</f>
        <v>30477.891215256281</v>
      </c>
      <c r="Q38" s="58">
        <f t="shared" ref="Q38:Q101" ca="1" si="6">IFERROR(IF(AND(MONTH(E38)=7,C$23=2),2/(1+C$26)^(H38/360),IF(AND(MONTH(E38)=12,C$24=2),2/(1+C$26)^(H38/360),1/(1+C$26)^(H38/360))),"")</f>
        <v>0.88309413162369332</v>
      </c>
      <c r="R38" s="58">
        <f t="shared" ref="R38:R101" ca="1" si="7">IFERROR(1/(1+C$26)^(H38/360),"")</f>
        <v>0.88309413162369332</v>
      </c>
      <c r="T38" s="32">
        <f t="shared" ref="T38:T49" ca="1" si="8">IFERROR(J38+K38+L38+M38+N38,"")</f>
        <v>3479.3690482548782</v>
      </c>
      <c r="U38" s="32">
        <f t="shared" ref="U38:U101" si="9">H38</f>
        <v>35</v>
      </c>
      <c r="V38" s="59">
        <f t="shared" ref="V38:V101" si="10">IFERROR((1+C$32)^(U38/360),"")</f>
        <v>1.0656729636205533</v>
      </c>
      <c r="W38" s="57">
        <f t="shared" ref="W38:W101" ca="1" si="11">IFERROR(ROUND(T38/V38,2),"")</f>
        <v>3264.95</v>
      </c>
      <c r="X38" s="58">
        <f ca="1">L38/(1+$I$9)</f>
        <v>2853.7209713874499</v>
      </c>
      <c r="Y38" s="58">
        <f ca="1">L38/(1+$Q$30)</f>
        <v>2853.7209713874499</v>
      </c>
    </row>
    <row r="39" spans="2:25" s="16" customFormat="1" x14ac:dyDescent="0.3">
      <c r="B39" s="32">
        <v>2</v>
      </c>
      <c r="C39" s="79">
        <f>IF(B39&gt;$C$18,"",IF(WEEKDAY(F39,2)=7,F39+1,F39))</f>
        <v>45957</v>
      </c>
      <c r="D39" s="32">
        <f t="shared" si="0"/>
        <v>1</v>
      </c>
      <c r="E39" s="79">
        <f t="shared" ref="E39:E102" si="12">IF(D39=7,C39+1,C39)</f>
        <v>45957</v>
      </c>
      <c r="F39" s="79">
        <f>IF(B38&gt;$C$18,"",IF(COUNTIF(Feriados!$A$2:$B$18,EDATE($C$38,B38))=0,EDATE($C$38,B38),EDATE($C$38,B38)+VLOOKUP(EDATE($C$38,B38),Feriados!$A$2:$B$18,2,FALSE)))</f>
        <v>45956</v>
      </c>
      <c r="G39" s="32">
        <f t="shared" ref="G39:G102" si="13">IF(B39&gt;C$18,"",E39-E38)</f>
        <v>31</v>
      </c>
      <c r="H39" s="32">
        <f t="shared" ref="H39:H102" si="14">IFERROR(G39+H38,"")</f>
        <v>66</v>
      </c>
      <c r="I39" s="57">
        <f t="shared" ref="I39:I49" ca="1" si="15">IF(B39&gt;C$18,"",P38)</f>
        <v>30477.891215256281</v>
      </c>
      <c r="J39" s="57">
        <f t="shared" ref="J39:J49" ca="1" si="16">IF(B39&gt;C$18,"",O39-N39-M39-L39-K39)</f>
        <v>-65.91909593975322</v>
      </c>
      <c r="K39" s="58">
        <f t="shared" ca="1" si="1"/>
        <v>990.93126830276276</v>
      </c>
      <c r="L39" s="58">
        <f t="shared" ref="L39:L102" ca="1" si="17">IF(B39&gt;C$18,"",((1+C$13)^(G39/30)-1)*I39)</f>
        <v>2554.3568758918686</v>
      </c>
      <c r="M39" s="59">
        <f t="shared" si="2"/>
        <v>0</v>
      </c>
      <c r="N39" s="32">
        <f t="shared" si="3"/>
        <v>0</v>
      </c>
      <c r="O39" s="58">
        <f t="shared" ca="1" si="4"/>
        <v>3479.3690482548782</v>
      </c>
      <c r="P39" s="58">
        <f t="shared" ca="1" si="5"/>
        <v>30543.810311196034</v>
      </c>
      <c r="Q39" s="58">
        <f t="shared" ca="1" si="6"/>
        <v>0.79101483094491398</v>
      </c>
      <c r="R39" s="58">
        <f t="shared" ca="1" si="7"/>
        <v>0.79101483094491398</v>
      </c>
      <c r="T39" s="32">
        <f t="shared" ca="1" si="8"/>
        <v>3479.3690482548782</v>
      </c>
      <c r="U39" s="32">
        <f t="shared" si="9"/>
        <v>66</v>
      </c>
      <c r="V39" s="59">
        <f t="shared" si="10"/>
        <v>1.1274333386202915</v>
      </c>
      <c r="W39" s="57">
        <f t="shared" ca="1" si="11"/>
        <v>3086.1</v>
      </c>
      <c r="X39" s="58">
        <f t="shared" ref="X39:X102" ca="1" si="18">IF(O39="",0,L39/((1+$I$9)^B39))</f>
        <v>2554.3568758918686</v>
      </c>
      <c r="Y39" s="58">
        <f t="shared" ref="Y39:Y49" ca="1" si="19">IF(O39="",0,L39/((1+$Q$30)^B39))</f>
        <v>2554.3568758918686</v>
      </c>
    </row>
    <row r="40" spans="2:25" s="16" customFormat="1" x14ac:dyDescent="0.3">
      <c r="B40" s="32">
        <v>3</v>
      </c>
      <c r="C40" s="79">
        <f t="shared" ref="C40:C103" si="20">IF(B40&gt;$C$18,"",IF(WEEKDAY(F40,2)=7,F40+1,F40))</f>
        <v>45987</v>
      </c>
      <c r="D40" s="32">
        <f t="shared" si="0"/>
        <v>3</v>
      </c>
      <c r="E40" s="79">
        <f t="shared" si="12"/>
        <v>45987</v>
      </c>
      <c r="F40" s="79">
        <f>IF(B39&gt;$C$18,"",IF(COUNTIF(Feriados!$A$2:$B$18,EDATE($C$38,B39))=0,EDATE($C$38,B39),EDATE($C$38,B39)+VLOOKUP(EDATE($C$38,B39),Feriados!$A$2:$B$18,2,FALSE)))</f>
        <v>45987</v>
      </c>
      <c r="G40" s="32">
        <f t="shared" si="13"/>
        <v>30</v>
      </c>
      <c r="H40" s="32">
        <f t="shared" si="14"/>
        <v>96</v>
      </c>
      <c r="I40" s="57">
        <f t="shared" ca="1" si="15"/>
        <v>30543.810311196034</v>
      </c>
      <c r="J40" s="57">
        <f t="shared" ca="1" si="16"/>
        <v>44.778998261135939</v>
      </c>
      <c r="K40" s="58">
        <f t="shared" ca="1" si="1"/>
        <v>960.54141478686483</v>
      </c>
      <c r="L40" s="58">
        <f t="shared" ca="1" si="17"/>
        <v>2474.0486352068774</v>
      </c>
      <c r="M40" s="59">
        <f t="shared" si="2"/>
        <v>0</v>
      </c>
      <c r="N40" s="32">
        <f t="shared" si="3"/>
        <v>0</v>
      </c>
      <c r="O40" s="58">
        <f t="shared" ca="1" si="4"/>
        <v>3479.3690482548782</v>
      </c>
      <c r="P40" s="58">
        <f t="shared" ca="1" si="5"/>
        <v>30499.031312934898</v>
      </c>
      <c r="Q40" s="58">
        <f t="shared" ca="1" si="6"/>
        <v>0.71105781004689561</v>
      </c>
      <c r="R40" s="58">
        <f t="shared" ca="1" si="7"/>
        <v>0.71105781004689561</v>
      </c>
      <c r="T40" s="32">
        <f t="shared" ca="1" si="8"/>
        <v>3479.3690482548782</v>
      </c>
      <c r="U40" s="32">
        <f t="shared" si="9"/>
        <v>96</v>
      </c>
      <c r="V40" s="59">
        <f t="shared" si="10"/>
        <v>1.190607303860109</v>
      </c>
      <c r="W40" s="57">
        <f t="shared" ca="1" si="11"/>
        <v>2922.35</v>
      </c>
      <c r="X40" s="58">
        <f t="shared" ca="1" si="18"/>
        <v>2474.0486352068774</v>
      </c>
      <c r="Y40" s="58">
        <f t="shared" ca="1" si="19"/>
        <v>2474.0486352068774</v>
      </c>
    </row>
    <row r="41" spans="2:25" s="16" customFormat="1" x14ac:dyDescent="0.3">
      <c r="B41" s="32">
        <v>4</v>
      </c>
      <c r="C41" s="79">
        <f t="shared" si="20"/>
        <v>46017</v>
      </c>
      <c r="D41" s="32">
        <f t="shared" si="0"/>
        <v>5</v>
      </c>
      <c r="E41" s="79">
        <f t="shared" si="12"/>
        <v>46017</v>
      </c>
      <c r="F41" s="79">
        <f>IF(B40&gt;$C$18,"",IF(COUNTIF(Feriados!$A$2:$B$18,EDATE($C$38,B40))=0,EDATE($C$38,B40),EDATE($C$38,B40)+VLOOKUP(EDATE($C$38,B40),Feriados!$A$2:$B$18,2,FALSE)))</f>
        <v>46017</v>
      </c>
      <c r="G41" s="32">
        <f>IF(B41&gt;C$18,"",E41-E40)</f>
        <v>30</v>
      </c>
      <c r="H41" s="32">
        <f t="shared" si="14"/>
        <v>126</v>
      </c>
      <c r="I41" s="57">
        <f t="shared" ca="1" si="15"/>
        <v>30499.031312934898</v>
      </c>
      <c r="J41" s="57">
        <f t="shared" ca="1" si="16"/>
        <v>49.814306571049087</v>
      </c>
      <c r="K41" s="58">
        <f t="shared" ca="1" si="1"/>
        <v>959.13320533610352</v>
      </c>
      <c r="L41" s="58">
        <f t="shared" ca="1" si="17"/>
        <v>2470.4215363477256</v>
      </c>
      <c r="M41" s="59">
        <f t="shared" si="2"/>
        <v>0</v>
      </c>
      <c r="N41" s="32">
        <f t="shared" si="3"/>
        <v>0</v>
      </c>
      <c r="O41" s="58">
        <f t="shared" ca="1" si="4"/>
        <v>3479.3690482548782</v>
      </c>
      <c r="P41" s="58">
        <f t="shared" ca="1" si="5"/>
        <v>30449.217006363848</v>
      </c>
      <c r="Q41" s="58">
        <f t="shared" ca="1" si="6"/>
        <v>0.63918297034293825</v>
      </c>
      <c r="R41" s="58">
        <f t="shared" ca="1" si="7"/>
        <v>0.63918297034293825</v>
      </c>
      <c r="T41" s="32">
        <f t="shared" ca="1" si="8"/>
        <v>3479.3690482548782</v>
      </c>
      <c r="U41" s="32">
        <f t="shared" si="9"/>
        <v>126</v>
      </c>
      <c r="V41" s="59">
        <f t="shared" si="10"/>
        <v>1.2573211235173998</v>
      </c>
      <c r="W41" s="57">
        <f t="shared" ca="1" si="11"/>
        <v>2767.29</v>
      </c>
      <c r="X41" s="58">
        <f t="shared" ca="1" si="18"/>
        <v>2470.4215363477256</v>
      </c>
      <c r="Y41" s="58">
        <f t="shared" ca="1" si="19"/>
        <v>2470.4215363477256</v>
      </c>
    </row>
    <row r="42" spans="2:25" s="16" customFormat="1" x14ac:dyDescent="0.3">
      <c r="B42" s="32">
        <v>5</v>
      </c>
      <c r="C42" s="79">
        <f t="shared" si="20"/>
        <v>46048</v>
      </c>
      <c r="D42" s="32">
        <f t="shared" si="0"/>
        <v>1</v>
      </c>
      <c r="E42" s="79">
        <f t="shared" si="12"/>
        <v>46048</v>
      </c>
      <c r="F42" s="79">
        <f>IF(B41&gt;$C$18,"",IF(COUNTIF(Feriados!$A$2:$B$18,EDATE($C$38,B41))=0,EDATE($C$38,B41),EDATE($C$38,B41)+VLOOKUP(EDATE($C$38,B41),Feriados!$A$2:$B$18,2,FALSE)))</f>
        <v>46048</v>
      </c>
      <c r="G42" s="32">
        <f t="shared" si="13"/>
        <v>31</v>
      </c>
      <c r="H42" s="32">
        <f t="shared" si="14"/>
        <v>157</v>
      </c>
      <c r="I42" s="57">
        <f t="shared" ca="1" si="15"/>
        <v>30449.217006363848</v>
      </c>
      <c r="J42" s="57">
        <f t="shared" ca="1" si="16"/>
        <v>-62.583618031766832</v>
      </c>
      <c r="K42" s="58">
        <f t="shared" ca="1" si="1"/>
        <v>989.99898037035052</v>
      </c>
      <c r="L42" s="58">
        <f t="shared" ca="1" si="17"/>
        <v>2551.9536859162945</v>
      </c>
      <c r="M42" s="59">
        <f t="shared" si="2"/>
        <v>0</v>
      </c>
      <c r="N42" s="32">
        <f t="shared" si="3"/>
        <v>0</v>
      </c>
      <c r="O42" s="58">
        <f t="shared" ca="1" si="4"/>
        <v>3479.3690482548782</v>
      </c>
      <c r="P42" s="58">
        <f t="shared" ca="1" si="5"/>
        <v>30511.800624395615</v>
      </c>
      <c r="Q42" s="58">
        <f t="shared" ca="1" si="6"/>
        <v>0.57253603112395757</v>
      </c>
      <c r="R42" s="58">
        <f t="shared" ca="1" si="7"/>
        <v>0.57253603112395757</v>
      </c>
      <c r="T42" s="32">
        <f t="shared" ca="1" si="8"/>
        <v>3479.3690482548782</v>
      </c>
      <c r="U42" s="32">
        <f t="shared" si="9"/>
        <v>157</v>
      </c>
      <c r="V42" s="59">
        <f t="shared" si="10"/>
        <v>1.3301883414485998</v>
      </c>
      <c r="W42" s="57">
        <f t="shared" ca="1" si="11"/>
        <v>2615.6999999999998</v>
      </c>
      <c r="X42" s="58">
        <f t="shared" ca="1" si="18"/>
        <v>2551.9536859162945</v>
      </c>
      <c r="Y42" s="58">
        <f t="shared" ca="1" si="19"/>
        <v>2551.9536859162945</v>
      </c>
    </row>
    <row r="43" spans="2:25" s="16" customFormat="1" x14ac:dyDescent="0.3">
      <c r="B43" s="32">
        <v>6</v>
      </c>
      <c r="C43" s="79">
        <f t="shared" si="20"/>
        <v>46079</v>
      </c>
      <c r="D43" s="32">
        <f t="shared" si="0"/>
        <v>4</v>
      </c>
      <c r="E43" s="79">
        <f t="shared" si="12"/>
        <v>46079</v>
      </c>
      <c r="F43" s="79">
        <f>IF(B42&gt;$C$18,"",IF(COUNTIF(Feriados!$A$2:$B$18,EDATE($C$38,B42))=0,EDATE($C$38,B42),EDATE($C$38,B42)+VLOOKUP(EDATE($C$38,B42),Feriados!$A$2:$B$18,2,FALSE)))</f>
        <v>46079</v>
      </c>
      <c r="G43" s="32">
        <f t="shared" si="13"/>
        <v>31</v>
      </c>
      <c r="H43" s="32">
        <f t="shared" si="14"/>
        <v>188</v>
      </c>
      <c r="I43" s="57">
        <f t="shared" ca="1" si="15"/>
        <v>30511.800624395615</v>
      </c>
      <c r="J43" s="57">
        <f t="shared" ca="1" si="16"/>
        <v>-69.863549489681191</v>
      </c>
      <c r="K43" s="58">
        <f t="shared" ca="1" si="1"/>
        <v>992.03376891766811</v>
      </c>
      <c r="L43" s="58">
        <f t="shared" ca="1" si="17"/>
        <v>2557.1988288268913</v>
      </c>
      <c r="M43" s="59">
        <f t="shared" si="2"/>
        <v>0</v>
      </c>
      <c r="N43" s="32">
        <f t="shared" si="3"/>
        <v>0</v>
      </c>
      <c r="O43" s="58">
        <f t="shared" ca="1" si="4"/>
        <v>3479.3690482548782</v>
      </c>
      <c r="P43" s="58">
        <f t="shared" ca="1" si="5"/>
        <v>30581.664173885296</v>
      </c>
      <c r="Q43" s="58">
        <f t="shared" ca="1" si="6"/>
        <v>0.51283829849112139</v>
      </c>
      <c r="R43" s="58">
        <f t="shared" ca="1" si="7"/>
        <v>0.51283829849112139</v>
      </c>
      <c r="T43" s="32">
        <f t="shared" ca="1" si="8"/>
        <v>3479.3690482548782</v>
      </c>
      <c r="U43" s="32">
        <f t="shared" si="9"/>
        <v>188</v>
      </c>
      <c r="V43" s="59">
        <f t="shared" si="10"/>
        <v>1.4072785310214271</v>
      </c>
      <c r="W43" s="57">
        <f t="shared" ca="1" si="11"/>
        <v>2472.41</v>
      </c>
      <c r="X43" s="58">
        <f t="shared" ca="1" si="18"/>
        <v>2557.1988288268913</v>
      </c>
      <c r="Y43" s="58">
        <f t="shared" ca="1" si="19"/>
        <v>2557.1988288268913</v>
      </c>
    </row>
    <row r="44" spans="2:25" s="16" customFormat="1" x14ac:dyDescent="0.3">
      <c r="B44" s="32">
        <v>7</v>
      </c>
      <c r="C44" s="79">
        <f t="shared" si="20"/>
        <v>46107</v>
      </c>
      <c r="D44" s="32">
        <f t="shared" si="0"/>
        <v>4</v>
      </c>
      <c r="E44" s="79">
        <f t="shared" si="12"/>
        <v>46107</v>
      </c>
      <c r="F44" s="79">
        <f>IF(B43&gt;$C$18,"",IF(COUNTIF(Feriados!$A$2:$B$18,EDATE($C$38,B43))=0,EDATE($C$38,B43),EDATE($C$38,B43)+VLOOKUP(EDATE($C$38,B43),Feriados!$A$2:$B$18,2,FALSE)))</f>
        <v>46107</v>
      </c>
      <c r="G44" s="32">
        <f t="shared" si="13"/>
        <v>28</v>
      </c>
      <c r="H44" s="32">
        <f t="shared" si="14"/>
        <v>216</v>
      </c>
      <c r="I44" s="57">
        <f t="shared" ca="1" si="15"/>
        <v>30581.664173885296</v>
      </c>
      <c r="J44" s="57">
        <f t="shared" ca="1" si="16"/>
        <v>276.77915739917808</v>
      </c>
      <c r="K44" s="58">
        <f t="shared" ca="1" si="1"/>
        <v>896.68579887900341</v>
      </c>
      <c r="L44" s="58">
        <f t="shared" ca="1" si="17"/>
        <v>2305.9040919766967</v>
      </c>
      <c r="M44" s="59">
        <f t="shared" si="2"/>
        <v>0</v>
      </c>
      <c r="N44" s="32">
        <f t="shared" si="3"/>
        <v>0</v>
      </c>
      <c r="O44" s="58">
        <f t="shared" ca="1" si="4"/>
        <v>3479.3690482548782</v>
      </c>
      <c r="P44" s="58">
        <f t="shared" ca="1" si="5"/>
        <v>30304.885016486118</v>
      </c>
      <c r="Q44" s="58">
        <f t="shared" ca="1" si="6"/>
        <v>0.46428649326983873</v>
      </c>
      <c r="R44" s="58">
        <f t="shared" ca="1" si="7"/>
        <v>0.46428649326983873</v>
      </c>
      <c r="T44" s="32">
        <f t="shared" ca="1" si="8"/>
        <v>3479.3690482548782</v>
      </c>
      <c r="U44" s="32">
        <f t="shared" si="9"/>
        <v>216</v>
      </c>
      <c r="V44" s="59">
        <f t="shared" si="10"/>
        <v>1.4807414050877201</v>
      </c>
      <c r="W44" s="57">
        <f t="shared" ca="1" si="11"/>
        <v>2349.75</v>
      </c>
      <c r="X44" s="58">
        <f t="shared" ca="1" si="18"/>
        <v>2305.9040919766967</v>
      </c>
      <c r="Y44" s="58">
        <f t="shared" ca="1" si="19"/>
        <v>2305.9040919766967</v>
      </c>
    </row>
    <row r="45" spans="2:25" s="16" customFormat="1" x14ac:dyDescent="0.3">
      <c r="B45" s="32">
        <v>8</v>
      </c>
      <c r="C45" s="79">
        <f t="shared" si="20"/>
        <v>46139</v>
      </c>
      <c r="D45" s="32">
        <f t="shared" si="0"/>
        <v>1</v>
      </c>
      <c r="E45" s="79">
        <f t="shared" si="12"/>
        <v>46139</v>
      </c>
      <c r="F45" s="79">
        <f>IF(B44&gt;$C$18,"",IF(COUNTIF(Feriados!$A$2:$B$18,EDATE($C$38,B44))=0,EDATE($C$38,B44),EDATE($C$38,B44)+VLOOKUP(EDATE($C$38,B44),Feriados!$A$2:$B$18,2,FALSE)))</f>
        <v>46138</v>
      </c>
      <c r="G45" s="32">
        <f t="shared" si="13"/>
        <v>32</v>
      </c>
      <c r="H45" s="32">
        <f t="shared" si="14"/>
        <v>248</v>
      </c>
      <c r="I45" s="57">
        <f t="shared" ca="1" si="15"/>
        <v>30304.885016486118</v>
      </c>
      <c r="J45" s="57">
        <f t="shared" ca="1" si="16"/>
        <v>-163.48928127922545</v>
      </c>
      <c r="K45" s="58">
        <f t="shared" ca="1" si="1"/>
        <v>1017.6182326606408</v>
      </c>
      <c r="L45" s="58">
        <f t="shared" ca="1" si="17"/>
        <v>2625.2400968734628</v>
      </c>
      <c r="M45" s="59">
        <f t="shared" si="2"/>
        <v>0</v>
      </c>
      <c r="N45" s="32">
        <f t="shared" si="3"/>
        <v>0</v>
      </c>
      <c r="O45" s="58">
        <f t="shared" ca="1" si="4"/>
        <v>3479.3690482548782</v>
      </c>
      <c r="P45" s="58">
        <f t="shared" ca="1" si="5"/>
        <v>30468.374297765342</v>
      </c>
      <c r="Q45" s="58">
        <f t="shared" ca="1" si="6"/>
        <v>0.41440121488442866</v>
      </c>
      <c r="R45" s="58">
        <f t="shared" ca="1" si="7"/>
        <v>0.41440121488442866</v>
      </c>
      <c r="T45" s="32">
        <f t="shared" ca="1" si="8"/>
        <v>3479.3690482548782</v>
      </c>
      <c r="U45" s="32">
        <f t="shared" si="9"/>
        <v>248</v>
      </c>
      <c r="V45" s="59">
        <f t="shared" si="10"/>
        <v>1.569406334826944</v>
      </c>
      <c r="W45" s="57">
        <f t="shared" ca="1" si="11"/>
        <v>2217</v>
      </c>
      <c r="X45" s="58">
        <f t="shared" ca="1" si="18"/>
        <v>2625.2400968734628</v>
      </c>
      <c r="Y45" s="58">
        <f t="shared" ca="1" si="19"/>
        <v>2625.2400968734628</v>
      </c>
    </row>
    <row r="46" spans="2:25" s="16" customFormat="1" x14ac:dyDescent="0.3">
      <c r="B46" s="32">
        <v>9</v>
      </c>
      <c r="C46" s="79">
        <f t="shared" si="20"/>
        <v>46168</v>
      </c>
      <c r="D46" s="32">
        <f t="shared" si="0"/>
        <v>2</v>
      </c>
      <c r="E46" s="79">
        <f t="shared" si="12"/>
        <v>46168</v>
      </c>
      <c r="F46" s="79">
        <f>IF(B45&gt;$C$18,"",IF(COUNTIF(Feriados!$A$2:$B$18,EDATE($C$38,B45))=0,EDATE($C$38,B45),EDATE($C$38,B45)+VLOOKUP(EDATE($C$38,B45),Feriados!$A$2:$B$18,2,FALSE)))</f>
        <v>46168</v>
      </c>
      <c r="G46" s="32">
        <f t="shared" si="13"/>
        <v>29</v>
      </c>
      <c r="H46" s="32">
        <f t="shared" si="14"/>
        <v>277</v>
      </c>
      <c r="I46" s="57">
        <f t="shared" ca="1" si="15"/>
        <v>30468.374297765342</v>
      </c>
      <c r="J46" s="57">
        <f t="shared" ca="1" si="16"/>
        <v>171.07982928450951</v>
      </c>
      <c r="K46" s="58">
        <f t="shared" ca="1" si="1"/>
        <v>925.74984194367039</v>
      </c>
      <c r="L46" s="58">
        <f t="shared" ca="1" si="17"/>
        <v>2382.5393770266983</v>
      </c>
      <c r="M46" s="59">
        <f t="shared" si="2"/>
        <v>0</v>
      </c>
      <c r="N46" s="32">
        <f t="shared" si="3"/>
        <v>0</v>
      </c>
      <c r="O46" s="58">
        <f t="shared" ca="1" si="4"/>
        <v>3479.3690482548782</v>
      </c>
      <c r="P46" s="58">
        <f t="shared" ca="1" si="5"/>
        <v>30297.294468480832</v>
      </c>
      <c r="Q46" s="58">
        <f t="shared" ca="1" si="6"/>
        <v>0.37383844520833281</v>
      </c>
      <c r="R46" s="58">
        <f t="shared" ca="1" si="7"/>
        <v>0.37383844520833281</v>
      </c>
      <c r="T46" s="32">
        <f t="shared" ca="1" si="8"/>
        <v>3479.3690482548782</v>
      </c>
      <c r="U46" s="32">
        <f t="shared" si="9"/>
        <v>277</v>
      </c>
      <c r="V46" s="59">
        <f t="shared" si="10"/>
        <v>1.6543363604120225</v>
      </c>
      <c r="W46" s="57">
        <f t="shared" ca="1" si="11"/>
        <v>2103.1799999999998</v>
      </c>
      <c r="X46" s="58">
        <f t="shared" ca="1" si="18"/>
        <v>2382.5393770266983</v>
      </c>
      <c r="Y46" s="58">
        <f t="shared" ca="1" si="19"/>
        <v>2382.5393770266983</v>
      </c>
    </row>
    <row r="47" spans="2:25" s="16" customFormat="1" x14ac:dyDescent="0.3">
      <c r="B47" s="32">
        <v>10</v>
      </c>
      <c r="C47" s="79">
        <f t="shared" si="20"/>
        <v>46199</v>
      </c>
      <c r="D47" s="32">
        <f t="shared" si="0"/>
        <v>5</v>
      </c>
      <c r="E47" s="79">
        <f t="shared" si="12"/>
        <v>46199</v>
      </c>
      <c r="F47" s="79">
        <f>IF(B46&gt;$C$18,"",IF(COUNTIF(Feriados!$A$2:$B$18,EDATE($C$38,B46))=0,EDATE($C$38,B46),EDATE($C$38,B46)+VLOOKUP(EDATE($C$38,B46),Feriados!$A$2:$B$18,2,FALSE)))</f>
        <v>46199</v>
      </c>
      <c r="G47" s="32">
        <f t="shared" si="13"/>
        <v>31</v>
      </c>
      <c r="H47" s="32">
        <f t="shared" si="14"/>
        <v>308</v>
      </c>
      <c r="I47" s="57">
        <f t="shared" ca="1" si="15"/>
        <v>30297.294468480832</v>
      </c>
      <c r="J47" s="57">
        <f t="shared" ca="1" si="16"/>
        <v>-44.911490764542918</v>
      </c>
      <c r="K47" s="58">
        <f t="shared" ca="1" si="1"/>
        <v>985.05950499507151</v>
      </c>
      <c r="L47" s="58">
        <f t="shared" ca="1" si="17"/>
        <v>2539.2210340243496</v>
      </c>
      <c r="M47" s="59">
        <f t="shared" si="2"/>
        <v>0</v>
      </c>
      <c r="N47" s="32">
        <f t="shared" si="3"/>
        <v>0</v>
      </c>
      <c r="O47" s="58">
        <f t="shared" ca="1" si="4"/>
        <v>3479.3690482548782</v>
      </c>
      <c r="P47" s="58">
        <f t="shared" ca="1" si="5"/>
        <v>30342.205959245373</v>
      </c>
      <c r="Q47" s="58">
        <f t="shared" ca="1" si="6"/>
        <v>0.33485870186168148</v>
      </c>
      <c r="R47" s="58">
        <f t="shared" ca="1" si="7"/>
        <v>0.33485870186168148</v>
      </c>
      <c r="T47" s="32">
        <f t="shared" ca="1" si="8"/>
        <v>3479.3690482548782</v>
      </c>
      <c r="U47" s="32">
        <f t="shared" si="9"/>
        <v>308</v>
      </c>
      <c r="V47" s="59">
        <f t="shared" si="10"/>
        <v>1.7502123350146099</v>
      </c>
      <c r="W47" s="57">
        <f t="shared" ca="1" si="11"/>
        <v>1987.97</v>
      </c>
      <c r="X47" s="58">
        <f t="shared" ca="1" si="18"/>
        <v>2539.2210340243496</v>
      </c>
      <c r="Y47" s="58">
        <f t="shared" ca="1" si="19"/>
        <v>2539.2210340243496</v>
      </c>
    </row>
    <row r="48" spans="2:25" s="16" customFormat="1" x14ac:dyDescent="0.3">
      <c r="B48" s="32">
        <v>11</v>
      </c>
      <c r="C48" s="79">
        <f t="shared" si="20"/>
        <v>46230</v>
      </c>
      <c r="D48" s="32">
        <f t="shared" si="0"/>
        <v>1</v>
      </c>
      <c r="E48" s="79">
        <f t="shared" si="12"/>
        <v>46230</v>
      </c>
      <c r="F48" s="79">
        <f>IF(B47&gt;$C$18,"",IF(COUNTIF(Feriados!$A$2:$B$18,EDATE($C$38,B47))=0,EDATE($C$38,B47),EDATE($C$38,B47)+VLOOKUP(EDATE($C$38,B47),Feriados!$A$2:$B$18,2,FALSE)))</f>
        <v>46229</v>
      </c>
      <c r="G48" s="32">
        <f t="shared" si="13"/>
        <v>31</v>
      </c>
      <c r="H48" s="32">
        <f t="shared" si="14"/>
        <v>339</v>
      </c>
      <c r="I48" s="57">
        <f t="shared" ca="1" si="15"/>
        <v>30342.205959245373</v>
      </c>
      <c r="J48" s="57">
        <f t="shared" ca="1" si="16"/>
        <v>-50.135742489214181</v>
      </c>
      <c r="K48" s="58">
        <f t="shared" ca="1" si="1"/>
        <v>986.51971758623654</v>
      </c>
      <c r="L48" s="58">
        <f t="shared" ca="1" si="17"/>
        <v>2542.9850731578558</v>
      </c>
      <c r="M48" s="59">
        <f t="shared" si="2"/>
        <v>0</v>
      </c>
      <c r="N48" s="32">
        <f t="shared" si="3"/>
        <v>0</v>
      </c>
      <c r="O48" s="58">
        <f t="shared" ca="1" si="4"/>
        <v>3479.3690482548782</v>
      </c>
      <c r="P48" s="58">
        <f t="shared" ca="1" si="5"/>
        <v>30392.341701734589</v>
      </c>
      <c r="Q48" s="58">
        <f t="shared" ca="1" si="6"/>
        <v>0.29994333554967162</v>
      </c>
      <c r="R48" s="58">
        <f t="shared" ca="1" si="7"/>
        <v>0.29994333554967162</v>
      </c>
      <c r="T48" s="32">
        <f t="shared" ca="1" si="8"/>
        <v>3479.3690482548782</v>
      </c>
      <c r="U48" s="32">
        <f t="shared" si="9"/>
        <v>339</v>
      </c>
      <c r="V48" s="59">
        <f t="shared" si="10"/>
        <v>1.8516447386034447</v>
      </c>
      <c r="W48" s="57">
        <f t="shared" ca="1" si="11"/>
        <v>1879.07</v>
      </c>
      <c r="X48" s="58">
        <f t="shared" ca="1" si="18"/>
        <v>2542.9850731578558</v>
      </c>
      <c r="Y48" s="58">
        <f t="shared" ca="1" si="19"/>
        <v>2542.9850731578558</v>
      </c>
    </row>
    <row r="49" spans="2:25" s="16" customFormat="1" x14ac:dyDescent="0.3">
      <c r="B49" s="32">
        <v>12</v>
      </c>
      <c r="C49" s="79">
        <f t="shared" si="20"/>
        <v>46260</v>
      </c>
      <c r="D49" s="32">
        <f t="shared" si="0"/>
        <v>3</v>
      </c>
      <c r="E49" s="79">
        <f t="shared" si="12"/>
        <v>46260</v>
      </c>
      <c r="F49" s="79">
        <f>IF(B48&gt;$C$18,"",IF(COUNTIF(Feriados!$A$2:$B$18,EDATE($C$38,B48))=0,EDATE($C$38,B48),EDATE($C$38,B48)+VLOOKUP(EDATE($C$38,B48),Feriados!$A$2:$B$18,2,FALSE)))</f>
        <v>46260</v>
      </c>
      <c r="G49" s="32">
        <f t="shared" si="13"/>
        <v>30</v>
      </c>
      <c r="H49" s="32">
        <f t="shared" si="14"/>
        <v>369</v>
      </c>
      <c r="I49" s="57">
        <f t="shared" ca="1" si="15"/>
        <v>30392.341701734589</v>
      </c>
      <c r="J49" s="57">
        <f t="shared" ca="1" si="16"/>
        <v>61.811338812045165</v>
      </c>
      <c r="K49" s="58">
        <f t="shared" ca="1" si="1"/>
        <v>955.77803160233259</v>
      </c>
      <c r="L49" s="58">
        <f t="shared" ca="1" si="17"/>
        <v>2461.7796778405004</v>
      </c>
      <c r="M49" s="59">
        <f t="shared" si="2"/>
        <v>0</v>
      </c>
      <c r="N49" s="32">
        <f t="shared" si="3"/>
        <v>0</v>
      </c>
      <c r="O49" s="58">
        <f t="shared" ca="1" si="4"/>
        <v>3479.3690482548782</v>
      </c>
      <c r="P49" s="58">
        <f t="shared" ca="1" si="5"/>
        <v>30330.530362922545</v>
      </c>
      <c r="Q49" s="58">
        <f t="shared" ca="1" si="6"/>
        <v>0.26962459232191477</v>
      </c>
      <c r="R49" s="58">
        <f t="shared" ca="1" si="7"/>
        <v>0.26962459232191477</v>
      </c>
      <c r="T49" s="32">
        <f t="shared" ca="1" si="8"/>
        <v>3479.3690482548782</v>
      </c>
      <c r="U49" s="32">
        <f t="shared" si="9"/>
        <v>369</v>
      </c>
      <c r="V49" s="59">
        <f t="shared" si="10"/>
        <v>1.9553987578842436</v>
      </c>
      <c r="W49" s="57">
        <f t="shared" ca="1" si="11"/>
        <v>1779.37</v>
      </c>
      <c r="X49" s="58">
        <f t="shared" ca="1" si="18"/>
        <v>2461.7796778405004</v>
      </c>
      <c r="Y49" s="58">
        <f t="shared" ca="1" si="19"/>
        <v>2461.7796778405004</v>
      </c>
    </row>
    <row r="50" spans="2:25" s="16" customFormat="1" x14ac:dyDescent="0.3">
      <c r="B50" s="32">
        <v>13</v>
      </c>
      <c r="C50" s="79">
        <f t="shared" si="20"/>
        <v>46291</v>
      </c>
      <c r="D50" s="32">
        <f t="shared" si="0"/>
        <v>6</v>
      </c>
      <c r="E50" s="79">
        <f t="shared" si="12"/>
        <v>46291</v>
      </c>
      <c r="F50" s="79">
        <f>IF(B49&gt;$C$18,"",IF(COUNTIF(Feriados!$A$2:$B$18,EDATE($C$38,B49))=0,EDATE($C$38,B49),EDATE($C$38,B49)+VLOOKUP(EDATE($C$38,B49),Feriados!$A$2:$B$18,2,FALSE)))</f>
        <v>46291</v>
      </c>
      <c r="G50" s="32">
        <f t="shared" si="13"/>
        <v>31</v>
      </c>
      <c r="H50" s="32">
        <f t="shared" si="14"/>
        <v>400</v>
      </c>
      <c r="I50" s="57">
        <f t="shared" ref="I50:I102" ca="1" si="21">IF(B50&gt;C$18,"",P49)</f>
        <v>30330.530362922545</v>
      </c>
      <c r="J50" s="57">
        <f t="shared" ref="J50:J101" ca="1" si="22">IF(B50&gt;C$18,"",O50-N50-M50-L50-K50)</f>
        <v>-48.7775988785761</v>
      </c>
      <c r="K50" s="58">
        <f t="shared" ca="1" si="1"/>
        <v>986.14010754725268</v>
      </c>
      <c r="L50" s="58">
        <f t="shared" ca="1" si="17"/>
        <v>2542.0065395862016</v>
      </c>
      <c r="M50" s="59">
        <f t="shared" si="2"/>
        <v>0</v>
      </c>
      <c r="N50" s="32">
        <f t="shared" si="3"/>
        <v>0</v>
      </c>
      <c r="O50" s="58">
        <f t="shared" ca="1" si="4"/>
        <v>3479.3690482548782</v>
      </c>
      <c r="P50" s="58">
        <f t="shared" ref="P50:P101" ca="1" si="23">IF(B50&gt;C$18,"",I50-J50)</f>
        <v>30379.307961801122</v>
      </c>
      <c r="Q50" s="58">
        <f t="shared" ca="1" si="6"/>
        <v>0.24151111832435201</v>
      </c>
      <c r="R50" s="58">
        <f t="shared" ca="1" si="7"/>
        <v>0.24151111832435201</v>
      </c>
      <c r="T50" s="32">
        <f t="shared" ref="T50:T102" ca="1" si="24">IFERROR(J50+K50+L50+M50+N50,"")</f>
        <v>3479.3690482548782</v>
      </c>
      <c r="U50" s="32">
        <f t="shared" si="9"/>
        <v>400</v>
      </c>
      <c r="V50" s="59">
        <f t="shared" si="10"/>
        <v>2.0687226055219448</v>
      </c>
      <c r="W50" s="57">
        <f t="shared" ca="1" si="11"/>
        <v>1681.89</v>
      </c>
      <c r="X50" s="58">
        <f t="shared" ca="1" si="18"/>
        <v>2542.0065395862016</v>
      </c>
      <c r="Y50" s="58">
        <f t="shared" ref="Y50:Y103" ca="1" si="25">IF(O50="",0,L50/((1+$Q$30)^B50))</f>
        <v>2542.0065395862016</v>
      </c>
    </row>
    <row r="51" spans="2:25" s="16" customFormat="1" x14ac:dyDescent="0.3">
      <c r="B51" s="32">
        <v>14</v>
      </c>
      <c r="C51" s="79">
        <f t="shared" si="20"/>
        <v>46321</v>
      </c>
      <c r="D51" s="32">
        <f t="shared" si="0"/>
        <v>1</v>
      </c>
      <c r="E51" s="79">
        <f t="shared" si="12"/>
        <v>46321</v>
      </c>
      <c r="F51" s="79">
        <f>IF(B50&gt;$C$18,"",IF(COUNTIF(Feriados!$A$2:$B$17,EDATE($C$38,B50))=0,EDATE($C$38,B50),EDATE($C$38,B50)+VLOOKUP(EDATE($C$38,B50),Feriados!$A$2:$B$17,2,FALSE)))</f>
        <v>46321</v>
      </c>
      <c r="G51" s="32">
        <f t="shared" si="13"/>
        <v>30</v>
      </c>
      <c r="H51" s="32">
        <f t="shared" si="14"/>
        <v>430</v>
      </c>
      <c r="I51" s="57">
        <f t="shared" ca="1" si="21"/>
        <v>30379.307961801122</v>
      </c>
      <c r="J51" s="57">
        <f t="shared" ca="1" si="22"/>
        <v>63.27695665846295</v>
      </c>
      <c r="K51" s="58">
        <f t="shared" ca="1" si="1"/>
        <v>955.36814669052546</v>
      </c>
      <c r="L51" s="58">
        <f t="shared" ca="1" si="17"/>
        <v>2460.7239449058898</v>
      </c>
      <c r="M51" s="59">
        <f t="shared" si="2"/>
        <v>0</v>
      </c>
      <c r="N51" s="32">
        <f t="shared" si="3"/>
        <v>0</v>
      </c>
      <c r="O51" s="58">
        <f t="shared" ca="1" si="4"/>
        <v>3479.3690482548782</v>
      </c>
      <c r="P51" s="58">
        <f t="shared" ca="1" si="23"/>
        <v>30316.031005142657</v>
      </c>
      <c r="Q51" s="58">
        <f t="shared" ca="1" si="6"/>
        <v>0.21709879534439422</v>
      </c>
      <c r="R51" s="58">
        <f t="shared" ca="1" si="7"/>
        <v>0.21709879534439422</v>
      </c>
      <c r="T51" s="32">
        <f t="shared" ca="1" si="24"/>
        <v>3479.3690482548782</v>
      </c>
      <c r="U51" s="32">
        <f t="shared" si="9"/>
        <v>430</v>
      </c>
      <c r="V51" s="59">
        <f t="shared" si="10"/>
        <v>2.1846402438383707</v>
      </c>
      <c r="W51" s="57">
        <f t="shared" ca="1" si="11"/>
        <v>1592.65</v>
      </c>
      <c r="X51" s="58">
        <f t="shared" ca="1" si="18"/>
        <v>2460.7239449058898</v>
      </c>
      <c r="Y51" s="58">
        <f t="shared" ca="1" si="25"/>
        <v>2460.7239449058898</v>
      </c>
    </row>
    <row r="52" spans="2:25" s="16" customFormat="1" x14ac:dyDescent="0.3">
      <c r="B52" s="32">
        <v>15</v>
      </c>
      <c r="C52" s="79">
        <f t="shared" si="20"/>
        <v>46352</v>
      </c>
      <c r="D52" s="32">
        <f t="shared" si="0"/>
        <v>4</v>
      </c>
      <c r="E52" s="79">
        <f t="shared" si="12"/>
        <v>46352</v>
      </c>
      <c r="F52" s="79">
        <f>IF(B51&gt;$C$18,"",IF(COUNTIF(Feriados!$A$2:$B$17,EDATE($C$38,B51))=0,EDATE($C$38,B51),EDATE($C$38,B51)+VLOOKUP(EDATE($C$38,B51),Feriados!$A$2:$B$17,2,FALSE)))</f>
        <v>46352</v>
      </c>
      <c r="G52" s="32">
        <f t="shared" si="13"/>
        <v>31</v>
      </c>
      <c r="H52" s="32">
        <f t="shared" si="14"/>
        <v>461</v>
      </c>
      <c r="I52" s="57">
        <f t="shared" ca="1" si="21"/>
        <v>30316.031005142657</v>
      </c>
      <c r="J52" s="57">
        <f t="shared" ca="1" si="22"/>
        <v>-47.090986085308145</v>
      </c>
      <c r="K52" s="58">
        <f t="shared" ca="1" si="1"/>
        <v>985.6686882192904</v>
      </c>
      <c r="L52" s="58">
        <f t="shared" ca="1" si="17"/>
        <v>2540.7913461208959</v>
      </c>
      <c r="M52" s="59">
        <f t="shared" si="2"/>
        <v>0</v>
      </c>
      <c r="N52" s="32">
        <f t="shared" si="3"/>
        <v>0</v>
      </c>
      <c r="O52" s="58">
        <f t="shared" ca="1" si="4"/>
        <v>3479.3690482548782</v>
      </c>
      <c r="P52" s="58">
        <f t="shared" ca="1" si="23"/>
        <v>30363.121991227967</v>
      </c>
      <c r="Q52" s="58">
        <f t="shared" ca="1" si="6"/>
        <v>0.19446213121351355</v>
      </c>
      <c r="R52" s="58">
        <f t="shared" ca="1" si="7"/>
        <v>0.19446213121351355</v>
      </c>
      <c r="T52" s="32">
        <f t="shared" ca="1" si="24"/>
        <v>3479.3690482548782</v>
      </c>
      <c r="U52" s="32">
        <f t="shared" si="9"/>
        <v>461</v>
      </c>
      <c r="V52" s="59">
        <f t="shared" si="10"/>
        <v>2.3112496308688733</v>
      </c>
      <c r="W52" s="57">
        <f t="shared" ca="1" si="11"/>
        <v>1505.41</v>
      </c>
      <c r="X52" s="58">
        <f t="shared" ca="1" si="18"/>
        <v>2540.7913461208959</v>
      </c>
      <c r="Y52" s="58">
        <f t="shared" ca="1" si="25"/>
        <v>2540.7913461208959</v>
      </c>
    </row>
    <row r="53" spans="2:25" s="16" customFormat="1" x14ac:dyDescent="0.3">
      <c r="B53" s="32">
        <v>16</v>
      </c>
      <c r="C53" s="79">
        <f t="shared" si="20"/>
        <v>46382</v>
      </c>
      <c r="D53" s="32">
        <f t="shared" si="0"/>
        <v>6</v>
      </c>
      <c r="E53" s="79">
        <f t="shared" si="12"/>
        <v>46382</v>
      </c>
      <c r="F53" s="79">
        <f>IF(B52&gt;$C$18,"",IF(COUNTIF(Feriados!$A$2:$B$17,EDATE($C$38,B52))=0,EDATE($C$38,B52),EDATE($C$38,B52)+VLOOKUP(EDATE($C$38,B52),Feriados!$A$2:$B$17,2,FALSE)))</f>
        <v>46382</v>
      </c>
      <c r="G53" s="32">
        <f t="shared" si="13"/>
        <v>30</v>
      </c>
      <c r="H53" s="32">
        <f t="shared" si="14"/>
        <v>491</v>
      </c>
      <c r="I53" s="57">
        <f t="shared" ca="1" si="21"/>
        <v>30363.121991227967</v>
      </c>
      <c r="J53" s="57">
        <f t="shared" ca="1" si="22"/>
        <v>65.097036501601337</v>
      </c>
      <c r="K53" s="58">
        <f t="shared" ca="1" si="1"/>
        <v>954.85913046381268</v>
      </c>
      <c r="L53" s="58">
        <f t="shared" ca="1" si="17"/>
        <v>2459.4128812894642</v>
      </c>
      <c r="M53" s="59">
        <f t="shared" si="2"/>
        <v>0</v>
      </c>
      <c r="N53" s="32">
        <f t="shared" si="3"/>
        <v>0</v>
      </c>
      <c r="O53" s="58">
        <f t="shared" ca="1" si="4"/>
        <v>3479.3690482548782</v>
      </c>
      <c r="P53" s="58">
        <f t="shared" ca="1" si="23"/>
        <v>30298.024954726367</v>
      </c>
      <c r="Q53" s="58">
        <f t="shared" ca="1" si="6"/>
        <v>0.17480559371125412</v>
      </c>
      <c r="R53" s="58">
        <f t="shared" ca="1" si="7"/>
        <v>0.17480559371125412</v>
      </c>
      <c r="T53" s="32">
        <f t="shared" ca="1" si="24"/>
        <v>3479.3690482548782</v>
      </c>
      <c r="U53" s="32">
        <f t="shared" si="9"/>
        <v>491</v>
      </c>
      <c r="V53" s="59">
        <f t="shared" si="10"/>
        <v>2.440756892042943</v>
      </c>
      <c r="W53" s="57">
        <f t="shared" ca="1" si="11"/>
        <v>1425.53</v>
      </c>
      <c r="X53" s="58">
        <f t="shared" ca="1" si="18"/>
        <v>2459.4128812894642</v>
      </c>
      <c r="Y53" s="58">
        <f t="shared" ca="1" si="25"/>
        <v>2459.4128812894642</v>
      </c>
    </row>
    <row r="54" spans="2:25" s="16" customFormat="1" x14ac:dyDescent="0.3">
      <c r="B54" s="32">
        <v>17</v>
      </c>
      <c r="C54" s="79">
        <f t="shared" si="20"/>
        <v>46413</v>
      </c>
      <c r="D54" s="32">
        <f t="shared" si="0"/>
        <v>2</v>
      </c>
      <c r="E54" s="79">
        <f t="shared" si="12"/>
        <v>46413</v>
      </c>
      <c r="F54" s="79">
        <f>IF(B53&gt;$C$18,"",IF(COUNTIF(Feriados!$A$2:$B$17,EDATE($C$38,B53))=0,EDATE($C$38,B53),EDATE($C$38,B53)+VLOOKUP(EDATE($C$38,B53),Feriados!$A$2:$B$17,2,FALSE)))</f>
        <v>46413</v>
      </c>
      <c r="G54" s="32">
        <f t="shared" si="13"/>
        <v>31</v>
      </c>
      <c r="H54" s="32">
        <f t="shared" si="14"/>
        <v>522</v>
      </c>
      <c r="I54" s="57">
        <f t="shared" ca="1" si="21"/>
        <v>30298.024954726367</v>
      </c>
      <c r="J54" s="57">
        <f t="shared" ca="1" si="22"/>
        <v>-44.996463317515804</v>
      </c>
      <c r="K54" s="58">
        <f t="shared" ca="1" si="1"/>
        <v>985.08325538044608</v>
      </c>
      <c r="L54" s="58">
        <f t="shared" ca="1" si="17"/>
        <v>2539.2822561919479</v>
      </c>
      <c r="M54" s="59">
        <f t="shared" si="2"/>
        <v>0</v>
      </c>
      <c r="N54" s="32">
        <f t="shared" si="3"/>
        <v>0</v>
      </c>
      <c r="O54" s="58">
        <f t="shared" ca="1" si="4"/>
        <v>3479.3690482548782</v>
      </c>
      <c r="P54" s="58">
        <f t="shared" ca="1" si="23"/>
        <v>30343.021418043882</v>
      </c>
      <c r="Q54" s="58">
        <f t="shared" ca="1" si="6"/>
        <v>0.15657879744200887</v>
      </c>
      <c r="R54" s="58">
        <f t="shared" ca="1" si="7"/>
        <v>0.15657879744200887</v>
      </c>
      <c r="T54" s="32">
        <f t="shared" ca="1" si="24"/>
        <v>3479.3690482548782</v>
      </c>
      <c r="U54" s="32">
        <f t="shared" si="9"/>
        <v>522</v>
      </c>
      <c r="V54" s="59">
        <f t="shared" si="10"/>
        <v>2.5822093508006758</v>
      </c>
      <c r="W54" s="57">
        <f t="shared" ca="1" si="11"/>
        <v>1347.44</v>
      </c>
      <c r="X54" s="58">
        <f t="shared" ca="1" si="18"/>
        <v>2539.2822561919479</v>
      </c>
      <c r="Y54" s="58">
        <f t="shared" ca="1" si="25"/>
        <v>2539.2822561919479</v>
      </c>
    </row>
    <row r="55" spans="2:25" s="16" customFormat="1" x14ac:dyDescent="0.3">
      <c r="B55" s="32">
        <v>18</v>
      </c>
      <c r="C55" s="79">
        <f t="shared" si="20"/>
        <v>46444</v>
      </c>
      <c r="D55" s="32">
        <f t="shared" si="0"/>
        <v>5</v>
      </c>
      <c r="E55" s="79">
        <f t="shared" si="12"/>
        <v>46444</v>
      </c>
      <c r="F55" s="79">
        <f>IF(B54&gt;$C$18,"",IF(COUNTIF(Feriados!$A$2:$B$17,EDATE($C$38,B54))=0,EDATE($C$38,B54),EDATE($C$38,B54)+VLOOKUP(EDATE($C$38,B54),Feriados!$A$2:$B$17,2,FALSE)))</f>
        <v>46444</v>
      </c>
      <c r="G55" s="32">
        <f t="shared" si="13"/>
        <v>31</v>
      </c>
      <c r="H55" s="32">
        <f t="shared" si="14"/>
        <v>553</v>
      </c>
      <c r="I55" s="57">
        <f t="shared" ca="1" si="21"/>
        <v>30343.021418043882</v>
      </c>
      <c r="J55" s="57">
        <f t="shared" ca="1" si="22"/>
        <v>-50.230599327897949</v>
      </c>
      <c r="K55" s="58">
        <f t="shared" ca="1" si="1"/>
        <v>986.54623069423826</v>
      </c>
      <c r="L55" s="58">
        <f t="shared" ca="1" si="17"/>
        <v>2543.0534168885379</v>
      </c>
      <c r="M55" s="59">
        <f t="shared" si="2"/>
        <v>0</v>
      </c>
      <c r="N55" s="32">
        <f t="shared" si="3"/>
        <v>0</v>
      </c>
      <c r="O55" s="58">
        <f t="shared" ca="1" si="4"/>
        <v>3479.3690482548782</v>
      </c>
      <c r="P55" s="58">
        <f t="shared" ca="1" si="23"/>
        <v>30393.252017371778</v>
      </c>
      <c r="Q55" s="58">
        <f t="shared" ca="1" si="6"/>
        <v>0.14025249013989205</v>
      </c>
      <c r="R55" s="58">
        <f t="shared" ca="1" si="7"/>
        <v>0.14025249013989205</v>
      </c>
      <c r="T55" s="32">
        <f t="shared" ca="1" si="24"/>
        <v>3479.3690482548782</v>
      </c>
      <c r="U55" s="32">
        <f t="shared" si="9"/>
        <v>553</v>
      </c>
      <c r="V55" s="59">
        <f t="shared" si="10"/>
        <v>2.7318595936776875</v>
      </c>
      <c r="W55" s="57">
        <f t="shared" ca="1" si="11"/>
        <v>1273.6300000000001</v>
      </c>
      <c r="X55" s="58">
        <f t="shared" ca="1" si="18"/>
        <v>2543.0534168885379</v>
      </c>
      <c r="Y55" s="58">
        <f t="shared" ca="1" si="25"/>
        <v>2543.0534168885379</v>
      </c>
    </row>
    <row r="56" spans="2:25" s="16" customFormat="1" x14ac:dyDescent="0.3">
      <c r="B56" s="32">
        <v>19</v>
      </c>
      <c r="C56" s="79">
        <f t="shared" si="20"/>
        <v>46472</v>
      </c>
      <c r="D56" s="32">
        <f t="shared" si="0"/>
        <v>5</v>
      </c>
      <c r="E56" s="79">
        <f t="shared" si="12"/>
        <v>46472</v>
      </c>
      <c r="F56" s="79">
        <f>IF(B55&gt;$C$18,"",IF(COUNTIF(Feriados!$A$2:$B$17,EDATE($C$38,B55))=0,EDATE($C$38,B55),EDATE($C$38,B55)+VLOOKUP(EDATE($C$38,B55),Feriados!$A$2:$B$17,2,FALSE)))</f>
        <v>46472</v>
      </c>
      <c r="G56" s="32">
        <f t="shared" si="13"/>
        <v>28</v>
      </c>
      <c r="H56" s="32">
        <f t="shared" si="14"/>
        <v>581</v>
      </c>
      <c r="I56" s="57">
        <f t="shared" ca="1" si="21"/>
        <v>30393.252017371778</v>
      </c>
      <c r="J56" s="57">
        <f t="shared" ca="1" si="22"/>
        <v>296.51015909789498</v>
      </c>
      <c r="K56" s="58">
        <f t="shared" ca="1" si="1"/>
        <v>891.16136096348578</v>
      </c>
      <c r="L56" s="58">
        <f t="shared" ca="1" si="17"/>
        <v>2291.6975281934974</v>
      </c>
      <c r="M56" s="59">
        <f t="shared" si="2"/>
        <v>0</v>
      </c>
      <c r="N56" s="32">
        <f t="shared" si="3"/>
        <v>0</v>
      </c>
      <c r="O56" s="58">
        <f t="shared" ca="1" si="4"/>
        <v>3479.3690482548782</v>
      </c>
      <c r="P56" s="58">
        <f t="shared" ca="1" si="23"/>
        <v>30096.741858273883</v>
      </c>
      <c r="Q56" s="58">
        <f t="shared" ca="1" si="6"/>
        <v>0.12697440306428376</v>
      </c>
      <c r="R56" s="58">
        <f t="shared" ca="1" si="7"/>
        <v>0.12697440306428376</v>
      </c>
      <c r="T56" s="32">
        <f t="shared" ca="1" si="24"/>
        <v>3479.3690482548782</v>
      </c>
      <c r="U56" s="32">
        <f t="shared" si="9"/>
        <v>581</v>
      </c>
      <c r="V56" s="59">
        <f t="shared" si="10"/>
        <v>2.8744683615038213</v>
      </c>
      <c r="W56" s="57">
        <f t="shared" ca="1" si="11"/>
        <v>1210.44</v>
      </c>
      <c r="X56" s="58">
        <f t="shared" ca="1" si="18"/>
        <v>2291.6975281934974</v>
      </c>
      <c r="Y56" s="58">
        <f t="shared" ca="1" si="25"/>
        <v>2291.6975281934974</v>
      </c>
    </row>
    <row r="57" spans="2:25" s="16" customFormat="1" x14ac:dyDescent="0.3">
      <c r="B57" s="32">
        <v>20</v>
      </c>
      <c r="C57" s="79">
        <f t="shared" si="20"/>
        <v>46503</v>
      </c>
      <c r="D57" s="32">
        <f t="shared" si="0"/>
        <v>1</v>
      </c>
      <c r="E57" s="79">
        <f t="shared" si="12"/>
        <v>46503</v>
      </c>
      <c r="F57" s="79">
        <f>IF(B56&gt;$C$18,"",IF(COUNTIF(Feriados!$A$2:$B$17,EDATE($C$38,B56))=0,EDATE($C$38,B56),EDATE($C$38,B56)+VLOOKUP(EDATE($C$38,B56),Feriados!$A$2:$B$17,2,FALSE)))</f>
        <v>46503</v>
      </c>
      <c r="G57" s="32">
        <f t="shared" si="13"/>
        <v>31</v>
      </c>
      <c r="H57" s="32">
        <f t="shared" si="14"/>
        <v>612</v>
      </c>
      <c r="I57" s="57">
        <f t="shared" ca="1" si="21"/>
        <v>30096.741858273883</v>
      </c>
      <c r="J57" s="57">
        <f t="shared" ca="1" si="22"/>
        <v>-21.582554184505966</v>
      </c>
      <c r="K57" s="58">
        <f t="shared" ca="1" si="1"/>
        <v>978.53891434822515</v>
      </c>
      <c r="L57" s="58">
        <f t="shared" ca="1" si="17"/>
        <v>2522.412688091159</v>
      </c>
      <c r="M57" s="59">
        <f t="shared" si="2"/>
        <v>0</v>
      </c>
      <c r="N57" s="32">
        <f t="shared" si="3"/>
        <v>0</v>
      </c>
      <c r="O57" s="58">
        <f t="shared" ca="1" si="4"/>
        <v>3479.3690482548782</v>
      </c>
      <c r="P57" s="58">
        <f t="shared" ca="1" si="23"/>
        <v>30118.324412458387</v>
      </c>
      <c r="Q57" s="58">
        <f t="shared" ca="1" si="6"/>
        <v>0.11373491497396225</v>
      </c>
      <c r="R57" s="58">
        <f t="shared" ca="1" si="7"/>
        <v>0.11373491497396225</v>
      </c>
      <c r="T57" s="32">
        <f t="shared" ca="1" si="24"/>
        <v>3479.3690482548782</v>
      </c>
      <c r="U57" s="32">
        <f t="shared" si="9"/>
        <v>612</v>
      </c>
      <c r="V57" s="59">
        <f t="shared" si="10"/>
        <v>3.0410562829316281</v>
      </c>
      <c r="W57" s="57">
        <f t="shared" ca="1" si="11"/>
        <v>1144.1300000000001</v>
      </c>
      <c r="X57" s="58">
        <f t="shared" ca="1" si="18"/>
        <v>2522.412688091159</v>
      </c>
      <c r="Y57" s="58">
        <f t="shared" ca="1" si="25"/>
        <v>2522.412688091159</v>
      </c>
    </row>
    <row r="58" spans="2:25" s="16" customFormat="1" x14ac:dyDescent="0.3">
      <c r="B58" s="32">
        <v>21</v>
      </c>
      <c r="C58" s="79">
        <f t="shared" si="20"/>
        <v>46533</v>
      </c>
      <c r="D58" s="32">
        <f t="shared" si="0"/>
        <v>3</v>
      </c>
      <c r="E58" s="79">
        <f t="shared" si="12"/>
        <v>46533</v>
      </c>
      <c r="F58" s="79">
        <f>IF(B57&gt;$C$18,"",IF(COUNTIF(Feriados!$A$2:$B$17,EDATE($C$38,B57))=0,EDATE($C$38,B57),EDATE($C$38,B57)+VLOOKUP(EDATE($C$38,B57),Feriados!$A$2:$B$17,2,FALSE)))</f>
        <v>46533</v>
      </c>
      <c r="G58" s="32">
        <f t="shared" si="13"/>
        <v>30</v>
      </c>
      <c r="H58" s="32">
        <f t="shared" si="14"/>
        <v>642</v>
      </c>
      <c r="I58" s="57">
        <f t="shared" ca="1" si="21"/>
        <v>30118.324412458387</v>
      </c>
      <c r="J58" s="57">
        <f t="shared" ca="1" si="22"/>
        <v>92.624031979187748</v>
      </c>
      <c r="K58" s="58">
        <f t="shared" ca="1" si="1"/>
        <v>947.16073886656204</v>
      </c>
      <c r="L58" s="58">
        <f t="shared" ca="1" si="17"/>
        <v>2439.5842774091284</v>
      </c>
      <c r="M58" s="59">
        <f t="shared" si="2"/>
        <v>0</v>
      </c>
      <c r="N58" s="32">
        <f t="shared" si="3"/>
        <v>0</v>
      </c>
      <c r="O58" s="58">
        <f t="shared" ca="1" si="4"/>
        <v>3479.3690482548782</v>
      </c>
      <c r="P58" s="58">
        <f t="shared" ca="1" si="23"/>
        <v>30025.7003804792</v>
      </c>
      <c r="Q58" s="58">
        <f t="shared" ca="1" si="6"/>
        <v>0.10223841121998806</v>
      </c>
      <c r="R58" s="58">
        <f t="shared" ca="1" si="7"/>
        <v>0.10223841121998806</v>
      </c>
      <c r="T58" s="32">
        <f t="shared" ca="1" si="24"/>
        <v>3479.3690482548782</v>
      </c>
      <c r="U58" s="32">
        <f t="shared" si="9"/>
        <v>642</v>
      </c>
      <c r="V58" s="59">
        <f t="shared" si="10"/>
        <v>3.211457119353013</v>
      </c>
      <c r="W58" s="57">
        <f t="shared" ca="1" si="11"/>
        <v>1083.42</v>
      </c>
      <c r="X58" s="58">
        <f t="shared" ca="1" si="18"/>
        <v>2439.5842774091284</v>
      </c>
      <c r="Y58" s="58">
        <f t="shared" ca="1" si="25"/>
        <v>2439.5842774091284</v>
      </c>
    </row>
    <row r="59" spans="2:25" s="16" customFormat="1" x14ac:dyDescent="0.3">
      <c r="B59" s="32">
        <v>22</v>
      </c>
      <c r="C59" s="79">
        <f t="shared" si="20"/>
        <v>46564</v>
      </c>
      <c r="D59" s="32">
        <f t="shared" si="0"/>
        <v>6</v>
      </c>
      <c r="E59" s="79">
        <f t="shared" si="12"/>
        <v>46564</v>
      </c>
      <c r="F59" s="79">
        <f>IF(B58&gt;$C$18,"",IF(COUNTIF(Feriados!$A$2:$B$17,EDATE($C$38,B58))=0,EDATE($C$38,B58),EDATE($C$38,B58)+VLOOKUP(EDATE($C$38,B58),Feriados!$A$2:$B$17,2,FALSE)))</f>
        <v>46564</v>
      </c>
      <c r="G59" s="32">
        <f t="shared" si="13"/>
        <v>31</v>
      </c>
      <c r="H59" s="32">
        <f t="shared" si="14"/>
        <v>673</v>
      </c>
      <c r="I59" s="57">
        <f t="shared" ca="1" si="21"/>
        <v>30025.7003804792</v>
      </c>
      <c r="J59" s="57">
        <f t="shared" ca="1" si="22"/>
        <v>-13.318776773112063</v>
      </c>
      <c r="K59" s="58">
        <f t="shared" ca="1" si="1"/>
        <v>976.22913440984314</v>
      </c>
      <c r="L59" s="58">
        <f t="shared" ca="1" si="17"/>
        <v>2516.4586906181471</v>
      </c>
      <c r="M59" s="59">
        <f t="shared" si="2"/>
        <v>0</v>
      </c>
      <c r="N59" s="32">
        <f t="shared" si="3"/>
        <v>0</v>
      </c>
      <c r="O59" s="58">
        <f t="shared" ca="1" si="4"/>
        <v>3479.3690482548782</v>
      </c>
      <c r="P59" s="58">
        <f t="shared" ca="1" si="23"/>
        <v>30039.019157252311</v>
      </c>
      <c r="Q59" s="58">
        <f t="shared" ca="1" si="6"/>
        <v>9.1578119105559797E-2</v>
      </c>
      <c r="R59" s="58">
        <f t="shared" ca="1" si="7"/>
        <v>9.1578119105559797E-2</v>
      </c>
      <c r="T59" s="32">
        <f t="shared" ca="1" si="24"/>
        <v>3479.3690482548782</v>
      </c>
      <c r="U59" s="32">
        <f t="shared" si="9"/>
        <v>673</v>
      </c>
      <c r="V59" s="59">
        <f t="shared" si="10"/>
        <v>3.3975750023787499</v>
      </c>
      <c r="W59" s="57">
        <f t="shared" ca="1" si="11"/>
        <v>1024.07</v>
      </c>
      <c r="X59" s="58">
        <f t="shared" ca="1" si="18"/>
        <v>2516.4586906181471</v>
      </c>
      <c r="Y59" s="58">
        <f t="shared" ca="1" si="25"/>
        <v>2516.4586906181471</v>
      </c>
    </row>
    <row r="60" spans="2:25" s="16" customFormat="1" x14ac:dyDescent="0.3">
      <c r="B60" s="32">
        <v>23</v>
      </c>
      <c r="C60" s="79">
        <f t="shared" si="20"/>
        <v>46594</v>
      </c>
      <c r="D60" s="32">
        <f t="shared" si="0"/>
        <v>1</v>
      </c>
      <c r="E60" s="79">
        <f t="shared" si="12"/>
        <v>46594</v>
      </c>
      <c r="F60" s="79">
        <f>IF(B59&gt;$C$18,"",IF(COUNTIF(Feriados!$A$2:$B$17,EDATE($C$38,B59))=0,EDATE($C$38,B59),EDATE($C$38,B59)+VLOOKUP(EDATE($C$38,B59),Feriados!$A$2:$B$17,2,FALSE)))</f>
        <v>46594</v>
      </c>
      <c r="G60" s="32">
        <f t="shared" si="13"/>
        <v>30</v>
      </c>
      <c r="H60" s="32">
        <f t="shared" si="14"/>
        <v>703</v>
      </c>
      <c r="I60" s="57">
        <f t="shared" ca="1" si="21"/>
        <v>30039.019157252311</v>
      </c>
      <c r="J60" s="57">
        <f t="shared" ca="1" si="22"/>
        <v>101.54174845489445</v>
      </c>
      <c r="K60" s="58">
        <f t="shared" ca="1" si="1"/>
        <v>944.66674806254775</v>
      </c>
      <c r="L60" s="58">
        <f t="shared" ca="1" si="17"/>
        <v>2433.160551737436</v>
      </c>
      <c r="M60" s="59">
        <f t="shared" si="2"/>
        <v>0</v>
      </c>
      <c r="N60" s="32">
        <f t="shared" si="3"/>
        <v>0</v>
      </c>
      <c r="O60" s="58">
        <f t="shared" ca="1" si="4"/>
        <v>3479.3690482548782</v>
      </c>
      <c r="P60" s="58">
        <f t="shared" ca="1" si="23"/>
        <v>29937.477408797415</v>
      </c>
      <c r="Q60" s="58">
        <f t="shared" ca="1" si="6"/>
        <v>8.232125906113115E-2</v>
      </c>
      <c r="R60" s="58">
        <f t="shared" ca="1" si="7"/>
        <v>8.232125906113115E-2</v>
      </c>
      <c r="T60" s="32">
        <f t="shared" ca="1" si="24"/>
        <v>3479.3690482548782</v>
      </c>
      <c r="U60" s="32">
        <f t="shared" si="9"/>
        <v>703</v>
      </c>
      <c r="V60" s="59">
        <f t="shared" si="10"/>
        <v>3.5879528080968361</v>
      </c>
      <c r="W60" s="57">
        <f t="shared" ca="1" si="11"/>
        <v>969.74</v>
      </c>
      <c r="X60" s="58">
        <f t="shared" ca="1" si="18"/>
        <v>2433.160551737436</v>
      </c>
      <c r="Y60" s="58">
        <f t="shared" ca="1" si="25"/>
        <v>2433.160551737436</v>
      </c>
    </row>
    <row r="61" spans="2:25" s="16" customFormat="1" x14ac:dyDescent="0.3">
      <c r="B61" s="32">
        <v>24</v>
      </c>
      <c r="C61" s="79">
        <f t="shared" si="20"/>
        <v>46625</v>
      </c>
      <c r="D61" s="32">
        <f t="shared" si="0"/>
        <v>4</v>
      </c>
      <c r="E61" s="79">
        <f t="shared" si="12"/>
        <v>46625</v>
      </c>
      <c r="F61" s="79">
        <f>IF(B60&gt;$C$18,"",IF(COUNTIF(Feriados!$A$2:$B$17,EDATE($C$38,B60))=0,EDATE($C$38,B60),EDATE($C$38,B60)+VLOOKUP(EDATE($C$38,B60),Feriados!$A$2:$B$17,2,FALSE)))</f>
        <v>46625</v>
      </c>
      <c r="G61" s="32">
        <f t="shared" si="13"/>
        <v>31</v>
      </c>
      <c r="H61" s="32">
        <f t="shared" si="14"/>
        <v>734</v>
      </c>
      <c r="I61" s="57">
        <f t="shared" ca="1" si="21"/>
        <v>29937.477408797415</v>
      </c>
      <c r="J61" s="57">
        <f t="shared" ca="1" si="22"/>
        <v>-3.0563917104447</v>
      </c>
      <c r="K61" s="58">
        <f t="shared" ca="1" si="1"/>
        <v>973.36073053620805</v>
      </c>
      <c r="L61" s="58">
        <f t="shared" ca="1" si="17"/>
        <v>2509.0647094291148</v>
      </c>
      <c r="M61" s="59">
        <f t="shared" si="2"/>
        <v>0</v>
      </c>
      <c r="N61" s="32">
        <f t="shared" si="3"/>
        <v>0</v>
      </c>
      <c r="O61" s="58">
        <f t="shared" ca="1" si="4"/>
        <v>3479.3690482548782</v>
      </c>
      <c r="P61" s="58">
        <f t="shared" ca="1" si="23"/>
        <v>29940.533800507859</v>
      </c>
      <c r="Q61" s="58">
        <f t="shared" ca="1" si="6"/>
        <v>7.373770755297139E-2</v>
      </c>
      <c r="R61" s="58">
        <f t="shared" ca="1" si="7"/>
        <v>7.373770755297139E-2</v>
      </c>
      <c r="T61" s="32">
        <f t="shared" ca="1" si="24"/>
        <v>3479.3690482548782</v>
      </c>
      <c r="U61" s="32">
        <f t="shared" si="9"/>
        <v>734</v>
      </c>
      <c r="V61" s="59">
        <f t="shared" si="10"/>
        <v>3.7958902508903316</v>
      </c>
      <c r="W61" s="57">
        <f t="shared" ca="1" si="11"/>
        <v>916.61</v>
      </c>
      <c r="X61" s="58">
        <f t="shared" ca="1" si="18"/>
        <v>2509.0647094291148</v>
      </c>
      <c r="Y61" s="58">
        <f t="shared" ca="1" si="25"/>
        <v>2509.0647094291148</v>
      </c>
    </row>
    <row r="62" spans="2:25" s="16" customFormat="1" x14ac:dyDescent="0.3">
      <c r="B62" s="32">
        <v>25</v>
      </c>
      <c r="C62" s="79">
        <f t="shared" si="20"/>
        <v>46657</v>
      </c>
      <c r="D62" s="32">
        <f t="shared" si="0"/>
        <v>1</v>
      </c>
      <c r="E62" s="79">
        <f t="shared" si="12"/>
        <v>46657</v>
      </c>
      <c r="F62" s="79">
        <f>IF(B61&gt;$C$18,"",IF(COUNTIF(Feriados!$A$2:$B$17,EDATE($C$38,B61))=0,EDATE($C$38,B61),EDATE($C$38,B61)+VLOOKUP(EDATE($C$38,B61),Feriados!$A$2:$B$17,2,FALSE)))</f>
        <v>46656</v>
      </c>
      <c r="G62" s="32">
        <f t="shared" si="13"/>
        <v>32</v>
      </c>
      <c r="H62" s="32">
        <f t="shared" si="14"/>
        <v>766</v>
      </c>
      <c r="I62" s="57">
        <f t="shared" ca="1" si="21"/>
        <v>29940.533800507859</v>
      </c>
      <c r="J62" s="57">
        <f t="shared" ca="1" si="22"/>
        <v>-119.69172648631911</v>
      </c>
      <c r="K62" s="58">
        <f t="shared" ca="1" si="1"/>
        <v>1005.3835569550624</v>
      </c>
      <c r="L62" s="58">
        <f t="shared" ca="1" si="17"/>
        <v>2593.6772177861349</v>
      </c>
      <c r="M62" s="59">
        <f t="shared" si="2"/>
        <v>0</v>
      </c>
      <c r="N62" s="32">
        <f t="shared" si="3"/>
        <v>0</v>
      </c>
      <c r="O62" s="58">
        <f t="shared" ca="1" si="4"/>
        <v>3479.3690482548782</v>
      </c>
      <c r="P62" s="58">
        <f t="shared" ca="1" si="23"/>
        <v>30060.225526994178</v>
      </c>
      <c r="Q62" s="58">
        <f t="shared" ca="1" si="6"/>
        <v>6.5814957005403629E-2</v>
      </c>
      <c r="R62" s="58">
        <f t="shared" ca="1" si="7"/>
        <v>6.5814957005403629E-2</v>
      </c>
      <c r="T62" s="32">
        <f t="shared" ca="1" si="24"/>
        <v>3479.3690482548782</v>
      </c>
      <c r="U62" s="32">
        <f t="shared" si="9"/>
        <v>766</v>
      </c>
      <c r="V62" s="59">
        <f t="shared" si="10"/>
        <v>4.0231833766424678</v>
      </c>
      <c r="W62" s="57">
        <f t="shared" ca="1" si="11"/>
        <v>864.83</v>
      </c>
      <c r="X62" s="58">
        <f t="shared" ca="1" si="18"/>
        <v>2593.6772177861349</v>
      </c>
      <c r="Y62" s="58">
        <f t="shared" ca="1" si="25"/>
        <v>2593.6772177861349</v>
      </c>
    </row>
    <row r="63" spans="2:25" s="16" customFormat="1" x14ac:dyDescent="0.3">
      <c r="B63" s="32">
        <v>26</v>
      </c>
      <c r="C63" s="79">
        <f t="shared" si="20"/>
        <v>46686</v>
      </c>
      <c r="D63" s="32">
        <f t="shared" si="0"/>
        <v>2</v>
      </c>
      <c r="E63" s="79">
        <f t="shared" si="12"/>
        <v>46686</v>
      </c>
      <c r="F63" s="79">
        <f>IF(B62&gt;$C$18,"",IF(COUNTIF(Feriados!$A$2:$B$17,EDATE($C$38,B62))=0,EDATE($C$38,B62),EDATE($C$38,B62)+VLOOKUP(EDATE($C$38,B62),Feriados!$A$2:$B$17,2,FALSE)))</f>
        <v>46686</v>
      </c>
      <c r="G63" s="32">
        <f t="shared" si="13"/>
        <v>29</v>
      </c>
      <c r="H63" s="32">
        <f t="shared" si="14"/>
        <v>795</v>
      </c>
      <c r="I63" s="57">
        <f t="shared" ca="1" si="21"/>
        <v>30060.225526994178</v>
      </c>
      <c r="J63" s="57">
        <f t="shared" ca="1" si="22"/>
        <v>215.39706672166722</v>
      </c>
      <c r="K63" s="58">
        <f t="shared" ca="1" si="1"/>
        <v>913.34866633980437</v>
      </c>
      <c r="L63" s="58">
        <f t="shared" ca="1" si="17"/>
        <v>2350.6233151934066</v>
      </c>
      <c r="M63" s="59">
        <f t="shared" si="2"/>
        <v>0</v>
      </c>
      <c r="N63" s="32">
        <f t="shared" si="3"/>
        <v>0</v>
      </c>
      <c r="O63" s="58">
        <f t="shared" ca="1" si="4"/>
        <v>3479.3690482548782</v>
      </c>
      <c r="P63" s="58">
        <f t="shared" ca="1" si="23"/>
        <v>29844.828460272511</v>
      </c>
      <c r="Q63" s="58">
        <f t="shared" ca="1" si="6"/>
        <v>5.9372801803235883E-2</v>
      </c>
      <c r="R63" s="58">
        <f t="shared" ca="1" si="7"/>
        <v>5.9372801803235883E-2</v>
      </c>
      <c r="T63" s="32">
        <f t="shared" ca="1" si="24"/>
        <v>3479.3690482548782</v>
      </c>
      <c r="U63" s="32">
        <f t="shared" si="9"/>
        <v>795</v>
      </c>
      <c r="V63" s="59">
        <f t="shared" si="10"/>
        <v>4.2409020512324904</v>
      </c>
      <c r="W63" s="57">
        <f t="shared" ca="1" si="11"/>
        <v>820.43</v>
      </c>
      <c r="X63" s="58">
        <f t="shared" ca="1" si="18"/>
        <v>2350.6233151934066</v>
      </c>
      <c r="Y63" s="58">
        <f t="shared" ca="1" si="25"/>
        <v>2350.6233151934066</v>
      </c>
    </row>
    <row r="64" spans="2:25" s="16" customFormat="1" x14ac:dyDescent="0.3">
      <c r="B64" s="32">
        <v>27</v>
      </c>
      <c r="C64" s="79">
        <f t="shared" si="20"/>
        <v>46717</v>
      </c>
      <c r="D64" s="32">
        <f t="shared" si="0"/>
        <v>5</v>
      </c>
      <c r="E64" s="79">
        <f t="shared" si="12"/>
        <v>46717</v>
      </c>
      <c r="F64" s="79">
        <f>IF(B63&gt;$C$18,"",IF(COUNTIF(Feriados!$A$2:$B$17,EDATE($C$38,B63))=0,EDATE($C$38,B63),EDATE($C$38,B63)+VLOOKUP(EDATE($C$38,B63),Feriados!$A$2:$B$17,2,FALSE)))</f>
        <v>46717</v>
      </c>
      <c r="G64" s="32">
        <f t="shared" si="13"/>
        <v>31</v>
      </c>
      <c r="H64" s="32">
        <f t="shared" si="14"/>
        <v>826</v>
      </c>
      <c r="I64" s="57">
        <f t="shared" ca="1" si="21"/>
        <v>29844.828460272511</v>
      </c>
      <c r="J64" s="57">
        <f t="shared" ca="1" si="22"/>
        <v>7.7208374770203818</v>
      </c>
      <c r="K64" s="58">
        <f t="shared" ca="1" si="1"/>
        <v>970.34842435595817</v>
      </c>
      <c r="L64" s="58">
        <f t="shared" ca="1" si="17"/>
        <v>2501.2997864218996</v>
      </c>
      <c r="M64" s="59">
        <f t="shared" si="2"/>
        <v>0</v>
      </c>
      <c r="N64" s="32">
        <f t="shared" si="3"/>
        <v>0</v>
      </c>
      <c r="O64" s="58">
        <f t="shared" ca="1" si="4"/>
        <v>3479.3690482548782</v>
      </c>
      <c r="P64" s="58">
        <f t="shared" ca="1" si="23"/>
        <v>29837.107622795491</v>
      </c>
      <c r="Q64" s="58">
        <f t="shared" ca="1" si="6"/>
        <v>5.3182061910842029E-2</v>
      </c>
      <c r="R64" s="58">
        <f t="shared" ca="1" si="7"/>
        <v>5.3182061910842029E-2</v>
      </c>
      <c r="T64" s="32">
        <f t="shared" ca="1" si="24"/>
        <v>3479.3690482548782</v>
      </c>
      <c r="U64" s="32">
        <f t="shared" si="9"/>
        <v>826</v>
      </c>
      <c r="V64" s="59">
        <f t="shared" si="10"/>
        <v>4.4866807375298521</v>
      </c>
      <c r="W64" s="57">
        <f t="shared" ca="1" si="11"/>
        <v>775.49</v>
      </c>
      <c r="X64" s="58">
        <f t="shared" ca="1" si="18"/>
        <v>2501.2997864218996</v>
      </c>
      <c r="Y64" s="58">
        <f t="shared" ca="1" si="25"/>
        <v>2501.2997864218996</v>
      </c>
    </row>
    <row r="65" spans="2:25" s="16" customFormat="1" x14ac:dyDescent="0.3">
      <c r="B65" s="32">
        <v>28</v>
      </c>
      <c r="C65" s="79">
        <f t="shared" si="20"/>
        <v>46748</v>
      </c>
      <c r="D65" s="32">
        <f t="shared" si="0"/>
        <v>1</v>
      </c>
      <c r="E65" s="79">
        <f t="shared" si="12"/>
        <v>46748</v>
      </c>
      <c r="F65" s="79">
        <f>IF(B64&gt;$C$18,"",IF(COUNTIF(Feriados!$A$2:$B$17,EDATE($C$38,B64))=0,EDATE($C$38,B64),EDATE($C$38,B64)+VLOOKUP(EDATE($C$38,B64),Feriados!$A$2:$B$17,2,FALSE)))</f>
        <v>46747</v>
      </c>
      <c r="G65" s="32">
        <f t="shared" si="13"/>
        <v>31</v>
      </c>
      <c r="H65" s="32">
        <f t="shared" si="14"/>
        <v>857</v>
      </c>
      <c r="I65" s="57">
        <f t="shared" ca="1" si="21"/>
        <v>29837.107622795491</v>
      </c>
      <c r="J65" s="57">
        <f t="shared" ca="1" si="22"/>
        <v>8.6189505839018921</v>
      </c>
      <c r="K65" s="58">
        <f t="shared" ca="1" si="1"/>
        <v>970.0973958573187</v>
      </c>
      <c r="L65" s="58">
        <f t="shared" ca="1" si="17"/>
        <v>2500.6527018136576</v>
      </c>
      <c r="M65" s="59">
        <f t="shared" si="2"/>
        <v>0</v>
      </c>
      <c r="N65" s="32">
        <f t="shared" si="3"/>
        <v>0</v>
      </c>
      <c r="O65" s="58">
        <f t="shared" ca="1" si="4"/>
        <v>3479.3690482548782</v>
      </c>
      <c r="P65" s="58">
        <f t="shared" ca="1" si="23"/>
        <v>29828.488672211588</v>
      </c>
      <c r="Q65" s="58">
        <f t="shared" ca="1" si="6"/>
        <v>4.7636823986542703E-2</v>
      </c>
      <c r="R65" s="58">
        <f t="shared" ca="1" si="7"/>
        <v>4.7636823986542703E-2</v>
      </c>
      <c r="T65" s="32">
        <f t="shared" ca="1" si="24"/>
        <v>3479.3690482548782</v>
      </c>
      <c r="U65" s="32">
        <f t="shared" si="9"/>
        <v>857</v>
      </c>
      <c r="V65" s="59">
        <f t="shared" si="10"/>
        <v>4.7467033657783162</v>
      </c>
      <c r="W65" s="57">
        <f t="shared" ca="1" si="11"/>
        <v>733.01</v>
      </c>
      <c r="X65" s="58">
        <f t="shared" ca="1" si="18"/>
        <v>2500.6527018136576</v>
      </c>
      <c r="Y65" s="58">
        <f t="shared" ca="1" si="25"/>
        <v>2500.6527018136576</v>
      </c>
    </row>
    <row r="66" spans="2:25" s="16" customFormat="1" x14ac:dyDescent="0.3">
      <c r="B66" s="32">
        <v>29</v>
      </c>
      <c r="C66" s="79">
        <f t="shared" si="20"/>
        <v>46778</v>
      </c>
      <c r="D66" s="32">
        <f t="shared" si="0"/>
        <v>3</v>
      </c>
      <c r="E66" s="79">
        <f t="shared" si="12"/>
        <v>46778</v>
      </c>
      <c r="F66" s="79">
        <f>IF(B65&gt;$C$18,"",IF(COUNTIF(Feriados!$A$2:$B$17,EDATE($C$38,B65))=0,EDATE($C$38,B65),EDATE($C$38,B65)+VLOOKUP(EDATE($C$38,B65),Feriados!$A$2:$B$17,2,FALSE)))</f>
        <v>46778</v>
      </c>
      <c r="G66" s="32">
        <f t="shared" si="13"/>
        <v>30</v>
      </c>
      <c r="H66" s="32">
        <f t="shared" si="14"/>
        <v>887</v>
      </c>
      <c r="I66" s="57">
        <f t="shared" ca="1" si="21"/>
        <v>29828.488672211588</v>
      </c>
      <c r="J66" s="57">
        <f t="shared" ca="1" si="22"/>
        <v>125.21547814919404</v>
      </c>
      <c r="K66" s="58">
        <f t="shared" ca="1" si="1"/>
        <v>938.04598765654646</v>
      </c>
      <c r="L66" s="58">
        <f t="shared" ca="1" si="17"/>
        <v>2416.1075824491377</v>
      </c>
      <c r="M66" s="59">
        <f t="shared" si="2"/>
        <v>0</v>
      </c>
      <c r="N66" s="32">
        <f t="shared" si="3"/>
        <v>0</v>
      </c>
      <c r="O66" s="58">
        <f t="shared" ca="1" si="4"/>
        <v>3479.3690482548782</v>
      </c>
      <c r="P66" s="58">
        <f t="shared" ca="1" si="23"/>
        <v>29703.273194062393</v>
      </c>
      <c r="Q66" s="58">
        <f t="shared" ca="1" si="6"/>
        <v>4.2821619034623823E-2</v>
      </c>
      <c r="R66" s="58">
        <f t="shared" ca="1" si="7"/>
        <v>4.2821619034623823E-2</v>
      </c>
      <c r="T66" s="32">
        <f t="shared" ca="1" si="24"/>
        <v>3479.3690482548782</v>
      </c>
      <c r="U66" s="32">
        <f t="shared" si="9"/>
        <v>887</v>
      </c>
      <c r="V66" s="59">
        <f t="shared" si="10"/>
        <v>5.0126774709971409</v>
      </c>
      <c r="W66" s="57">
        <f t="shared" ca="1" si="11"/>
        <v>694.11</v>
      </c>
      <c r="X66" s="58">
        <f t="shared" ca="1" si="18"/>
        <v>2416.1075824491377</v>
      </c>
      <c r="Y66" s="58">
        <f t="shared" ca="1" si="25"/>
        <v>2416.1075824491377</v>
      </c>
    </row>
    <row r="67" spans="2:25" s="16" customFormat="1" x14ac:dyDescent="0.3">
      <c r="B67" s="32">
        <v>30</v>
      </c>
      <c r="C67" s="79">
        <f t="shared" si="20"/>
        <v>46809</v>
      </c>
      <c r="D67" s="32">
        <f t="shared" si="0"/>
        <v>6</v>
      </c>
      <c r="E67" s="79">
        <f t="shared" si="12"/>
        <v>46809</v>
      </c>
      <c r="F67" s="79">
        <f>IF(B66&gt;$C$18,"",IF(COUNTIF(Feriados!$A$2:$B$17,EDATE($C$38,B66))=0,EDATE($C$38,B66),EDATE($C$38,B66)+VLOOKUP(EDATE($C$38,B66),Feriados!$A$2:$B$17,2,FALSE)))</f>
        <v>46809</v>
      </c>
      <c r="G67" s="32">
        <f t="shared" si="13"/>
        <v>31</v>
      </c>
      <c r="H67" s="32">
        <f t="shared" si="14"/>
        <v>918</v>
      </c>
      <c r="I67" s="57">
        <f t="shared" ca="1" si="21"/>
        <v>29703.273194062393</v>
      </c>
      <c r="J67" s="57">
        <f t="shared" ca="1" si="22"/>
        <v>24.187009742634018</v>
      </c>
      <c r="K67" s="58">
        <f t="shared" ca="1" si="1"/>
        <v>965.74602130615949</v>
      </c>
      <c r="L67" s="58">
        <f t="shared" ca="1" si="17"/>
        <v>2489.4360172060847</v>
      </c>
      <c r="M67" s="59">
        <f t="shared" si="2"/>
        <v>0</v>
      </c>
      <c r="N67" s="32">
        <f t="shared" si="3"/>
        <v>0</v>
      </c>
      <c r="O67" s="58">
        <f t="shared" ca="1" si="4"/>
        <v>3479.3690482548782</v>
      </c>
      <c r="P67" s="58">
        <f t="shared" ca="1" si="23"/>
        <v>29679.08618431976</v>
      </c>
      <c r="Q67" s="58">
        <f t="shared" ca="1" si="6"/>
        <v>3.8356653643684686E-2</v>
      </c>
      <c r="R67" s="58">
        <f t="shared" ca="1" si="7"/>
        <v>3.8356653643684686E-2</v>
      </c>
      <c r="T67" s="32">
        <f t="shared" ca="1" si="24"/>
        <v>3479.3690482548782</v>
      </c>
      <c r="U67" s="32">
        <f t="shared" si="9"/>
        <v>918</v>
      </c>
      <c r="V67" s="59">
        <f t="shared" si="10"/>
        <v>5.3031838936333386</v>
      </c>
      <c r="W67" s="57">
        <f t="shared" ca="1" si="11"/>
        <v>656.09</v>
      </c>
      <c r="X67" s="58">
        <f t="shared" ca="1" si="18"/>
        <v>2489.4360172060847</v>
      </c>
      <c r="Y67" s="58">
        <f t="shared" ca="1" si="25"/>
        <v>2489.4360172060847</v>
      </c>
    </row>
    <row r="68" spans="2:25" s="16" customFormat="1" x14ac:dyDescent="0.3">
      <c r="B68" s="32">
        <v>31</v>
      </c>
      <c r="C68" s="79">
        <f t="shared" si="20"/>
        <v>46839</v>
      </c>
      <c r="D68" s="32">
        <f t="shared" si="0"/>
        <v>1</v>
      </c>
      <c r="E68" s="79">
        <f t="shared" si="12"/>
        <v>46839</v>
      </c>
      <c r="F68" s="79">
        <f>IF(B67&gt;$C$18,"",IF(COUNTIF(Feriados!$A$2:$B$17,EDATE($C$38,B67))=0,EDATE($C$38,B67),EDATE($C$38,B67)+VLOOKUP(EDATE($C$38,B67),Feriados!$A$2:$B$17,2,FALSE)))</f>
        <v>46838</v>
      </c>
      <c r="G68" s="32">
        <f t="shared" si="13"/>
        <v>30</v>
      </c>
      <c r="H68" s="32">
        <f t="shared" si="14"/>
        <v>948</v>
      </c>
      <c r="I68" s="57">
        <f t="shared" ca="1" si="21"/>
        <v>29679.08618431976</v>
      </c>
      <c r="J68" s="57">
        <f t="shared" ca="1" si="22"/>
        <v>142.01548748429298</v>
      </c>
      <c r="K68" s="58">
        <f t="shared" ca="1" si="1"/>
        <v>933.34757984068563</v>
      </c>
      <c r="L68" s="58">
        <f t="shared" ca="1" si="17"/>
        <v>2404.0059809298996</v>
      </c>
      <c r="M68" s="59">
        <f t="shared" si="2"/>
        <v>0</v>
      </c>
      <c r="N68" s="32">
        <f t="shared" si="3"/>
        <v>0</v>
      </c>
      <c r="O68" s="58">
        <f t="shared" ca="1" si="4"/>
        <v>3479.3690482548782</v>
      </c>
      <c r="P68" s="58">
        <f t="shared" ca="1" si="23"/>
        <v>29537.070696835468</v>
      </c>
      <c r="Q68" s="58">
        <f t="shared" ca="1" si="6"/>
        <v>3.4479502878631926E-2</v>
      </c>
      <c r="R68" s="58">
        <f t="shared" ca="1" si="7"/>
        <v>3.4479502878631926E-2</v>
      </c>
      <c r="T68" s="32">
        <f t="shared" ca="1" si="24"/>
        <v>3479.3690482548782</v>
      </c>
      <c r="U68" s="32">
        <f t="shared" si="9"/>
        <v>948</v>
      </c>
      <c r="V68" s="59">
        <f t="shared" si="10"/>
        <v>5.6003395155938716</v>
      </c>
      <c r="W68" s="57">
        <f t="shared" ca="1" si="11"/>
        <v>621.28</v>
      </c>
      <c r="X68" s="58">
        <f t="shared" ca="1" si="18"/>
        <v>2404.0059809298996</v>
      </c>
      <c r="Y68" s="58">
        <f t="shared" ca="1" si="25"/>
        <v>2404.0059809298996</v>
      </c>
    </row>
    <row r="69" spans="2:25" s="16" customFormat="1" x14ac:dyDescent="0.3">
      <c r="B69" s="32">
        <v>32</v>
      </c>
      <c r="C69" s="79">
        <f t="shared" si="20"/>
        <v>46869</v>
      </c>
      <c r="D69" s="32">
        <f t="shared" si="0"/>
        <v>3</v>
      </c>
      <c r="E69" s="79">
        <f t="shared" si="12"/>
        <v>46869</v>
      </c>
      <c r="F69" s="79">
        <f>IF(B68&gt;$C$18,"",IF(COUNTIF(Feriados!$A$2:$B$17,EDATE($C$38,B68))=0,EDATE($C$38,B68),EDATE($C$38,B68)+VLOOKUP(EDATE($C$38,B68),Feriados!$A$2:$B$17,2,FALSE)))</f>
        <v>46869</v>
      </c>
      <c r="G69" s="32">
        <f t="shared" si="13"/>
        <v>30</v>
      </c>
      <c r="H69" s="32">
        <f t="shared" si="14"/>
        <v>978</v>
      </c>
      <c r="I69" s="57">
        <f t="shared" ca="1" si="21"/>
        <v>29537.070696835468</v>
      </c>
      <c r="J69" s="57">
        <f t="shared" ca="1" si="22"/>
        <v>157.9848434778304</v>
      </c>
      <c r="K69" s="58">
        <f t="shared" ca="1" si="1"/>
        <v>928.88147833337609</v>
      </c>
      <c r="L69" s="58">
        <f t="shared" ca="1" si="17"/>
        <v>2392.5027264436717</v>
      </c>
      <c r="M69" s="59">
        <f t="shared" si="2"/>
        <v>0</v>
      </c>
      <c r="N69" s="32">
        <f t="shared" si="3"/>
        <v>0</v>
      </c>
      <c r="O69" s="58">
        <f t="shared" ca="1" si="4"/>
        <v>3479.3690482548782</v>
      </c>
      <c r="P69" s="58">
        <f t="shared" ca="1" si="23"/>
        <v>29379.085853357639</v>
      </c>
      <c r="Q69" s="58">
        <f t="shared" ca="1" si="6"/>
        <v>3.0994260599512064E-2</v>
      </c>
      <c r="R69" s="58">
        <f t="shared" ca="1" si="7"/>
        <v>3.0994260599512064E-2</v>
      </c>
      <c r="T69" s="32">
        <f t="shared" ca="1" si="24"/>
        <v>3479.3690482548782</v>
      </c>
      <c r="U69" s="32">
        <f t="shared" si="9"/>
        <v>978</v>
      </c>
      <c r="V69" s="59">
        <f t="shared" si="10"/>
        <v>5.9141457884527755</v>
      </c>
      <c r="W69" s="57">
        <f t="shared" ca="1" si="11"/>
        <v>588.30999999999995</v>
      </c>
      <c r="X69" s="58">
        <f t="shared" ca="1" si="18"/>
        <v>2392.5027264436717</v>
      </c>
      <c r="Y69" s="58">
        <f t="shared" ca="1" si="25"/>
        <v>2392.5027264436717</v>
      </c>
    </row>
    <row r="70" spans="2:25" s="16" customFormat="1" x14ac:dyDescent="0.3">
      <c r="B70" s="32">
        <v>33</v>
      </c>
      <c r="C70" s="79">
        <f t="shared" si="20"/>
        <v>46899</v>
      </c>
      <c r="D70" s="32">
        <f t="shared" si="0"/>
        <v>5</v>
      </c>
      <c r="E70" s="79">
        <f t="shared" si="12"/>
        <v>46899</v>
      </c>
      <c r="F70" s="79">
        <f>IF(B69&gt;$C$18,"",IF(COUNTIF(Feriados!$A$2:$B$17,EDATE($C$38,B69))=0,EDATE($C$38,B69),EDATE($C$38,B69)+VLOOKUP(EDATE($C$38,B69),Feriados!$A$2:$B$17,2,FALSE)))</f>
        <v>46899</v>
      </c>
      <c r="G70" s="32">
        <f t="shared" si="13"/>
        <v>30</v>
      </c>
      <c r="H70" s="32">
        <f t="shared" si="14"/>
        <v>1008</v>
      </c>
      <c r="I70" s="57">
        <f t="shared" ca="1" si="21"/>
        <v>29379.085853357639</v>
      </c>
      <c r="J70" s="57">
        <f t="shared" ca="1" si="22"/>
        <v>175.74992144061036</v>
      </c>
      <c r="K70" s="58">
        <f t="shared" ca="1" si="1"/>
        <v>923.91317269230001</v>
      </c>
      <c r="L70" s="58">
        <f t="shared" ca="1" si="17"/>
        <v>2379.7059541219678</v>
      </c>
      <c r="M70" s="59">
        <f t="shared" si="2"/>
        <v>0</v>
      </c>
      <c r="N70" s="32">
        <f t="shared" si="3"/>
        <v>0</v>
      </c>
      <c r="O70" s="58">
        <f t="shared" ca="1" si="4"/>
        <v>3479.3690482548782</v>
      </c>
      <c r="P70" s="58">
        <f t="shared" ca="1" si="23"/>
        <v>29203.33593191703</v>
      </c>
      <c r="Q70" s="58">
        <f t="shared" ca="1" si="6"/>
        <v>2.7861312081323811E-2</v>
      </c>
      <c r="R70" s="58">
        <f t="shared" ca="1" si="7"/>
        <v>2.7861312081323811E-2</v>
      </c>
      <c r="T70" s="32">
        <f t="shared" ca="1" si="24"/>
        <v>3479.3690482548782</v>
      </c>
      <c r="U70" s="32">
        <f t="shared" si="9"/>
        <v>1008</v>
      </c>
      <c r="V70" s="59">
        <f t="shared" si="10"/>
        <v>6.2455357054124327</v>
      </c>
      <c r="W70" s="57">
        <f t="shared" ca="1" si="11"/>
        <v>557.1</v>
      </c>
      <c r="X70" s="58">
        <f t="shared" ca="1" si="18"/>
        <v>2379.7059541219678</v>
      </c>
      <c r="Y70" s="58">
        <f t="shared" ca="1" si="25"/>
        <v>2379.7059541219678</v>
      </c>
    </row>
    <row r="71" spans="2:25" s="16" customFormat="1" x14ac:dyDescent="0.3">
      <c r="B71" s="32">
        <v>34</v>
      </c>
      <c r="C71" s="79">
        <f t="shared" si="20"/>
        <v>46930</v>
      </c>
      <c r="D71" s="32">
        <f t="shared" si="0"/>
        <v>1</v>
      </c>
      <c r="E71" s="79">
        <f t="shared" si="12"/>
        <v>46930</v>
      </c>
      <c r="F71" s="79">
        <f>IF(B70&gt;$C$18,"",IF(COUNTIF(Feriados!$A$2:$B$17,EDATE($C$38,B70))=0,EDATE($C$38,B70),EDATE($C$38,B70)+VLOOKUP(EDATE($C$38,B70),Feriados!$A$2:$B$17,2,FALSE)))</f>
        <v>46930</v>
      </c>
      <c r="G71" s="32">
        <f t="shared" si="13"/>
        <v>31</v>
      </c>
      <c r="H71" s="32">
        <f t="shared" si="14"/>
        <v>1039</v>
      </c>
      <c r="I71" s="57">
        <f t="shared" ca="1" si="21"/>
        <v>29203.33593191703</v>
      </c>
      <c r="J71" s="57">
        <f t="shared" ca="1" si="22"/>
        <v>82.341349746245101</v>
      </c>
      <c r="K71" s="58">
        <f t="shared" ca="1" si="1"/>
        <v>949.49150219423575</v>
      </c>
      <c r="L71" s="58">
        <f t="shared" ca="1" si="17"/>
        <v>2447.5361963143973</v>
      </c>
      <c r="M71" s="59">
        <f t="shared" si="2"/>
        <v>0</v>
      </c>
      <c r="N71" s="32">
        <f t="shared" si="3"/>
        <v>0</v>
      </c>
      <c r="O71" s="58">
        <f t="shared" ca="1" si="4"/>
        <v>3479.3690482548782</v>
      </c>
      <c r="P71" s="58">
        <f t="shared" ca="1" si="23"/>
        <v>29120.994582170784</v>
      </c>
      <c r="Q71" s="58">
        <f t="shared" ca="1" si="6"/>
        <v>2.4956242235910402E-2</v>
      </c>
      <c r="R71" s="58">
        <f t="shared" ca="1" si="7"/>
        <v>2.4956242235910402E-2</v>
      </c>
      <c r="T71" s="32">
        <f t="shared" ca="1" si="24"/>
        <v>3479.3690482548782</v>
      </c>
      <c r="U71" s="32">
        <f t="shared" si="9"/>
        <v>1039</v>
      </c>
      <c r="V71" s="59">
        <f t="shared" si="10"/>
        <v>6.6074916153475458</v>
      </c>
      <c r="W71" s="57">
        <f t="shared" ca="1" si="11"/>
        <v>526.58000000000004</v>
      </c>
      <c r="X71" s="58">
        <f t="shared" ca="1" si="18"/>
        <v>2447.5361963143973</v>
      </c>
      <c r="Y71" s="58">
        <f t="shared" ca="1" si="25"/>
        <v>2447.5361963143973</v>
      </c>
    </row>
    <row r="72" spans="2:25" s="16" customFormat="1" x14ac:dyDescent="0.3">
      <c r="B72" s="32">
        <v>35</v>
      </c>
      <c r="C72" s="79">
        <f t="shared" si="20"/>
        <v>46960</v>
      </c>
      <c r="D72" s="32">
        <f t="shared" si="0"/>
        <v>3</v>
      </c>
      <c r="E72" s="79">
        <f t="shared" si="12"/>
        <v>46960</v>
      </c>
      <c r="F72" s="79">
        <f>IF(B71&gt;$C$18,"",IF(COUNTIF(Feriados!$A$2:$B$17,EDATE($C$38,B71))=0,EDATE($C$38,B71),EDATE($C$38,B71)+VLOOKUP(EDATE($C$38,B71),Feriados!$A$2:$B$17,2,FALSE)))</f>
        <v>46960</v>
      </c>
      <c r="G72" s="32">
        <f t="shared" si="13"/>
        <v>30</v>
      </c>
      <c r="H72" s="32">
        <f t="shared" si="14"/>
        <v>1069</v>
      </c>
      <c r="I72" s="57">
        <f t="shared" ca="1" si="21"/>
        <v>29120.994582170784</v>
      </c>
      <c r="J72" s="57">
        <f t="shared" ca="1" si="22"/>
        <v>204.77176589868986</v>
      </c>
      <c r="K72" s="58">
        <f t="shared" ca="1" si="1"/>
        <v>915.79672120035593</v>
      </c>
      <c r="L72" s="58">
        <f t="shared" ca="1" si="17"/>
        <v>2358.8005611558324</v>
      </c>
      <c r="M72" s="59">
        <f t="shared" si="2"/>
        <v>0</v>
      </c>
      <c r="N72" s="32">
        <f t="shared" si="3"/>
        <v>0</v>
      </c>
      <c r="O72" s="58">
        <f t="shared" ca="1" si="4"/>
        <v>3479.3690482548782</v>
      </c>
      <c r="P72" s="58">
        <f t="shared" ca="1" si="23"/>
        <v>28916.222816272093</v>
      </c>
      <c r="Q72" s="58">
        <f t="shared" ca="1" si="6"/>
        <v>2.2433626092785704E-2</v>
      </c>
      <c r="R72" s="58">
        <f t="shared" ca="1" si="7"/>
        <v>2.2433626092785704E-2</v>
      </c>
      <c r="T72" s="32">
        <f t="shared" ca="1" si="24"/>
        <v>3479.3690482548782</v>
      </c>
      <c r="U72" s="32">
        <f t="shared" si="9"/>
        <v>1069</v>
      </c>
      <c r="V72" s="59">
        <f t="shared" si="10"/>
        <v>6.9777320821951703</v>
      </c>
      <c r="W72" s="57">
        <f t="shared" ca="1" si="11"/>
        <v>498.64</v>
      </c>
      <c r="X72" s="58">
        <f t="shared" ca="1" si="18"/>
        <v>2358.8005611558324</v>
      </c>
      <c r="Y72" s="58">
        <f t="shared" ca="1" si="25"/>
        <v>2358.8005611558324</v>
      </c>
    </row>
    <row r="73" spans="2:25" s="16" customFormat="1" x14ac:dyDescent="0.3">
      <c r="B73" s="32">
        <v>36</v>
      </c>
      <c r="C73" s="79">
        <f t="shared" si="20"/>
        <v>46991</v>
      </c>
      <c r="D73" s="32">
        <f t="shared" si="0"/>
        <v>6</v>
      </c>
      <c r="E73" s="79">
        <f t="shared" si="12"/>
        <v>46991</v>
      </c>
      <c r="F73" s="79">
        <f>IF(B72&gt;$C$18,"",IF(COUNTIF(Feriados!$A$2:$B$17,EDATE($C$38,B72))=0,EDATE($C$38,B72),EDATE($C$38,B72)+VLOOKUP(EDATE($C$38,B72),Feriados!$A$2:$B$17,2,FALSE)))</f>
        <v>46991</v>
      </c>
      <c r="G73" s="32">
        <f t="shared" si="13"/>
        <v>31</v>
      </c>
      <c r="H73" s="32">
        <f t="shared" si="14"/>
        <v>1100</v>
      </c>
      <c r="I73" s="57">
        <f t="shared" ca="1" si="21"/>
        <v>28916.222816272093</v>
      </c>
      <c r="J73" s="57">
        <f t="shared" ca="1" si="22"/>
        <v>115.73928786964257</v>
      </c>
      <c r="K73" s="58">
        <f t="shared" ca="1" si="1"/>
        <v>940.15655963462791</v>
      </c>
      <c r="L73" s="58">
        <f t="shared" ca="1" si="17"/>
        <v>2423.4732007506077</v>
      </c>
      <c r="M73" s="59">
        <f t="shared" si="2"/>
        <v>0</v>
      </c>
      <c r="N73" s="32">
        <f t="shared" si="3"/>
        <v>0</v>
      </c>
      <c r="O73" s="58">
        <f t="shared" ca="1" si="4"/>
        <v>3479.3690482548782</v>
      </c>
      <c r="P73" s="58">
        <f t="shared" ca="1" si="23"/>
        <v>28800.483528402452</v>
      </c>
      <c r="Q73" s="58">
        <f t="shared" ca="1" si="6"/>
        <v>2.0094495383678978E-2</v>
      </c>
      <c r="R73" s="58">
        <f t="shared" ca="1" si="7"/>
        <v>2.0094495383678978E-2</v>
      </c>
      <c r="T73" s="32">
        <f t="shared" ca="1" si="24"/>
        <v>3479.3690482548782</v>
      </c>
      <c r="U73" s="32">
        <f t="shared" si="9"/>
        <v>1100</v>
      </c>
      <c r="V73" s="59">
        <f t="shared" si="10"/>
        <v>7.3821219510907463</v>
      </c>
      <c r="W73" s="57">
        <f t="shared" ca="1" si="11"/>
        <v>471.32</v>
      </c>
      <c r="X73" s="58">
        <f t="shared" ca="1" si="18"/>
        <v>2423.4732007506077</v>
      </c>
      <c r="Y73" s="58">
        <f t="shared" ca="1" si="25"/>
        <v>2423.4732007506077</v>
      </c>
    </row>
    <row r="74" spans="2:25" s="16" customFormat="1" x14ac:dyDescent="0.3">
      <c r="B74" s="32">
        <v>37</v>
      </c>
      <c r="C74" s="79">
        <f t="shared" si="20"/>
        <v>47022</v>
      </c>
      <c r="D74" s="32">
        <f t="shared" si="0"/>
        <v>2</v>
      </c>
      <c r="E74" s="79">
        <f t="shared" si="12"/>
        <v>47022</v>
      </c>
      <c r="F74" s="79">
        <f>IF(B73&gt;$C$18,"",IF(COUNTIF(Feriados!$A$2:$B$17,EDATE($C$38,B73))=0,EDATE($C$38,B73),EDATE($C$38,B73)+VLOOKUP(EDATE($C$38,B73),Feriados!$A$2:$B$17,2,FALSE)))</f>
        <v>47022</v>
      </c>
      <c r="G74" s="32">
        <f t="shared" si="13"/>
        <v>31</v>
      </c>
      <c r="H74" s="32">
        <f t="shared" si="14"/>
        <v>1131</v>
      </c>
      <c r="I74" s="57">
        <f t="shared" ca="1" si="21"/>
        <v>28800.483528402452</v>
      </c>
      <c r="J74" s="57">
        <f t="shared" ca="1" si="22"/>
        <v>129.20246096793028</v>
      </c>
      <c r="K74" s="58">
        <f t="shared" ca="1" si="1"/>
        <v>936.39351453051938</v>
      </c>
      <c r="L74" s="58">
        <f t="shared" ca="1" si="17"/>
        <v>2413.7730727564285</v>
      </c>
      <c r="M74" s="59">
        <f t="shared" si="2"/>
        <v>0</v>
      </c>
      <c r="N74" s="32">
        <f t="shared" si="3"/>
        <v>0</v>
      </c>
      <c r="O74" s="58">
        <f t="shared" ca="1" si="4"/>
        <v>3479.3690482548782</v>
      </c>
      <c r="P74" s="58">
        <f t="shared" ca="1" si="23"/>
        <v>28671.28106743452</v>
      </c>
      <c r="Q74" s="58">
        <f t="shared" ca="1" si="6"/>
        <v>1.7999263385001657E-2</v>
      </c>
      <c r="R74" s="58">
        <f t="shared" ca="1" si="7"/>
        <v>1.7999263385001657E-2</v>
      </c>
      <c r="T74" s="32">
        <f t="shared" ca="1" si="24"/>
        <v>3479.3690482548782</v>
      </c>
      <c r="U74" s="32">
        <f t="shared" si="9"/>
        <v>1131</v>
      </c>
      <c r="V74" s="59">
        <f t="shared" si="10"/>
        <v>7.809947968600091</v>
      </c>
      <c r="W74" s="57">
        <f t="shared" ca="1" si="11"/>
        <v>445.5</v>
      </c>
      <c r="X74" s="58">
        <f t="shared" ca="1" si="18"/>
        <v>2413.7730727564285</v>
      </c>
      <c r="Y74" s="58">
        <f t="shared" ca="1" si="25"/>
        <v>2413.7730727564285</v>
      </c>
    </row>
    <row r="75" spans="2:25" s="16" customFormat="1" x14ac:dyDescent="0.3">
      <c r="B75" s="32">
        <v>38</v>
      </c>
      <c r="C75" s="79">
        <f t="shared" si="20"/>
        <v>47052</v>
      </c>
      <c r="D75" s="32">
        <f t="shared" si="0"/>
        <v>4</v>
      </c>
      <c r="E75" s="79">
        <f t="shared" si="12"/>
        <v>47052</v>
      </c>
      <c r="F75" s="79">
        <f>IF(B74&gt;$C$18,"",IF(COUNTIF(Feriados!$A$2:$B$17,EDATE($C$38,B74))=0,EDATE($C$38,B74),EDATE($C$38,B74)+VLOOKUP(EDATE($C$38,B74),Feriados!$A$2:$B$17,2,FALSE)))</f>
        <v>47052</v>
      </c>
      <c r="G75" s="32">
        <f t="shared" si="13"/>
        <v>30</v>
      </c>
      <c r="H75" s="32">
        <f t="shared" si="14"/>
        <v>1161</v>
      </c>
      <c r="I75" s="57">
        <f t="shared" ca="1" si="21"/>
        <v>28671.28106743452</v>
      </c>
      <c r="J75" s="57">
        <f t="shared" ca="1" si="22"/>
        <v>255.34114631730495</v>
      </c>
      <c r="K75" s="58">
        <f t="shared" ca="1" si="1"/>
        <v>901.65413547537833</v>
      </c>
      <c r="L75" s="58">
        <f t="shared" ca="1" si="17"/>
        <v>2322.3737664621949</v>
      </c>
      <c r="M75" s="59">
        <f t="shared" si="2"/>
        <v>0</v>
      </c>
      <c r="N75" s="32">
        <f t="shared" si="3"/>
        <v>0</v>
      </c>
      <c r="O75" s="58">
        <f t="shared" ca="1" si="4"/>
        <v>3479.3690482548782</v>
      </c>
      <c r="P75" s="58">
        <f t="shared" ca="1" si="23"/>
        <v>28415.939921117217</v>
      </c>
      <c r="Q75" s="58">
        <f t="shared" ca="1" si="6"/>
        <v>1.6179869585640976E-2</v>
      </c>
      <c r="R75" s="58">
        <f t="shared" ca="1" si="7"/>
        <v>1.6179869585640976E-2</v>
      </c>
      <c r="T75" s="32">
        <f t="shared" ca="1" si="24"/>
        <v>3479.3690482548782</v>
      </c>
      <c r="U75" s="32">
        <f t="shared" si="9"/>
        <v>1161</v>
      </c>
      <c r="V75" s="59">
        <f t="shared" si="10"/>
        <v>8.2475661980706807</v>
      </c>
      <c r="W75" s="57">
        <f t="shared" ca="1" si="11"/>
        <v>421.87</v>
      </c>
      <c r="X75" s="58">
        <f t="shared" ca="1" si="18"/>
        <v>2322.3737664621949</v>
      </c>
      <c r="Y75" s="58">
        <f t="shared" ca="1" si="25"/>
        <v>2322.3737664621949</v>
      </c>
    </row>
    <row r="76" spans="2:25" s="16" customFormat="1" x14ac:dyDescent="0.3">
      <c r="B76" s="32">
        <v>39</v>
      </c>
      <c r="C76" s="79">
        <f t="shared" si="20"/>
        <v>47084</v>
      </c>
      <c r="D76" s="32">
        <f t="shared" si="0"/>
        <v>1</v>
      </c>
      <c r="E76" s="79">
        <f t="shared" si="12"/>
        <v>47084</v>
      </c>
      <c r="F76" s="79">
        <f>IF(B75&gt;$C$18,"",IF(COUNTIF(Feriados!$A$2:$B$17,EDATE($C$38,B75))=0,EDATE($C$38,B75),EDATE($C$38,B75)+VLOOKUP(EDATE($C$38,B75),Feriados!$A$2:$B$17,2,FALSE)))</f>
        <v>47083</v>
      </c>
      <c r="G76" s="32">
        <f t="shared" si="13"/>
        <v>32</v>
      </c>
      <c r="H76" s="32">
        <f t="shared" si="14"/>
        <v>1193</v>
      </c>
      <c r="I76" s="57">
        <f t="shared" ca="1" si="21"/>
        <v>28415.939921117217</v>
      </c>
      <c r="J76" s="57">
        <f t="shared" ca="1" si="22"/>
        <v>63.575080487987748</v>
      </c>
      <c r="K76" s="58">
        <f t="shared" ca="1" si="1"/>
        <v>954.18869090535679</v>
      </c>
      <c r="L76" s="58">
        <f t="shared" ca="1" si="17"/>
        <v>2461.6052768615336</v>
      </c>
      <c r="M76" s="59">
        <f t="shared" si="2"/>
        <v>0</v>
      </c>
      <c r="N76" s="32">
        <f t="shared" si="3"/>
        <v>0</v>
      </c>
      <c r="O76" s="58">
        <f t="shared" ca="1" si="4"/>
        <v>3479.3690482548782</v>
      </c>
      <c r="P76" s="58">
        <f t="shared" ca="1" si="23"/>
        <v>28352.36484062923</v>
      </c>
      <c r="Q76" s="58">
        <f t="shared" ca="1" si="6"/>
        <v>1.4441422936385924E-2</v>
      </c>
      <c r="R76" s="58">
        <f t="shared" ca="1" si="7"/>
        <v>1.4441422936385924E-2</v>
      </c>
      <c r="T76" s="32">
        <f t="shared" ca="1" si="24"/>
        <v>3479.3690482548782</v>
      </c>
      <c r="U76" s="32">
        <f t="shared" si="9"/>
        <v>1193</v>
      </c>
      <c r="V76" s="59">
        <f t="shared" si="10"/>
        <v>8.7414200708393803</v>
      </c>
      <c r="W76" s="57">
        <f t="shared" ca="1" si="11"/>
        <v>398.03</v>
      </c>
      <c r="X76" s="58">
        <f t="shared" ca="1" si="18"/>
        <v>2461.6052768615336</v>
      </c>
      <c r="Y76" s="58">
        <f t="shared" ca="1" si="25"/>
        <v>2461.6052768615336</v>
      </c>
    </row>
    <row r="77" spans="2:25" s="16" customFormat="1" x14ac:dyDescent="0.3">
      <c r="B77" s="32">
        <v>40</v>
      </c>
      <c r="C77" s="79">
        <f t="shared" si="20"/>
        <v>47113</v>
      </c>
      <c r="D77" s="32">
        <f t="shared" si="0"/>
        <v>2</v>
      </c>
      <c r="E77" s="79">
        <f t="shared" si="12"/>
        <v>47113</v>
      </c>
      <c r="F77" s="79">
        <f>IF(B76&gt;$C$18,"",IF(COUNTIF(Feriados!$A$2:$B$17,EDATE($C$38,B76))=0,EDATE($C$38,B76),EDATE($C$38,B76)+VLOOKUP(EDATE($C$38,B76),Feriados!$A$2:$B$17,2,FALSE)))</f>
        <v>47113</v>
      </c>
      <c r="G77" s="32">
        <f t="shared" si="13"/>
        <v>29</v>
      </c>
      <c r="H77" s="32">
        <f t="shared" si="14"/>
        <v>1222</v>
      </c>
      <c r="I77" s="57">
        <f t="shared" ca="1" si="21"/>
        <v>28352.36484062923</v>
      </c>
      <c r="J77" s="57">
        <f t="shared" ca="1" si="22"/>
        <v>400.83843753411929</v>
      </c>
      <c r="K77" s="58">
        <f t="shared" ca="1" si="1"/>
        <v>861.45709690414469</v>
      </c>
      <c r="L77" s="58">
        <f t="shared" ca="1" si="17"/>
        <v>2217.0735138166142</v>
      </c>
      <c r="M77" s="59">
        <f t="shared" si="2"/>
        <v>0</v>
      </c>
      <c r="N77" s="32">
        <f t="shared" si="3"/>
        <v>0</v>
      </c>
      <c r="O77" s="58">
        <f t="shared" ca="1" si="4"/>
        <v>3479.3690482548782</v>
      </c>
      <c r="P77" s="58">
        <f t="shared" ca="1" si="23"/>
        <v>27951.526403095111</v>
      </c>
      <c r="Q77" s="58">
        <f t="shared" ca="1" si="6"/>
        <v>1.3027855380781446E-2</v>
      </c>
      <c r="R77" s="58">
        <f t="shared" ca="1" si="7"/>
        <v>1.3027855380781446E-2</v>
      </c>
      <c r="T77" s="32">
        <f t="shared" ca="1" si="24"/>
        <v>3479.3690482548782</v>
      </c>
      <c r="U77" s="32">
        <f t="shared" si="9"/>
        <v>1222</v>
      </c>
      <c r="V77" s="59">
        <f t="shared" si="10"/>
        <v>9.2144709396879314</v>
      </c>
      <c r="W77" s="57">
        <f t="shared" ca="1" si="11"/>
        <v>377.6</v>
      </c>
      <c r="X77" s="58">
        <f t="shared" ca="1" si="18"/>
        <v>2217.0735138166142</v>
      </c>
      <c r="Y77" s="58">
        <f t="shared" ca="1" si="25"/>
        <v>2217.0735138166142</v>
      </c>
    </row>
    <row r="78" spans="2:25" s="16" customFormat="1" x14ac:dyDescent="0.3">
      <c r="B78" s="32">
        <v>41</v>
      </c>
      <c r="C78" s="79">
        <f t="shared" si="20"/>
        <v>47144</v>
      </c>
      <c r="D78" s="32">
        <f t="shared" si="0"/>
        <v>5</v>
      </c>
      <c r="E78" s="79">
        <f t="shared" si="12"/>
        <v>47144</v>
      </c>
      <c r="F78" s="79">
        <f>IF(B77&gt;$C$18,"",IF(COUNTIF(Feriados!$A$2:$B$17,EDATE($C$38,B77))=0,EDATE($C$38,B77),EDATE($C$38,B77)+VLOOKUP(EDATE($C$38,B77),Feriados!$A$2:$B$17,2,FALSE)))</f>
        <v>47144</v>
      </c>
      <c r="G78" s="32">
        <f t="shared" si="13"/>
        <v>31</v>
      </c>
      <c r="H78" s="32">
        <f t="shared" si="14"/>
        <v>1253</v>
      </c>
      <c r="I78" s="57">
        <f t="shared" ca="1" si="21"/>
        <v>27951.526403095111</v>
      </c>
      <c r="J78" s="57">
        <f t="shared" ca="1" si="22"/>
        <v>227.9559347573196</v>
      </c>
      <c r="K78" s="58">
        <f t="shared" ca="1" si="1"/>
        <v>908.79127148247142</v>
      </c>
      <c r="L78" s="58">
        <f t="shared" ca="1" si="17"/>
        <v>2342.6218420150872</v>
      </c>
      <c r="M78" s="59">
        <f t="shared" si="2"/>
        <v>0</v>
      </c>
      <c r="N78" s="32">
        <f t="shared" si="3"/>
        <v>0</v>
      </c>
      <c r="O78" s="58">
        <f t="shared" ca="1" si="4"/>
        <v>3479.3690482548782</v>
      </c>
      <c r="P78" s="58">
        <f t="shared" ca="1" si="23"/>
        <v>27723.570468337792</v>
      </c>
      <c r="Q78" s="58">
        <f t="shared" ca="1" si="6"/>
        <v>1.1669454537825991E-2</v>
      </c>
      <c r="R78" s="58">
        <f t="shared" ca="1" si="7"/>
        <v>1.1669454537825991E-2</v>
      </c>
      <c r="T78" s="32">
        <f t="shared" ca="1" si="24"/>
        <v>3479.3690482548782</v>
      </c>
      <c r="U78" s="32">
        <f t="shared" si="9"/>
        <v>1253</v>
      </c>
      <c r="V78" s="59">
        <f t="shared" si="10"/>
        <v>9.7484895364681989</v>
      </c>
      <c r="W78" s="57">
        <f t="shared" ca="1" si="11"/>
        <v>356.91</v>
      </c>
      <c r="X78" s="58">
        <f t="shared" ca="1" si="18"/>
        <v>2342.6218420150872</v>
      </c>
      <c r="Y78" s="58">
        <f t="shared" ca="1" si="25"/>
        <v>2342.6218420150872</v>
      </c>
    </row>
    <row r="79" spans="2:25" s="16" customFormat="1" x14ac:dyDescent="0.3">
      <c r="B79" s="32">
        <v>42</v>
      </c>
      <c r="C79" s="79">
        <f t="shared" si="20"/>
        <v>47175</v>
      </c>
      <c r="D79" s="32">
        <f t="shared" si="0"/>
        <v>1</v>
      </c>
      <c r="E79" s="79">
        <f t="shared" si="12"/>
        <v>47175</v>
      </c>
      <c r="F79" s="79">
        <f>IF(B78&gt;$C$18,"",IF(COUNTIF(Feriados!$A$2:$B$17,EDATE($C$38,B78))=0,EDATE($C$38,B78),EDATE($C$38,B78)+VLOOKUP(EDATE($C$38,B78),Feriados!$A$2:$B$17,2,FALSE)))</f>
        <v>47175</v>
      </c>
      <c r="G79" s="32">
        <f t="shared" si="13"/>
        <v>31</v>
      </c>
      <c r="H79" s="32">
        <f t="shared" si="14"/>
        <v>1284</v>
      </c>
      <c r="I79" s="57">
        <f t="shared" ca="1" si="21"/>
        <v>27723.570468337792</v>
      </c>
      <c r="J79" s="57">
        <f t="shared" ca="1" si="22"/>
        <v>254.47251581557146</v>
      </c>
      <c r="K79" s="58">
        <f t="shared" ca="1" si="1"/>
        <v>901.37971331557503</v>
      </c>
      <c r="L79" s="58">
        <f t="shared" ca="1" si="17"/>
        <v>2323.5168191237317</v>
      </c>
      <c r="M79" s="59">
        <f t="shared" si="2"/>
        <v>0</v>
      </c>
      <c r="N79" s="32">
        <f t="shared" si="3"/>
        <v>0</v>
      </c>
      <c r="O79" s="58">
        <f t="shared" ca="1" si="4"/>
        <v>3479.3690482548782</v>
      </c>
      <c r="P79" s="58">
        <f t="shared" ca="1" si="23"/>
        <v>27469.097952522221</v>
      </c>
      <c r="Q79" s="58">
        <f t="shared" ca="1" si="6"/>
        <v>1.0452692728787381E-2</v>
      </c>
      <c r="R79" s="58">
        <f t="shared" ca="1" si="7"/>
        <v>1.0452692728787381E-2</v>
      </c>
      <c r="T79" s="32">
        <f t="shared" ca="1" si="24"/>
        <v>3479.3690482548782</v>
      </c>
      <c r="U79" s="32">
        <f t="shared" si="9"/>
        <v>1284</v>
      </c>
      <c r="V79" s="59">
        <f t="shared" si="10"/>
        <v>10.313456829443153</v>
      </c>
      <c r="W79" s="57">
        <f t="shared" ca="1" si="11"/>
        <v>337.36</v>
      </c>
      <c r="X79" s="58">
        <f t="shared" ca="1" si="18"/>
        <v>2323.5168191237317</v>
      </c>
      <c r="Y79" s="58">
        <f t="shared" ca="1" si="25"/>
        <v>2323.5168191237317</v>
      </c>
    </row>
    <row r="80" spans="2:25" s="16" customFormat="1" x14ac:dyDescent="0.3">
      <c r="B80" s="32">
        <v>43</v>
      </c>
      <c r="C80" s="79">
        <f t="shared" si="20"/>
        <v>47203</v>
      </c>
      <c r="D80" s="32">
        <f t="shared" si="0"/>
        <v>1</v>
      </c>
      <c r="E80" s="79">
        <f t="shared" si="12"/>
        <v>47203</v>
      </c>
      <c r="F80" s="79">
        <f>IF(B79&gt;$C$18,"",IF(COUNTIF(Feriados!$A$2:$B$17,EDATE($C$38,B79))=0,EDATE($C$38,B79),EDATE($C$38,B79)+VLOOKUP(EDATE($C$38,B79),Feriados!$A$2:$B$17,2,FALSE)))</f>
        <v>47203</v>
      </c>
      <c r="G80" s="32">
        <f t="shared" si="13"/>
        <v>28</v>
      </c>
      <c r="H80" s="32">
        <f t="shared" si="14"/>
        <v>1312</v>
      </c>
      <c r="I80" s="57">
        <f t="shared" ca="1" si="21"/>
        <v>27469.097952522221</v>
      </c>
      <c r="J80" s="57">
        <f t="shared" ca="1" si="22"/>
        <v>602.73503273929612</v>
      </c>
      <c r="K80" s="58">
        <f t="shared" ca="1" si="1"/>
        <v>805.42216087365011</v>
      </c>
      <c r="L80" s="58">
        <f t="shared" ca="1" si="17"/>
        <v>2071.211854641932</v>
      </c>
      <c r="M80" s="59">
        <f t="shared" si="2"/>
        <v>0</v>
      </c>
      <c r="N80" s="32">
        <f t="shared" si="3"/>
        <v>0</v>
      </c>
      <c r="O80" s="58">
        <f t="shared" ca="1" si="4"/>
        <v>3479.3690482548782</v>
      </c>
      <c r="P80" s="58">
        <f t="shared" ca="1" si="23"/>
        <v>26866.362919782925</v>
      </c>
      <c r="Q80" s="58">
        <f t="shared" ca="1" si="6"/>
        <v>9.4631077018906742E-3</v>
      </c>
      <c r="R80" s="58">
        <f t="shared" ca="1" si="7"/>
        <v>9.4631077018906742E-3</v>
      </c>
      <c r="T80" s="32">
        <f t="shared" ca="1" si="24"/>
        <v>3479.3690482548782</v>
      </c>
      <c r="U80" s="32">
        <f t="shared" si="9"/>
        <v>1312</v>
      </c>
      <c r="V80" s="59">
        <f t="shared" si="10"/>
        <v>10.85184078368397</v>
      </c>
      <c r="W80" s="57">
        <f t="shared" ca="1" si="11"/>
        <v>320.62</v>
      </c>
      <c r="X80" s="58">
        <f t="shared" ca="1" si="18"/>
        <v>2071.211854641932</v>
      </c>
      <c r="Y80" s="58">
        <f t="shared" ca="1" si="25"/>
        <v>2071.211854641932</v>
      </c>
    </row>
    <row r="81" spans="2:25" s="16" customFormat="1" x14ac:dyDescent="0.3">
      <c r="B81" s="32">
        <v>44</v>
      </c>
      <c r="C81" s="79">
        <f t="shared" si="20"/>
        <v>47234</v>
      </c>
      <c r="D81" s="32">
        <f t="shared" si="0"/>
        <v>4</v>
      </c>
      <c r="E81" s="79">
        <f t="shared" si="12"/>
        <v>47234</v>
      </c>
      <c r="F81" s="79">
        <f>IF(B80&gt;$C$18,"",IF(COUNTIF(Feriados!$A$2:$B$17,EDATE($C$38,B80))=0,EDATE($C$38,B80),EDATE($C$38,B80)+VLOOKUP(EDATE($C$38,B80),Feriados!$A$2:$B$17,2,FALSE)))</f>
        <v>47234</v>
      </c>
      <c r="G81" s="32">
        <f t="shared" si="13"/>
        <v>31</v>
      </c>
      <c r="H81" s="32">
        <f t="shared" si="14"/>
        <v>1343</v>
      </c>
      <c r="I81" s="57">
        <f t="shared" ca="1" si="21"/>
        <v>26866.362919782925</v>
      </c>
      <c r="J81" s="57">
        <f t="shared" ca="1" si="22"/>
        <v>354.1857058634597</v>
      </c>
      <c r="K81" s="58">
        <f t="shared" ca="1" si="1"/>
        <v>873.50922328432978</v>
      </c>
      <c r="L81" s="58">
        <f t="shared" ca="1" si="17"/>
        <v>2251.6741191070887</v>
      </c>
      <c r="M81" s="59">
        <f t="shared" si="2"/>
        <v>0</v>
      </c>
      <c r="N81" s="32">
        <f t="shared" si="3"/>
        <v>0</v>
      </c>
      <c r="O81" s="58">
        <f t="shared" ca="1" si="4"/>
        <v>3479.3690482548782</v>
      </c>
      <c r="P81" s="58">
        <f t="shared" ca="1" si="23"/>
        <v>26512.177213919465</v>
      </c>
      <c r="Q81" s="58">
        <f t="shared" ca="1" si="6"/>
        <v>8.4763993678244522E-3</v>
      </c>
      <c r="R81" s="58">
        <f t="shared" ca="1" si="7"/>
        <v>8.4763993678244522E-3</v>
      </c>
      <c r="T81" s="32">
        <f t="shared" ca="1" si="24"/>
        <v>3479.3690482548782</v>
      </c>
      <c r="U81" s="32">
        <f t="shared" si="9"/>
        <v>1343</v>
      </c>
      <c r="V81" s="59">
        <f t="shared" si="10"/>
        <v>11.480752071778181</v>
      </c>
      <c r="W81" s="57">
        <f t="shared" ca="1" si="11"/>
        <v>303.06</v>
      </c>
      <c r="X81" s="58">
        <f t="shared" ca="1" si="18"/>
        <v>2251.6741191070887</v>
      </c>
      <c r="Y81" s="58">
        <f t="shared" ca="1" si="25"/>
        <v>2251.6741191070887</v>
      </c>
    </row>
    <row r="82" spans="2:25" s="16" customFormat="1" x14ac:dyDescent="0.3">
      <c r="B82" s="32">
        <v>45</v>
      </c>
      <c r="C82" s="79">
        <f t="shared" si="20"/>
        <v>47264</v>
      </c>
      <c r="D82" s="32">
        <f t="shared" si="0"/>
        <v>6</v>
      </c>
      <c r="E82" s="79">
        <f t="shared" si="12"/>
        <v>47264</v>
      </c>
      <c r="F82" s="79">
        <f>IF(B81&gt;$C$18,"",IF(COUNTIF(Feriados!$A$2:$B$17,EDATE($C$38,B81))=0,EDATE($C$38,B81),EDATE($C$38,B81)+VLOOKUP(EDATE($C$38,B81),Feriados!$A$2:$B$17,2,FALSE)))</f>
        <v>47264</v>
      </c>
      <c r="G82" s="32">
        <f t="shared" si="13"/>
        <v>30</v>
      </c>
      <c r="H82" s="32">
        <f t="shared" si="14"/>
        <v>1373</v>
      </c>
      <c r="I82" s="57">
        <f t="shared" ca="1" si="21"/>
        <v>26512.177213919465</v>
      </c>
      <c r="J82" s="57">
        <f t="shared" ca="1" si="22"/>
        <v>498.12803297720882</v>
      </c>
      <c r="K82" s="58">
        <f t="shared" ca="1" si="1"/>
        <v>833.75466095019385</v>
      </c>
      <c r="L82" s="58">
        <f t="shared" ca="1" si="17"/>
        <v>2147.4863543274755</v>
      </c>
      <c r="M82" s="59">
        <f t="shared" si="2"/>
        <v>0</v>
      </c>
      <c r="N82" s="32">
        <f t="shared" si="3"/>
        <v>0</v>
      </c>
      <c r="O82" s="58">
        <f t="shared" ca="1" si="4"/>
        <v>3479.3690482548782</v>
      </c>
      <c r="P82" s="58">
        <f t="shared" ca="1" si="23"/>
        <v>26014.049180942256</v>
      </c>
      <c r="Q82" s="58">
        <f t="shared" ca="1" si="6"/>
        <v>7.6195916129262594E-3</v>
      </c>
      <c r="R82" s="58">
        <f t="shared" ca="1" si="7"/>
        <v>7.6195916129262594E-3</v>
      </c>
      <c r="T82" s="32">
        <f t="shared" ca="1" si="24"/>
        <v>3479.3690482548782</v>
      </c>
      <c r="U82" s="32">
        <f t="shared" si="9"/>
        <v>1373</v>
      </c>
      <c r="V82" s="59">
        <f t="shared" si="10"/>
        <v>12.12405807264299</v>
      </c>
      <c r="W82" s="57">
        <f t="shared" ca="1" si="11"/>
        <v>286.98</v>
      </c>
      <c r="X82" s="58">
        <f t="shared" ca="1" si="18"/>
        <v>2147.4863543274755</v>
      </c>
      <c r="Y82" s="58">
        <f t="shared" ca="1" si="25"/>
        <v>2147.4863543274755</v>
      </c>
    </row>
    <row r="83" spans="2:25" s="16" customFormat="1" x14ac:dyDescent="0.3">
      <c r="B83" s="32">
        <v>46</v>
      </c>
      <c r="C83" s="79">
        <f t="shared" si="20"/>
        <v>47295</v>
      </c>
      <c r="D83" s="32">
        <f t="shared" si="0"/>
        <v>2</v>
      </c>
      <c r="E83" s="79">
        <f t="shared" si="12"/>
        <v>47295</v>
      </c>
      <c r="F83" s="79">
        <f>IF(B82&gt;$C$18,"",IF(COUNTIF(Feriados!$A$2:$B$17,EDATE($C$38,B82))=0,EDATE($C$38,B82),EDATE($C$38,B82)+VLOOKUP(EDATE($C$38,B82),Feriados!$A$2:$B$17,2,FALSE)))</f>
        <v>47295</v>
      </c>
      <c r="G83" s="32">
        <f t="shared" si="13"/>
        <v>31</v>
      </c>
      <c r="H83" s="32">
        <f t="shared" si="14"/>
        <v>1404</v>
      </c>
      <c r="I83" s="57">
        <f t="shared" ca="1" si="21"/>
        <v>26014.049180942256</v>
      </c>
      <c r="J83" s="57">
        <f t="shared" ca="1" si="22"/>
        <v>453.32963193448177</v>
      </c>
      <c r="K83" s="58">
        <f t="shared" ca="1" si="1"/>
        <v>845.79784626496166</v>
      </c>
      <c r="L83" s="58">
        <f t="shared" ca="1" si="17"/>
        <v>2180.2415700554347</v>
      </c>
      <c r="M83" s="59">
        <f t="shared" si="2"/>
        <v>0</v>
      </c>
      <c r="N83" s="32">
        <f t="shared" si="3"/>
        <v>0</v>
      </c>
      <c r="O83" s="58">
        <f t="shared" ca="1" si="4"/>
        <v>3479.3690482548782</v>
      </c>
      <c r="P83" s="58">
        <f t="shared" ca="1" si="23"/>
        <v>25560.719549007776</v>
      </c>
      <c r="Q83" s="58">
        <f t="shared" ca="1" si="6"/>
        <v>6.8251047716581144E-3</v>
      </c>
      <c r="R83" s="58">
        <f t="shared" ca="1" si="7"/>
        <v>6.8251047716581144E-3</v>
      </c>
      <c r="T83" s="32">
        <f t="shared" ca="1" si="24"/>
        <v>3479.3690482548782</v>
      </c>
      <c r="U83" s="32">
        <f t="shared" si="9"/>
        <v>1404</v>
      </c>
      <c r="V83" s="59">
        <f t="shared" si="10"/>
        <v>12.826699876129378</v>
      </c>
      <c r="W83" s="57">
        <f t="shared" ca="1" si="11"/>
        <v>271.26</v>
      </c>
      <c r="X83" s="58">
        <f t="shared" ca="1" si="18"/>
        <v>2180.2415700554347</v>
      </c>
      <c r="Y83" s="58">
        <f t="shared" ca="1" si="25"/>
        <v>2180.2415700554347</v>
      </c>
    </row>
    <row r="84" spans="2:25" s="16" customFormat="1" x14ac:dyDescent="0.3">
      <c r="B84" s="32">
        <v>47</v>
      </c>
      <c r="C84" s="79">
        <f t="shared" si="20"/>
        <v>47325</v>
      </c>
      <c r="D84" s="32">
        <f t="shared" si="0"/>
        <v>4</v>
      </c>
      <c r="E84" s="79">
        <f t="shared" si="12"/>
        <v>47325</v>
      </c>
      <c r="F84" s="79">
        <f>IF(B83&gt;$C$18,"",IF(COUNTIF(Feriados!$A$2:$B$17,EDATE($C$38,B83))=0,EDATE($C$38,B83),EDATE($C$38,B83)+VLOOKUP(EDATE($C$38,B83),Feriados!$A$2:$B$17,2,FALSE)))</f>
        <v>47325</v>
      </c>
      <c r="G84" s="32">
        <f t="shared" si="13"/>
        <v>30</v>
      </c>
      <c r="H84" s="32">
        <f t="shared" si="14"/>
        <v>1434</v>
      </c>
      <c r="I84" s="57">
        <f t="shared" ca="1" si="21"/>
        <v>25560.719549007776</v>
      </c>
      <c r="J84" s="57">
        <f t="shared" ca="1" si="22"/>
        <v>605.11753414295254</v>
      </c>
      <c r="K84" s="58">
        <f t="shared" ca="1" si="1"/>
        <v>803.83323064229671</v>
      </c>
      <c r="L84" s="58">
        <f t="shared" ca="1" si="17"/>
        <v>2070.4182834696289</v>
      </c>
      <c r="M84" s="59">
        <f t="shared" si="2"/>
        <v>0</v>
      </c>
      <c r="N84" s="32">
        <f t="shared" si="3"/>
        <v>0</v>
      </c>
      <c r="O84" s="58">
        <f t="shared" ca="1" si="4"/>
        <v>3479.3690482548782</v>
      </c>
      <c r="P84" s="58">
        <f t="shared" ca="1" si="23"/>
        <v>24955.602014864824</v>
      </c>
      <c r="Q84" s="58">
        <f t="shared" ca="1" si="6"/>
        <v>6.1352124668491844E-3</v>
      </c>
      <c r="R84" s="58">
        <f t="shared" ca="1" si="7"/>
        <v>6.1352124668491844E-3</v>
      </c>
      <c r="T84" s="32">
        <f t="shared" ca="1" si="24"/>
        <v>3479.3690482548782</v>
      </c>
      <c r="U84" s="32">
        <f t="shared" si="9"/>
        <v>1434</v>
      </c>
      <c r="V84" s="59">
        <f t="shared" si="10"/>
        <v>13.545423958839045</v>
      </c>
      <c r="W84" s="57">
        <f t="shared" ca="1" si="11"/>
        <v>256.87</v>
      </c>
      <c r="X84" s="58">
        <f t="shared" ca="1" si="18"/>
        <v>2070.4182834696289</v>
      </c>
      <c r="Y84" s="58">
        <f t="shared" ca="1" si="25"/>
        <v>2070.4182834696289</v>
      </c>
    </row>
    <row r="85" spans="2:25" s="16" customFormat="1" x14ac:dyDescent="0.3">
      <c r="B85" s="32">
        <v>48</v>
      </c>
      <c r="C85" s="79">
        <f t="shared" si="20"/>
        <v>47357</v>
      </c>
      <c r="D85" s="32">
        <f t="shared" si="0"/>
        <v>1</v>
      </c>
      <c r="E85" s="79">
        <f t="shared" si="12"/>
        <v>47357</v>
      </c>
      <c r="F85" s="79">
        <f>IF(B84&gt;$C$18,"",IF(COUNTIF(Feriados!$A$2:$B$17,EDATE($C$38,B84))=0,EDATE($C$38,B84),EDATE($C$38,B84)+VLOOKUP(EDATE($C$38,B84),Feriados!$A$2:$B$17,2,FALSE)))</f>
        <v>47356</v>
      </c>
      <c r="G85" s="32">
        <f t="shared" si="13"/>
        <v>32</v>
      </c>
      <c r="H85" s="32">
        <f t="shared" si="14"/>
        <v>1466</v>
      </c>
      <c r="I85" s="57">
        <f t="shared" ca="1" si="21"/>
        <v>24955.602014864824</v>
      </c>
      <c r="J85" s="57">
        <f t="shared" ca="1" si="22"/>
        <v>479.53180686845758</v>
      </c>
      <c r="K85" s="58">
        <f t="shared" ca="1" si="1"/>
        <v>837.99280556695135</v>
      </c>
      <c r="L85" s="58">
        <f t="shared" ca="1" si="17"/>
        <v>2161.8444358194693</v>
      </c>
      <c r="M85" s="59">
        <f t="shared" si="2"/>
        <v>0</v>
      </c>
      <c r="N85" s="32">
        <f t="shared" si="3"/>
        <v>0</v>
      </c>
      <c r="O85" s="58">
        <f t="shared" ca="1" si="4"/>
        <v>3479.3690482548782</v>
      </c>
      <c r="P85" s="58">
        <f t="shared" ca="1" si="23"/>
        <v>24476.070207996367</v>
      </c>
      <c r="Q85" s="58">
        <f t="shared" ca="1" si="6"/>
        <v>5.4760143503867912E-3</v>
      </c>
      <c r="R85" s="58">
        <f t="shared" ca="1" si="7"/>
        <v>5.4760143503867912E-3</v>
      </c>
      <c r="T85" s="32">
        <f t="shared" ca="1" si="24"/>
        <v>3479.3690482548782</v>
      </c>
      <c r="U85" s="32">
        <f t="shared" si="9"/>
        <v>1466</v>
      </c>
      <c r="V85" s="59">
        <f t="shared" si="10"/>
        <v>14.356506879511015</v>
      </c>
      <c r="W85" s="57">
        <f t="shared" ca="1" si="11"/>
        <v>242.35</v>
      </c>
      <c r="X85" s="58">
        <f t="shared" ca="1" si="18"/>
        <v>2161.8444358194693</v>
      </c>
      <c r="Y85" s="58">
        <f t="shared" ca="1" si="25"/>
        <v>2161.8444358194693</v>
      </c>
    </row>
    <row r="86" spans="2:25" s="16" customFormat="1" x14ac:dyDescent="0.3">
      <c r="B86" s="32">
        <v>49</v>
      </c>
      <c r="C86" s="79">
        <f t="shared" si="20"/>
        <v>47387</v>
      </c>
      <c r="D86" s="32">
        <f t="shared" si="0"/>
        <v>3</v>
      </c>
      <c r="E86" s="79">
        <f t="shared" si="12"/>
        <v>47387</v>
      </c>
      <c r="F86" s="79">
        <f>IF(B85&gt;$C$18,"",IF(COUNTIF(Feriados!$A$2:$B$17,EDATE($C$38,B85))=0,EDATE($C$38,B85),EDATE($C$38,B85)+VLOOKUP(EDATE($C$38,B85),Feriados!$A$2:$B$17,2,FALSE)))</f>
        <v>47387</v>
      </c>
      <c r="G86" s="32">
        <f t="shared" si="13"/>
        <v>30</v>
      </c>
      <c r="H86" s="32">
        <f t="shared" si="14"/>
        <v>1496</v>
      </c>
      <c r="I86" s="57">
        <f t="shared" ca="1" si="21"/>
        <v>24476.070207996367</v>
      </c>
      <c r="J86" s="57">
        <f t="shared" ca="1" si="22"/>
        <v>727.08417145553801</v>
      </c>
      <c r="K86" s="58">
        <f t="shared" ca="1" si="1"/>
        <v>769.72318995163539</v>
      </c>
      <c r="L86" s="58">
        <f t="shared" ca="1" si="17"/>
        <v>1982.5616868477048</v>
      </c>
      <c r="M86" s="59">
        <f t="shared" si="2"/>
        <v>0</v>
      </c>
      <c r="N86" s="32">
        <f t="shared" si="3"/>
        <v>0</v>
      </c>
      <c r="O86" s="58">
        <f t="shared" ca="1" si="4"/>
        <v>3479.3690482548782</v>
      </c>
      <c r="P86" s="58">
        <f t="shared" ca="1" si="23"/>
        <v>23748.986036540828</v>
      </c>
      <c r="Q86" s="58">
        <f t="shared" ca="1" si="6"/>
        <v>4.9224902232491282E-3</v>
      </c>
      <c r="R86" s="58">
        <f t="shared" ca="1" si="7"/>
        <v>4.9224902232491282E-3</v>
      </c>
      <c r="T86" s="32">
        <f t="shared" ca="1" si="24"/>
        <v>3479.3690482548782</v>
      </c>
      <c r="U86" s="32">
        <f t="shared" si="9"/>
        <v>1496</v>
      </c>
      <c r="V86" s="59">
        <f t="shared" si="10"/>
        <v>15.160951306958347</v>
      </c>
      <c r="W86" s="57">
        <f t="shared" ca="1" si="11"/>
        <v>229.5</v>
      </c>
      <c r="X86" s="58">
        <f t="shared" ca="1" si="18"/>
        <v>1982.5616868477048</v>
      </c>
      <c r="Y86" s="58">
        <f t="shared" ca="1" si="25"/>
        <v>1982.5616868477048</v>
      </c>
    </row>
    <row r="87" spans="2:25" s="16" customFormat="1" x14ac:dyDescent="0.3">
      <c r="B87" s="32">
        <v>50</v>
      </c>
      <c r="C87" s="79">
        <f t="shared" si="20"/>
        <v>47417</v>
      </c>
      <c r="D87" s="32">
        <f t="shared" si="0"/>
        <v>5</v>
      </c>
      <c r="E87" s="79">
        <f t="shared" si="12"/>
        <v>47417</v>
      </c>
      <c r="F87" s="79">
        <f>IF(B86&gt;$C$18,"",IF(COUNTIF(Feriados!$A$2:$B$17,EDATE($C$38,B86))=0,EDATE($C$38,B86),EDATE($C$38,B86)+VLOOKUP(EDATE($C$38,B86),Feriados!$A$2:$B$17,2,FALSE)))</f>
        <v>47417</v>
      </c>
      <c r="G87" s="32">
        <f t="shared" si="13"/>
        <v>30</v>
      </c>
      <c r="H87" s="32">
        <f t="shared" si="14"/>
        <v>1526</v>
      </c>
      <c r="I87" s="57">
        <f t="shared" ca="1" si="21"/>
        <v>23748.986036540828</v>
      </c>
      <c r="J87" s="57">
        <f t="shared" ca="1" si="22"/>
        <v>808.843324467098</v>
      </c>
      <c r="K87" s="58">
        <f t="shared" ca="1" si="1"/>
        <v>746.85785482797405</v>
      </c>
      <c r="L87" s="58">
        <f t="shared" ca="1" si="17"/>
        <v>1923.6678689598061</v>
      </c>
      <c r="M87" s="59">
        <f t="shared" si="2"/>
        <v>0</v>
      </c>
      <c r="N87" s="32">
        <f t="shared" si="3"/>
        <v>0</v>
      </c>
      <c r="O87" s="58">
        <f t="shared" ca="1" si="4"/>
        <v>3479.3690482548782</v>
      </c>
      <c r="P87" s="58">
        <f t="shared" ca="1" si="23"/>
        <v>22940.142712073728</v>
      </c>
      <c r="Q87" s="58">
        <f t="shared" ca="1" si="6"/>
        <v>4.4249171838404286E-3</v>
      </c>
      <c r="R87" s="58">
        <f t="shared" ca="1" si="7"/>
        <v>4.4249171838404286E-3</v>
      </c>
      <c r="T87" s="32">
        <f t="shared" ca="1" si="24"/>
        <v>3479.3690482548782</v>
      </c>
      <c r="U87" s="32">
        <f t="shared" si="9"/>
        <v>1526</v>
      </c>
      <c r="V87" s="59">
        <f t="shared" si="10"/>
        <v>16.010471520756919</v>
      </c>
      <c r="W87" s="57">
        <f t="shared" ca="1" si="11"/>
        <v>217.32</v>
      </c>
      <c r="X87" s="58">
        <f t="shared" ca="1" si="18"/>
        <v>1923.6678689598061</v>
      </c>
      <c r="Y87" s="58">
        <f t="shared" ca="1" si="25"/>
        <v>1923.6678689598061</v>
      </c>
    </row>
    <row r="88" spans="2:25" s="16" customFormat="1" x14ac:dyDescent="0.3">
      <c r="B88" s="32">
        <v>51</v>
      </c>
      <c r="C88" s="79">
        <f t="shared" si="20"/>
        <v>47448</v>
      </c>
      <c r="D88" s="32">
        <f t="shared" si="0"/>
        <v>1</v>
      </c>
      <c r="E88" s="79">
        <f t="shared" si="12"/>
        <v>47448</v>
      </c>
      <c r="F88" s="79">
        <f>IF(B87&gt;$C$18,"",IF(COUNTIF(Feriados!$A$2:$B$17,EDATE($C$38,B87))=0,EDATE($C$38,B87),EDATE($C$38,B87)+VLOOKUP(EDATE($C$38,B87),Feriados!$A$2:$B$17,2,FALSE)))</f>
        <v>47448</v>
      </c>
      <c r="G88" s="32">
        <f t="shared" si="13"/>
        <v>31</v>
      </c>
      <c r="H88" s="32">
        <f t="shared" si="14"/>
        <v>1557</v>
      </c>
      <c r="I88" s="57">
        <f t="shared" ca="1" si="21"/>
        <v>22940.142712073728</v>
      </c>
      <c r="J88" s="57">
        <f t="shared" ca="1" si="22"/>
        <v>810.89650175084364</v>
      </c>
      <c r="K88" s="58">
        <f t="shared" ca="1" si="1"/>
        <v>745.8555630431091</v>
      </c>
      <c r="L88" s="58">
        <f t="shared" ca="1" si="17"/>
        <v>1922.6169834609254</v>
      </c>
      <c r="M88" s="59">
        <f t="shared" si="2"/>
        <v>0</v>
      </c>
      <c r="N88" s="32">
        <f t="shared" si="3"/>
        <v>0</v>
      </c>
      <c r="O88" s="58">
        <f t="shared" ca="1" si="4"/>
        <v>3479.3690482548782</v>
      </c>
      <c r="P88" s="58">
        <f t="shared" ca="1" si="23"/>
        <v>22129.246210322883</v>
      </c>
      <c r="Q88" s="58">
        <f t="shared" ca="1" si="6"/>
        <v>3.963535701098155E-3</v>
      </c>
      <c r="R88" s="58">
        <f t="shared" ca="1" si="7"/>
        <v>3.963535701098155E-3</v>
      </c>
      <c r="T88" s="32">
        <f t="shared" ca="1" si="24"/>
        <v>3479.3690482548782</v>
      </c>
      <c r="U88" s="32">
        <f t="shared" si="9"/>
        <v>1557</v>
      </c>
      <c r="V88" s="59">
        <f t="shared" si="10"/>
        <v>16.938347856931529</v>
      </c>
      <c r="W88" s="57">
        <f t="shared" ca="1" si="11"/>
        <v>205.41</v>
      </c>
      <c r="X88" s="58">
        <f t="shared" ca="1" si="18"/>
        <v>1922.6169834609254</v>
      </c>
      <c r="Y88" s="58">
        <f t="shared" ca="1" si="25"/>
        <v>1922.6169834609254</v>
      </c>
    </row>
    <row r="89" spans="2:25" s="16" customFormat="1" x14ac:dyDescent="0.3">
      <c r="B89" s="32">
        <v>52</v>
      </c>
      <c r="C89" s="79">
        <f t="shared" si="20"/>
        <v>47478</v>
      </c>
      <c r="D89" s="32">
        <f t="shared" si="0"/>
        <v>3</v>
      </c>
      <c r="E89" s="79">
        <f t="shared" si="12"/>
        <v>47478</v>
      </c>
      <c r="F89" s="79">
        <f>IF(B88&gt;$C$18,"",IF(COUNTIF(Feriados!$A$2:$B$17,EDATE($C$38,B88))=0,EDATE($C$38,B88),EDATE($C$38,B88)+VLOOKUP(EDATE($C$38,B88),Feriados!$A$2:$B$17,2,FALSE)))</f>
        <v>47478</v>
      </c>
      <c r="G89" s="32">
        <f t="shared" si="13"/>
        <v>30</v>
      </c>
      <c r="H89" s="32">
        <f t="shared" si="14"/>
        <v>1587</v>
      </c>
      <c r="I89" s="57">
        <f t="shared" ca="1" si="21"/>
        <v>22129.246210322883</v>
      </c>
      <c r="J89" s="57">
        <f t="shared" ca="1" si="22"/>
        <v>990.97981084605965</v>
      </c>
      <c r="K89" s="58">
        <f t="shared" ca="1" si="1"/>
        <v>695.92029437266581</v>
      </c>
      <c r="L89" s="58">
        <f t="shared" ca="1" si="17"/>
        <v>1792.4689430361527</v>
      </c>
      <c r="M89" s="59">
        <f t="shared" si="2"/>
        <v>0</v>
      </c>
      <c r="N89" s="32">
        <f t="shared" si="3"/>
        <v>0</v>
      </c>
      <c r="O89" s="58">
        <f t="shared" ca="1" si="4"/>
        <v>3479.3690482548782</v>
      </c>
      <c r="P89" s="58">
        <f t="shared" ca="1" si="23"/>
        <v>21138.266399476823</v>
      </c>
      <c r="Q89" s="58">
        <f t="shared" ca="1" si="6"/>
        <v>3.5628952902171424E-3</v>
      </c>
      <c r="R89" s="58">
        <f t="shared" ca="1" si="7"/>
        <v>3.5628952902171424E-3</v>
      </c>
      <c r="T89" s="32">
        <f t="shared" ca="1" si="24"/>
        <v>3479.3690482548782</v>
      </c>
      <c r="U89" s="32">
        <f t="shared" si="9"/>
        <v>1587</v>
      </c>
      <c r="V89" s="59">
        <f t="shared" si="10"/>
        <v>17.887461708791921</v>
      </c>
      <c r="W89" s="57">
        <f t="shared" ca="1" si="11"/>
        <v>194.51</v>
      </c>
      <c r="X89" s="58">
        <f t="shared" ca="1" si="18"/>
        <v>1792.4689430361527</v>
      </c>
      <c r="Y89" s="58">
        <f t="shared" ca="1" si="25"/>
        <v>1792.4689430361527</v>
      </c>
    </row>
    <row r="90" spans="2:25" s="16" customFormat="1" x14ac:dyDescent="0.3">
      <c r="B90" s="32">
        <v>53</v>
      </c>
      <c r="C90" s="79">
        <f t="shared" si="20"/>
        <v>47509</v>
      </c>
      <c r="D90" s="32">
        <f t="shared" si="0"/>
        <v>6</v>
      </c>
      <c r="E90" s="79">
        <f t="shared" si="12"/>
        <v>47509</v>
      </c>
      <c r="F90" s="79">
        <f>IF(B89&gt;$C$18,"",IF(COUNTIF(Feriados!$A$2:$B$17,EDATE($C$38,B89))=0,EDATE($C$38,B89),EDATE($C$38,B89)+VLOOKUP(EDATE($C$38,B89),Feriados!$A$2:$B$17,2,FALSE)))</f>
        <v>47509</v>
      </c>
      <c r="G90" s="32">
        <f t="shared" si="13"/>
        <v>31</v>
      </c>
      <c r="H90" s="32">
        <f t="shared" si="14"/>
        <v>1618</v>
      </c>
      <c r="I90" s="57">
        <f t="shared" ca="1" si="21"/>
        <v>21138.266399476823</v>
      </c>
      <c r="J90" s="57">
        <f t="shared" ca="1" si="22"/>
        <v>1020.4966569334051</v>
      </c>
      <c r="K90" s="58">
        <f t="shared" ca="1" si="1"/>
        <v>687.27094617589705</v>
      </c>
      <c r="L90" s="58">
        <f t="shared" ca="1" si="17"/>
        <v>1771.601445145576</v>
      </c>
      <c r="M90" s="59">
        <f t="shared" si="2"/>
        <v>0</v>
      </c>
      <c r="N90" s="32">
        <f t="shared" si="3"/>
        <v>0</v>
      </c>
      <c r="O90" s="58">
        <f t="shared" ca="1" si="4"/>
        <v>3479.3690482548782</v>
      </c>
      <c r="P90" s="58">
        <f t="shared" ca="1" si="23"/>
        <v>20117.769742543416</v>
      </c>
      <c r="Q90" s="58">
        <f t="shared" ca="1" si="6"/>
        <v>3.1913959279558251E-3</v>
      </c>
      <c r="R90" s="58">
        <f t="shared" ca="1" si="7"/>
        <v>3.1913959279558251E-3</v>
      </c>
      <c r="T90" s="32">
        <f t="shared" ca="1" si="24"/>
        <v>3479.3690482548782</v>
      </c>
      <c r="U90" s="32">
        <f t="shared" si="9"/>
        <v>1618</v>
      </c>
      <c r="V90" s="59">
        <f t="shared" si="10"/>
        <v>18.924117775560454</v>
      </c>
      <c r="W90" s="57">
        <f t="shared" ca="1" si="11"/>
        <v>183.86</v>
      </c>
      <c r="X90" s="58">
        <f t="shared" ca="1" si="18"/>
        <v>1771.601445145576</v>
      </c>
      <c r="Y90" s="58">
        <f t="shared" ca="1" si="25"/>
        <v>1771.601445145576</v>
      </c>
    </row>
    <row r="91" spans="2:25" s="16" customFormat="1" x14ac:dyDescent="0.3">
      <c r="B91" s="32">
        <v>54</v>
      </c>
      <c r="C91" s="79">
        <f t="shared" si="20"/>
        <v>47540</v>
      </c>
      <c r="D91" s="32">
        <f t="shared" si="0"/>
        <v>2</v>
      </c>
      <c r="E91" s="79">
        <f t="shared" si="12"/>
        <v>47540</v>
      </c>
      <c r="F91" s="79">
        <f>IF(B90&gt;$C$18,"",IF(COUNTIF(Feriados!$A$2:$B$17,EDATE($C$38,B90))=0,EDATE($C$38,B90),EDATE($C$38,B90)+VLOOKUP(EDATE($C$38,B90),Feriados!$A$2:$B$17,2,FALSE)))</f>
        <v>47540</v>
      </c>
      <c r="G91" s="32">
        <f t="shared" si="13"/>
        <v>31</v>
      </c>
      <c r="H91" s="32">
        <f t="shared" si="14"/>
        <v>1649</v>
      </c>
      <c r="I91" s="57">
        <f t="shared" ca="1" si="21"/>
        <v>20117.769742543416</v>
      </c>
      <c r="J91" s="57">
        <f t="shared" ca="1" si="22"/>
        <v>1139.2041709626315</v>
      </c>
      <c r="K91" s="58">
        <f t="shared" ca="1" si="1"/>
        <v>654.09141812352459</v>
      </c>
      <c r="L91" s="58">
        <f t="shared" ca="1" si="17"/>
        <v>1686.0734591687221</v>
      </c>
      <c r="M91" s="59">
        <f t="shared" si="2"/>
        <v>0</v>
      </c>
      <c r="N91" s="32">
        <f t="shared" si="3"/>
        <v>0</v>
      </c>
      <c r="O91" s="58">
        <f t="shared" ca="1" si="4"/>
        <v>3479.3690482548782</v>
      </c>
      <c r="P91" s="58">
        <f t="shared" ca="1" si="23"/>
        <v>18978.565571580784</v>
      </c>
      <c r="Q91" s="58">
        <f t="shared" ca="1" si="6"/>
        <v>2.858632415310835E-3</v>
      </c>
      <c r="R91" s="58">
        <f t="shared" ca="1" si="7"/>
        <v>2.858632415310835E-3</v>
      </c>
      <c r="T91" s="32">
        <f t="shared" ca="1" si="24"/>
        <v>3479.3690482548782</v>
      </c>
      <c r="U91" s="32">
        <f t="shared" si="9"/>
        <v>1649</v>
      </c>
      <c r="V91" s="59">
        <f t="shared" si="10"/>
        <v>20.020852562175513</v>
      </c>
      <c r="W91" s="57">
        <f t="shared" ca="1" si="11"/>
        <v>173.79</v>
      </c>
      <c r="X91" s="58">
        <f t="shared" ca="1" si="18"/>
        <v>1686.0734591687221</v>
      </c>
      <c r="Y91" s="58">
        <f t="shared" ca="1" si="25"/>
        <v>1686.0734591687221</v>
      </c>
    </row>
    <row r="92" spans="2:25" s="16" customFormat="1" x14ac:dyDescent="0.3">
      <c r="B92" s="32">
        <v>55</v>
      </c>
      <c r="C92" s="79">
        <f t="shared" si="20"/>
        <v>47568</v>
      </c>
      <c r="D92" s="32">
        <f t="shared" si="0"/>
        <v>2</v>
      </c>
      <c r="E92" s="79">
        <f t="shared" si="12"/>
        <v>47568</v>
      </c>
      <c r="F92" s="79">
        <f>IF(B91&gt;$C$18,"",IF(COUNTIF(Feriados!$A$2:$B$17,EDATE($C$38,B91))=0,EDATE($C$38,B91),EDATE($C$38,B91)+VLOOKUP(EDATE($C$38,B91),Feriados!$A$2:$B$17,2,FALSE)))</f>
        <v>47568</v>
      </c>
      <c r="G92" s="32">
        <f t="shared" si="13"/>
        <v>28</v>
      </c>
      <c r="H92" s="32">
        <f t="shared" si="14"/>
        <v>1677</v>
      </c>
      <c r="I92" s="57">
        <f t="shared" ca="1" si="21"/>
        <v>18978.565571580784</v>
      </c>
      <c r="J92" s="57">
        <f t="shared" ca="1" si="22"/>
        <v>1491.8852443358878</v>
      </c>
      <c r="K92" s="58">
        <f t="shared" ca="1" si="1"/>
        <v>556.47103226195725</v>
      </c>
      <c r="L92" s="58">
        <f t="shared" ca="1" si="17"/>
        <v>1431.012771657033</v>
      </c>
      <c r="M92" s="59">
        <f t="shared" si="2"/>
        <v>0</v>
      </c>
      <c r="N92" s="32">
        <f t="shared" si="3"/>
        <v>0</v>
      </c>
      <c r="O92" s="58">
        <f t="shared" ca="1" si="4"/>
        <v>3479.3690482548782</v>
      </c>
      <c r="P92" s="58">
        <f t="shared" ca="1" si="23"/>
        <v>17486.680327244896</v>
      </c>
      <c r="Q92" s="58">
        <f t="shared" ca="1" si="6"/>
        <v>2.5879978612305924E-3</v>
      </c>
      <c r="R92" s="58">
        <f t="shared" ca="1" si="7"/>
        <v>2.5879978612305924E-3</v>
      </c>
      <c r="T92" s="32">
        <f t="shared" ca="1" si="24"/>
        <v>3479.3690482548782</v>
      </c>
      <c r="U92" s="32">
        <f t="shared" si="9"/>
        <v>1677</v>
      </c>
      <c r="V92" s="59">
        <f t="shared" si="10"/>
        <v>21.065982817525452</v>
      </c>
      <c r="W92" s="57">
        <f t="shared" ca="1" si="11"/>
        <v>165.17</v>
      </c>
      <c r="X92" s="58">
        <f t="shared" ca="1" si="18"/>
        <v>1431.012771657033</v>
      </c>
      <c r="Y92" s="58">
        <f t="shared" ca="1" si="25"/>
        <v>1431.012771657033</v>
      </c>
    </row>
    <row r="93" spans="2:25" s="16" customFormat="1" x14ac:dyDescent="0.3">
      <c r="B93" s="32">
        <v>56</v>
      </c>
      <c r="C93" s="79">
        <f t="shared" si="20"/>
        <v>47599</v>
      </c>
      <c r="D93" s="32">
        <f t="shared" si="0"/>
        <v>5</v>
      </c>
      <c r="E93" s="79">
        <f t="shared" si="12"/>
        <v>47599</v>
      </c>
      <c r="F93" s="79">
        <f>IF(B92&gt;$C$18,"",IF(COUNTIF(Feriados!$A$2:$B$17,EDATE($C$38,B92))=0,EDATE($C$38,B92),EDATE($C$38,B92)+VLOOKUP(EDATE($C$38,B92),Feriados!$A$2:$B$17,2,FALSE)))</f>
        <v>47599</v>
      </c>
      <c r="G93" s="32">
        <f t="shared" si="13"/>
        <v>31</v>
      </c>
      <c r="H93" s="32">
        <f t="shared" si="14"/>
        <v>1708</v>
      </c>
      <c r="I93" s="57">
        <f t="shared" ca="1" si="21"/>
        <v>17486.680327244896</v>
      </c>
      <c r="J93" s="57">
        <f t="shared" ca="1" si="22"/>
        <v>1445.261110548548</v>
      </c>
      <c r="K93" s="58">
        <f t="shared" ca="1" si="1"/>
        <v>568.54649794168995</v>
      </c>
      <c r="L93" s="58">
        <f t="shared" ca="1" si="17"/>
        <v>1465.5614397646402</v>
      </c>
      <c r="M93" s="59">
        <f t="shared" si="2"/>
        <v>0</v>
      </c>
      <c r="N93" s="32">
        <f t="shared" si="3"/>
        <v>0</v>
      </c>
      <c r="O93" s="58">
        <f t="shared" ca="1" si="4"/>
        <v>3479.3690482548782</v>
      </c>
      <c r="P93" s="58">
        <f t="shared" ca="1" si="23"/>
        <v>16041.419216696348</v>
      </c>
      <c r="Q93" s="58">
        <f t="shared" ca="1" si="6"/>
        <v>2.3181500333641094E-3</v>
      </c>
      <c r="R93" s="58">
        <f t="shared" ca="1" si="7"/>
        <v>2.3181500333641094E-3</v>
      </c>
      <c r="T93" s="32">
        <f t="shared" ca="1" si="24"/>
        <v>3479.3690482548782</v>
      </c>
      <c r="U93" s="32">
        <f t="shared" si="9"/>
        <v>1708</v>
      </c>
      <c r="V93" s="59">
        <f t="shared" si="10"/>
        <v>22.286847982508345</v>
      </c>
      <c r="W93" s="57">
        <f t="shared" ca="1" si="11"/>
        <v>156.12</v>
      </c>
      <c r="X93" s="58">
        <f t="shared" ca="1" si="18"/>
        <v>1465.5614397646402</v>
      </c>
      <c r="Y93" s="58">
        <f t="shared" ca="1" si="25"/>
        <v>1465.5614397646402</v>
      </c>
    </row>
    <row r="94" spans="2:25" s="16" customFormat="1" x14ac:dyDescent="0.3">
      <c r="B94" s="32">
        <v>57</v>
      </c>
      <c r="C94" s="79">
        <f t="shared" si="20"/>
        <v>47630</v>
      </c>
      <c r="D94" s="32">
        <f t="shared" si="0"/>
        <v>1</v>
      </c>
      <c r="E94" s="79">
        <f t="shared" si="12"/>
        <v>47630</v>
      </c>
      <c r="F94" s="79">
        <f>IF(B93&gt;$C$18,"",IF(COUNTIF(Feriados!$A$2:$B$17,EDATE($C$38,B93))=0,EDATE($C$38,B93),EDATE($C$38,B93)+VLOOKUP(EDATE($C$38,B93),Feriados!$A$2:$B$17,2,FALSE)))</f>
        <v>47629</v>
      </c>
      <c r="G94" s="32">
        <f t="shared" si="13"/>
        <v>31</v>
      </c>
      <c r="H94" s="32">
        <f t="shared" si="14"/>
        <v>1739</v>
      </c>
      <c r="I94" s="57">
        <f t="shared" ca="1" si="21"/>
        <v>16041.419216696348</v>
      </c>
      <c r="J94" s="57">
        <f t="shared" ca="1" si="22"/>
        <v>1613.3786172456153</v>
      </c>
      <c r="K94" s="58">
        <f t="shared" ca="1" si="1"/>
        <v>521.55655315877664</v>
      </c>
      <c r="L94" s="58">
        <f t="shared" ca="1" si="17"/>
        <v>1344.4338778504864</v>
      </c>
      <c r="M94" s="59">
        <f t="shared" si="2"/>
        <v>0</v>
      </c>
      <c r="N94" s="32">
        <f t="shared" si="3"/>
        <v>0</v>
      </c>
      <c r="O94" s="58">
        <f t="shared" ca="1" si="4"/>
        <v>3479.3690482548782</v>
      </c>
      <c r="P94" s="58">
        <f t="shared" ca="1" si="23"/>
        <v>14428.040599450733</v>
      </c>
      <c r="Q94" s="58">
        <f t="shared" ca="1" si="6"/>
        <v>2.0764389560317398E-3</v>
      </c>
      <c r="R94" s="58">
        <f t="shared" ca="1" si="7"/>
        <v>2.0764389560317398E-3</v>
      </c>
      <c r="T94" s="32">
        <f t="shared" ca="1" si="24"/>
        <v>3479.3690482548782</v>
      </c>
      <c r="U94" s="32">
        <f t="shared" si="9"/>
        <v>1739</v>
      </c>
      <c r="V94" s="59">
        <f t="shared" si="10"/>
        <v>23.57846758434707</v>
      </c>
      <c r="W94" s="57">
        <f t="shared" ca="1" si="11"/>
        <v>147.57</v>
      </c>
      <c r="X94" s="58">
        <f t="shared" ca="1" si="18"/>
        <v>1344.4338778504864</v>
      </c>
      <c r="Y94" s="58">
        <f t="shared" ca="1" si="25"/>
        <v>1344.4338778504864</v>
      </c>
    </row>
    <row r="95" spans="2:25" s="16" customFormat="1" x14ac:dyDescent="0.3">
      <c r="B95" s="32">
        <v>58</v>
      </c>
      <c r="C95" s="79">
        <f t="shared" si="20"/>
        <v>47660</v>
      </c>
      <c r="D95" s="32">
        <f t="shared" si="0"/>
        <v>3</v>
      </c>
      <c r="E95" s="79">
        <f t="shared" si="12"/>
        <v>47660</v>
      </c>
      <c r="F95" s="79">
        <f>IF(B94&gt;$C$18,"",IF(COUNTIF(Feriados!$A$2:$B$17,EDATE($C$38,B94))=0,EDATE($C$38,B94),EDATE($C$38,B94)+VLOOKUP(EDATE($C$38,B94),Feriados!$A$2:$B$17,2,FALSE)))</f>
        <v>47660</v>
      </c>
      <c r="G95" s="32">
        <f t="shared" si="13"/>
        <v>30</v>
      </c>
      <c r="H95" s="32">
        <f t="shared" si="14"/>
        <v>1769</v>
      </c>
      <c r="I95" s="57">
        <f t="shared" ca="1" si="21"/>
        <v>14428.040599450733</v>
      </c>
      <c r="J95" s="57">
        <f t="shared" ca="1" si="22"/>
        <v>1856.9648956984845</v>
      </c>
      <c r="K95" s="58">
        <f t="shared" ca="1" si="1"/>
        <v>453.73286400088477</v>
      </c>
      <c r="L95" s="58">
        <f t="shared" ca="1" si="17"/>
        <v>1168.6712885555087</v>
      </c>
      <c r="M95" s="59">
        <f t="shared" si="2"/>
        <v>0</v>
      </c>
      <c r="N95" s="32">
        <f t="shared" si="3"/>
        <v>0</v>
      </c>
      <c r="O95" s="58">
        <f t="shared" ca="1" si="4"/>
        <v>3479.3690482548782</v>
      </c>
      <c r="P95" s="58">
        <f t="shared" ca="1" si="23"/>
        <v>12571.075703752249</v>
      </c>
      <c r="Q95" s="58">
        <f t="shared" ca="1" si="6"/>
        <v>1.8665492466282379E-3</v>
      </c>
      <c r="R95" s="58">
        <f t="shared" ca="1" si="7"/>
        <v>1.8665492466282379E-3</v>
      </c>
      <c r="T95" s="32">
        <f t="shared" ca="1" si="24"/>
        <v>3479.3690482548782</v>
      </c>
      <c r="U95" s="32">
        <f t="shared" si="9"/>
        <v>1769</v>
      </c>
      <c r="V95" s="59">
        <f t="shared" si="10"/>
        <v>24.899650168325426</v>
      </c>
      <c r="W95" s="57">
        <f t="shared" ca="1" si="11"/>
        <v>139.74</v>
      </c>
      <c r="X95" s="58">
        <f t="shared" ca="1" si="18"/>
        <v>1168.6712885555087</v>
      </c>
      <c r="Y95" s="58">
        <f t="shared" ca="1" si="25"/>
        <v>1168.6712885555087</v>
      </c>
    </row>
    <row r="96" spans="2:25" s="16" customFormat="1" x14ac:dyDescent="0.3">
      <c r="B96" s="32">
        <v>59</v>
      </c>
      <c r="C96" s="79">
        <f t="shared" si="20"/>
        <v>47690</v>
      </c>
      <c r="D96" s="32">
        <f t="shared" si="0"/>
        <v>5</v>
      </c>
      <c r="E96" s="79">
        <f t="shared" si="12"/>
        <v>47690</v>
      </c>
      <c r="F96" s="79">
        <f>IF(B95&gt;$C$18,"",IF(COUNTIF(Feriados!$A$2:$B$17,EDATE($C$38,B95))=0,EDATE($C$38,B95),EDATE($C$38,B95)+VLOOKUP(EDATE($C$38,B95),Feriados!$A$2:$B$17,2,FALSE)))</f>
        <v>47690</v>
      </c>
      <c r="G96" s="32">
        <f t="shared" si="13"/>
        <v>30</v>
      </c>
      <c r="H96" s="32">
        <f t="shared" si="14"/>
        <v>1799</v>
      </c>
      <c r="I96" s="57">
        <f t="shared" ca="1" si="21"/>
        <v>12571.075703752249</v>
      </c>
      <c r="J96" s="57">
        <f t="shared" ca="1" si="22"/>
        <v>2065.7768641127795</v>
      </c>
      <c r="K96" s="58">
        <f t="shared" ca="1" si="1"/>
        <v>395.33505213816704</v>
      </c>
      <c r="L96" s="58">
        <f t="shared" ca="1" si="17"/>
        <v>1018.2571320039317</v>
      </c>
      <c r="M96" s="59">
        <f t="shared" si="2"/>
        <v>0</v>
      </c>
      <c r="N96" s="32">
        <f t="shared" si="3"/>
        <v>0</v>
      </c>
      <c r="O96" s="58">
        <f t="shared" ca="1" si="4"/>
        <v>3479.3690482548782</v>
      </c>
      <c r="P96" s="58">
        <f t="shared" ca="1" si="23"/>
        <v>10505.298839639468</v>
      </c>
      <c r="Q96" s="58">
        <f t="shared" ca="1" si="6"/>
        <v>1.6778755185496467E-3</v>
      </c>
      <c r="R96" s="58">
        <f t="shared" ca="1" si="7"/>
        <v>1.6778755185496467E-3</v>
      </c>
      <c r="T96" s="32">
        <f t="shared" ca="1" si="24"/>
        <v>3479.3690482548782</v>
      </c>
      <c r="U96" s="32">
        <f t="shared" si="9"/>
        <v>1799</v>
      </c>
      <c r="V96" s="59">
        <f t="shared" si="10"/>
        <v>26.294863153726752</v>
      </c>
      <c r="W96" s="57">
        <f t="shared" ca="1" si="11"/>
        <v>132.32</v>
      </c>
      <c r="X96" s="58">
        <f t="shared" ca="1" si="18"/>
        <v>1018.2571320039317</v>
      </c>
      <c r="Y96" s="58">
        <f t="shared" ca="1" si="25"/>
        <v>1018.2571320039317</v>
      </c>
    </row>
    <row r="97" spans="2:25" s="16" customFormat="1" x14ac:dyDescent="0.3">
      <c r="B97" s="32">
        <v>60</v>
      </c>
      <c r="C97" s="79">
        <f t="shared" si="20"/>
        <v>47721</v>
      </c>
      <c r="D97" s="32">
        <f t="shared" si="0"/>
        <v>1</v>
      </c>
      <c r="E97" s="79">
        <f t="shared" si="12"/>
        <v>47721</v>
      </c>
      <c r="F97" s="79">
        <f>IF(B96&gt;$C$18,"",IF(COUNTIF(Feriados!$A$2:$B$17,EDATE($C$38,B96))=0,EDATE($C$38,B96),EDATE($C$38,B96)+VLOOKUP(EDATE($C$38,B96),Feriados!$A$2:$B$17,2,FALSE)))</f>
        <v>47721</v>
      </c>
      <c r="G97" s="32">
        <f t="shared" si="13"/>
        <v>31</v>
      </c>
      <c r="H97" s="32">
        <f t="shared" si="14"/>
        <v>1830</v>
      </c>
      <c r="I97" s="57">
        <f t="shared" ca="1" si="21"/>
        <v>10505.298839639468</v>
      </c>
      <c r="J97" s="57">
        <f t="shared" ca="1" si="22"/>
        <v>2257.3582744664313</v>
      </c>
      <c r="K97" s="58">
        <f t="shared" ca="1" si="1"/>
        <v>341.56001901642543</v>
      </c>
      <c r="L97" s="58">
        <f t="shared" ca="1" si="17"/>
        <v>880.45075477202124</v>
      </c>
      <c r="M97" s="59">
        <f t="shared" si="2"/>
        <v>0</v>
      </c>
      <c r="N97" s="32">
        <f t="shared" si="3"/>
        <v>0</v>
      </c>
      <c r="O97" s="58">
        <f t="shared" ca="1" si="4"/>
        <v>3479.3690482548782</v>
      </c>
      <c r="P97" s="58">
        <f t="shared" ca="1" si="23"/>
        <v>8247.9405651730376</v>
      </c>
      <c r="Q97" s="58">
        <f t="shared" ca="1" si="6"/>
        <v>1.5029251946356713E-3</v>
      </c>
      <c r="R97" s="58">
        <f t="shared" ca="1" si="7"/>
        <v>1.5029251946356713E-3</v>
      </c>
      <c r="T97" s="32">
        <f t="shared" ca="1" si="24"/>
        <v>3479.3690482548782</v>
      </c>
      <c r="U97" s="32">
        <f t="shared" si="9"/>
        <v>1830</v>
      </c>
      <c r="V97" s="59">
        <f t="shared" si="10"/>
        <v>27.818764636057313</v>
      </c>
      <c r="W97" s="57">
        <f t="shared" ca="1" si="11"/>
        <v>125.07</v>
      </c>
      <c r="X97" s="58">
        <f t="shared" ca="1" si="18"/>
        <v>880.45075477202124</v>
      </c>
      <c r="Y97" s="58">
        <f t="shared" ca="1" si="25"/>
        <v>880.45075477202124</v>
      </c>
    </row>
    <row r="98" spans="2:25" s="16" customFormat="1" x14ac:dyDescent="0.3">
      <c r="B98" s="32">
        <v>61</v>
      </c>
      <c r="C98" s="79">
        <f t="shared" si="20"/>
        <v>47752</v>
      </c>
      <c r="D98" s="32">
        <f t="shared" si="0"/>
        <v>4</v>
      </c>
      <c r="E98" s="79">
        <f t="shared" si="12"/>
        <v>47752</v>
      </c>
      <c r="F98" s="79">
        <f>IF(B97&gt;$C$18,"",IF(COUNTIF(Feriados!$A$2:$B$17,EDATE($C$38,B97))=0,EDATE($C$38,B97),EDATE($C$38,B97)+VLOOKUP(EDATE($C$38,B97),Feriados!$A$2:$B$17,2,FALSE)))</f>
        <v>47752</v>
      </c>
      <c r="G98" s="32">
        <f t="shared" si="13"/>
        <v>31</v>
      </c>
      <c r="H98" s="32">
        <f t="shared" si="14"/>
        <v>1861</v>
      </c>
      <c r="I98" s="57">
        <f t="shared" ca="1" si="21"/>
        <v>8247.9405651730376</v>
      </c>
      <c r="J98" s="57">
        <f t="shared" ca="1" si="22"/>
        <v>2519.9415834999463</v>
      </c>
      <c r="K98" s="58">
        <f t="shared" ca="1" si="1"/>
        <v>268.16626345334237</v>
      </c>
      <c r="L98" s="58">
        <f t="shared" ca="1" si="17"/>
        <v>691.26120130158938</v>
      </c>
      <c r="M98" s="59">
        <f t="shared" si="2"/>
        <v>0</v>
      </c>
      <c r="N98" s="32">
        <f t="shared" si="3"/>
        <v>0</v>
      </c>
      <c r="O98" s="58">
        <f t="shared" ca="1" si="4"/>
        <v>3479.3690482548782</v>
      </c>
      <c r="P98" s="58">
        <f t="shared" ca="1" si="23"/>
        <v>5727.9989816730913</v>
      </c>
      <c r="Q98" s="58">
        <f t="shared" ca="1" si="6"/>
        <v>1.346216757857675E-3</v>
      </c>
      <c r="R98" s="58">
        <f t="shared" ca="1" si="7"/>
        <v>1.346216757857675E-3</v>
      </c>
      <c r="T98" s="32">
        <f t="shared" ca="1" si="24"/>
        <v>3479.3690482548782</v>
      </c>
      <c r="U98" s="32">
        <f t="shared" si="9"/>
        <v>1861</v>
      </c>
      <c r="V98" s="59">
        <f t="shared" si="10"/>
        <v>29.430982825505637</v>
      </c>
      <c r="W98" s="57">
        <f t="shared" ca="1" si="11"/>
        <v>118.22</v>
      </c>
      <c r="X98" s="58">
        <f t="shared" ca="1" si="18"/>
        <v>691.26120130158938</v>
      </c>
      <c r="Y98" s="58">
        <f t="shared" ca="1" si="25"/>
        <v>691.26120130158938</v>
      </c>
    </row>
    <row r="99" spans="2:25" s="16" customFormat="1" x14ac:dyDescent="0.3">
      <c r="B99" s="32">
        <v>62</v>
      </c>
      <c r="C99" s="79">
        <f t="shared" si="20"/>
        <v>47782</v>
      </c>
      <c r="D99" s="32">
        <f t="shared" si="0"/>
        <v>6</v>
      </c>
      <c r="E99" s="79">
        <f t="shared" si="12"/>
        <v>47782</v>
      </c>
      <c r="F99" s="79">
        <f>IF(B98&gt;$C$18,"",IF(COUNTIF(Feriados!$A$2:$B$17,EDATE($C$38,B98))=0,EDATE($C$38,B98),EDATE($C$38,B98)+VLOOKUP(EDATE($C$38,B98),Feriados!$A$2:$B$17,2,FALSE)))</f>
        <v>47782</v>
      </c>
      <c r="G99" s="32">
        <f t="shared" si="13"/>
        <v>30</v>
      </c>
      <c r="H99" s="32">
        <f t="shared" si="14"/>
        <v>1891</v>
      </c>
      <c r="I99" s="57">
        <f t="shared" ca="1" si="21"/>
        <v>5727.9989816730913</v>
      </c>
      <c r="J99" s="57">
        <f t="shared" ca="1" si="22"/>
        <v>2835.2670810023737</v>
      </c>
      <c r="K99" s="58">
        <f t="shared" ca="1" si="1"/>
        <v>180.13404973698405</v>
      </c>
      <c r="L99" s="58">
        <f t="shared" ca="1" si="17"/>
        <v>463.96791751552018</v>
      </c>
      <c r="M99" s="59">
        <f t="shared" si="2"/>
        <v>0</v>
      </c>
      <c r="N99" s="32">
        <f t="shared" si="3"/>
        <v>0</v>
      </c>
      <c r="O99" s="58">
        <f t="shared" ca="1" si="4"/>
        <v>3479.3690482548782</v>
      </c>
      <c r="P99" s="58">
        <f t="shared" ca="1" si="23"/>
        <v>2892.7319006707176</v>
      </c>
      <c r="Q99" s="58">
        <f t="shared" ca="1" si="6"/>
        <v>1.210139054595515E-3</v>
      </c>
      <c r="R99" s="58">
        <f t="shared" ca="1" si="7"/>
        <v>1.210139054595515E-3</v>
      </c>
      <c r="T99" s="32">
        <f t="shared" ca="1" si="24"/>
        <v>3479.3690482548782</v>
      </c>
      <c r="U99" s="32">
        <f t="shared" si="9"/>
        <v>1891</v>
      </c>
      <c r="V99" s="59">
        <f t="shared" si="10"/>
        <v>31.080101955038803</v>
      </c>
      <c r="W99" s="57">
        <f t="shared" ca="1" si="11"/>
        <v>111.95</v>
      </c>
      <c r="X99" s="58">
        <f t="shared" ca="1" si="18"/>
        <v>463.96791751552018</v>
      </c>
      <c r="Y99" s="58">
        <f t="shared" ca="1" si="25"/>
        <v>463.96791751552018</v>
      </c>
    </row>
    <row r="100" spans="2:25" s="16" customFormat="1" x14ac:dyDescent="0.3">
      <c r="B100" s="32">
        <v>63</v>
      </c>
      <c r="C100" s="79">
        <f t="shared" si="20"/>
        <v>47813</v>
      </c>
      <c r="D100" s="32">
        <f t="shared" si="0"/>
        <v>2</v>
      </c>
      <c r="E100" s="79">
        <f t="shared" si="12"/>
        <v>47813</v>
      </c>
      <c r="F100" s="79">
        <f>IF(B99&gt;$C$18,"",IF(COUNTIF(Feriados!$A$2:$B$17,EDATE($C$38,B99))=0,EDATE($C$38,B99),EDATE($C$38,B99)+VLOOKUP(EDATE($C$38,B99),Feriados!$A$2:$B$17,2,FALSE)))</f>
        <v>47813</v>
      </c>
      <c r="G100" s="32">
        <f t="shared" si="13"/>
        <v>31</v>
      </c>
      <c r="H100" s="32">
        <f t="shared" si="14"/>
        <v>1922</v>
      </c>
      <c r="I100" s="57">
        <f t="shared" ca="1" si="21"/>
        <v>2892.7319006707176</v>
      </c>
      <c r="J100" s="57">
        <f t="shared" ca="1" si="22"/>
        <v>3142.8769976943763</v>
      </c>
      <c r="K100" s="58">
        <f t="shared" ca="1" si="1"/>
        <v>94.051733138171187</v>
      </c>
      <c r="L100" s="58">
        <f t="shared" ca="1" si="17"/>
        <v>242.44031742233085</v>
      </c>
      <c r="M100" s="59">
        <f t="shared" si="2"/>
        <v>0</v>
      </c>
      <c r="N100" s="32">
        <f t="shared" si="3"/>
        <v>0</v>
      </c>
      <c r="O100" s="58">
        <f t="shared" ca="1" si="4"/>
        <v>3479.3690482548782</v>
      </c>
      <c r="P100" s="58">
        <f t="shared" ca="1" si="23"/>
        <v>-250.14509702365876</v>
      </c>
      <c r="Q100" s="58">
        <f t="shared" ca="1" si="6"/>
        <v>1.0839591221500848E-3</v>
      </c>
      <c r="R100" s="58">
        <f t="shared" ca="1" si="7"/>
        <v>1.0839591221500848E-3</v>
      </c>
      <c r="T100" s="32">
        <f t="shared" ca="1" si="24"/>
        <v>3479.3690482548782</v>
      </c>
      <c r="U100" s="32">
        <f t="shared" si="9"/>
        <v>1922</v>
      </c>
      <c r="V100" s="59">
        <f t="shared" si="10"/>
        <v>32.881328801642702</v>
      </c>
      <c r="W100" s="57">
        <f t="shared" ca="1" si="11"/>
        <v>105.82</v>
      </c>
      <c r="X100" s="58">
        <f t="shared" ca="1" si="18"/>
        <v>242.44031742233085</v>
      </c>
      <c r="Y100" s="58">
        <f t="shared" ca="1" si="25"/>
        <v>242.44031742233085</v>
      </c>
    </row>
    <row r="101" spans="2:25" s="16" customFormat="1" x14ac:dyDescent="0.3">
      <c r="B101" s="32">
        <v>64</v>
      </c>
      <c r="C101" s="79">
        <f t="shared" si="20"/>
        <v>47843</v>
      </c>
      <c r="D101" s="32">
        <f t="shared" si="0"/>
        <v>4</v>
      </c>
      <c r="E101" s="79">
        <f t="shared" si="12"/>
        <v>47843</v>
      </c>
      <c r="F101" s="79">
        <f>IF(B100&gt;$C$18,"",IF(COUNTIF(Feriados!$A$2:$B$17,EDATE($C$38,B100))=0,EDATE($C$38,B100),EDATE($C$38,B100)+VLOOKUP(EDATE($C$38,B100),Feriados!$A$2:$B$17,2,FALSE)))</f>
        <v>47843</v>
      </c>
      <c r="G101" s="32">
        <f t="shared" si="13"/>
        <v>30</v>
      </c>
      <c r="H101" s="32">
        <f t="shared" si="14"/>
        <v>1952</v>
      </c>
      <c r="I101" s="57">
        <f t="shared" ca="1" si="21"/>
        <v>-250.14509702365876</v>
      </c>
      <c r="J101" s="57">
        <f t="shared" ca="1" si="22"/>
        <v>3507.497361406995</v>
      </c>
      <c r="K101" s="58">
        <f t="shared" ca="1" si="1"/>
        <v>-7.8665602932005019</v>
      </c>
      <c r="L101" s="58">
        <f t="shared" ca="1" si="17"/>
        <v>-20.261752858916349</v>
      </c>
      <c r="M101" s="59">
        <f t="shared" si="2"/>
        <v>0</v>
      </c>
      <c r="N101" s="32">
        <f t="shared" si="3"/>
        <v>0</v>
      </c>
      <c r="O101" s="58">
        <f t="shared" ca="1" si="4"/>
        <v>3479.3690482548782</v>
      </c>
      <c r="P101" s="58">
        <f t="shared" ca="1" si="23"/>
        <v>-3757.6424584306537</v>
      </c>
      <c r="Q101" s="58">
        <f t="shared" ca="1" si="6"/>
        <v>9.7439083241420267E-4</v>
      </c>
      <c r="R101" s="58">
        <f t="shared" ca="1" si="7"/>
        <v>9.7439083241420267E-4</v>
      </c>
      <c r="T101" s="32">
        <f t="shared" ca="1" si="24"/>
        <v>3479.3690482548782</v>
      </c>
      <c r="U101" s="32">
        <f t="shared" si="9"/>
        <v>1952</v>
      </c>
      <c r="V101" s="59">
        <f t="shared" si="10"/>
        <v>34.723782675940974</v>
      </c>
      <c r="W101" s="57">
        <f t="shared" ca="1" si="11"/>
        <v>100.2</v>
      </c>
      <c r="X101" s="58">
        <f t="shared" ca="1" si="18"/>
        <v>-20.261752858916349</v>
      </c>
      <c r="Y101" s="58">
        <f t="shared" ca="1" si="25"/>
        <v>-20.261752858916349</v>
      </c>
    </row>
    <row r="102" spans="2:25" s="16" customFormat="1" x14ac:dyDescent="0.3">
      <c r="B102" s="32">
        <v>65</v>
      </c>
      <c r="C102" s="79">
        <f t="shared" si="20"/>
        <v>47875</v>
      </c>
      <c r="D102" s="32">
        <f t="shared" ref="D102:D165" si="26">IF(B102&lt;=$C$18,WEEKDAY(C102,2),"")</f>
        <v>1</v>
      </c>
      <c r="E102" s="79">
        <f t="shared" si="12"/>
        <v>47875</v>
      </c>
      <c r="F102" s="79">
        <f>IF(B101&gt;$C$18,"",IF(COUNTIF(Feriados!$A$2:$B$17,EDATE($C$38,B101))=0,EDATE($C$38,B101),EDATE($C$38,B101)+VLOOKUP(EDATE($C$38,B101),Feriados!$A$2:$B$17,2,FALSE)))</f>
        <v>47874</v>
      </c>
      <c r="G102" s="32">
        <f t="shared" si="13"/>
        <v>32</v>
      </c>
      <c r="H102" s="32">
        <f t="shared" si="14"/>
        <v>1984</v>
      </c>
      <c r="I102" s="57">
        <f t="shared" ca="1" si="21"/>
        <v>-3757.6424584306537</v>
      </c>
      <c r="J102" s="57">
        <f t="shared" ref="J102:J165" ca="1" si="27">IF(B102&gt;C$18,"",O102-N102-M102-L102-K102)</f>
        <v>3931.0638532890639</v>
      </c>
      <c r="K102" s="58">
        <f t="shared" ref="K102:K165" ca="1" si="28">IF(B102&gt;C$18,"",((1+C$25)^(G102/360)-1)*I102)</f>
        <v>-126.17917789289029</v>
      </c>
      <c r="L102" s="58">
        <f t="shared" ca="1" si="17"/>
        <v>-325.51562714129545</v>
      </c>
      <c r="M102" s="59">
        <f t="shared" ref="M102:M165" si="29">IF(B102&gt;C$18,"",C$27*C$28)</f>
        <v>0</v>
      </c>
      <c r="N102" s="32">
        <f t="shared" ref="N102:N165" si="30">IF(B102&gt;C$18,"",C$29)</f>
        <v>0</v>
      </c>
      <c r="O102" s="58">
        <f t="shared" ref="O102:O165" ca="1" si="31">IF(B102&gt;C$18,"",IF(B102=C$18,I102+K102+L102+M102+N102,IF(AND(C$23=2,MONTH(E102)=7),2*C$30,IF(AND(C$24=2,MONTH(E102)=12),2*C$30,C$30))))</f>
        <v>3479.3690482548782</v>
      </c>
      <c r="P102" s="58">
        <f t="shared" ref="P102:P165" ca="1" si="32">IF(B102&gt;C$18,"",I102-J102)</f>
        <v>-7688.7063117197176</v>
      </c>
      <c r="Q102" s="58">
        <f t="shared" ref="Q102:Q165" ca="1" si="33">IFERROR(IF(AND(MONTH(E102)=7,C$23=2),2/(1+C$26)^(H102/360),IF(AND(MONTH(E102)=12,C$24=2),2/(1+C$26)^(H102/360),1/(1+C$26)^(H102/360))),"")</f>
        <v>8.6969737560299294E-4</v>
      </c>
      <c r="R102" s="58">
        <f t="shared" ref="R102:R165" ca="1" si="34">IFERROR(1/(1+C$26)^(H102/360),"")</f>
        <v>8.6969737560299294E-4</v>
      </c>
      <c r="T102" s="32">
        <f t="shared" ca="1" si="24"/>
        <v>3479.3690482548782</v>
      </c>
      <c r="U102" s="32">
        <f t="shared" ref="U102:U165" si="35">H102</f>
        <v>1984</v>
      </c>
      <c r="V102" s="59">
        <f t="shared" ref="V102:V165" si="36">IFERROR((1+C$32)^(U102/360),"")</f>
        <v>36.802999033816782</v>
      </c>
      <c r="W102" s="57">
        <f t="shared" ref="W102:W165" ca="1" si="37">IFERROR(ROUND(T102/V102,2),"")</f>
        <v>94.54</v>
      </c>
      <c r="X102" s="58">
        <f t="shared" ca="1" si="18"/>
        <v>-325.51562714129545</v>
      </c>
      <c r="Y102" s="58">
        <f t="shared" ca="1" si="25"/>
        <v>-325.51562714129545</v>
      </c>
    </row>
    <row r="103" spans="2:25" s="16" customFormat="1" x14ac:dyDescent="0.3">
      <c r="B103" s="32">
        <v>66</v>
      </c>
      <c r="C103" s="79">
        <f t="shared" si="20"/>
        <v>47905</v>
      </c>
      <c r="D103" s="32">
        <f t="shared" si="26"/>
        <v>3</v>
      </c>
      <c r="E103" s="79">
        <f t="shared" ref="E103:E166" si="38">IF(D103=7,C103+1,C103)</f>
        <v>47905</v>
      </c>
      <c r="F103" s="79">
        <f>IF(B102&gt;$C$18,"",IF(COUNTIF(Feriados!$A$2:$B$17,EDATE($C$38,B102))=0,EDATE($C$38,B102),EDATE($C$38,B102)+VLOOKUP(EDATE($C$38,B102),Feriados!$A$2:$B$17,2,FALSE)))</f>
        <v>47905</v>
      </c>
      <c r="G103" s="32">
        <f t="shared" ref="G103:G166" si="39">IF(B103&gt;C$18,"",E103-E102)</f>
        <v>30</v>
      </c>
      <c r="H103" s="32">
        <f t="shared" ref="H103:H166" si="40">IFERROR(G103+H102,"")</f>
        <v>2014</v>
      </c>
      <c r="I103" s="57">
        <f t="shared" ref="I103:I166" ca="1" si="41">IF(B103&gt;C$18,"",P102)</f>
        <v>-7688.7063117197176</v>
      </c>
      <c r="J103" s="57">
        <f t="shared" ca="1" si="27"/>
        <v>4343.9486120520232</v>
      </c>
      <c r="K103" s="58">
        <f t="shared" ca="1" si="28"/>
        <v>-241.79435254784886</v>
      </c>
      <c r="L103" s="58">
        <f t="shared" ref="L103:L166" ca="1" si="42">IF(B103&gt;C$18,"",((1+C$13)^(G103/30)-1)*I103)</f>
        <v>-622.78521124929682</v>
      </c>
      <c r="M103" s="59">
        <f t="shared" si="29"/>
        <v>0</v>
      </c>
      <c r="N103" s="32">
        <f t="shared" si="30"/>
        <v>0</v>
      </c>
      <c r="O103" s="58">
        <f t="shared" ca="1" si="31"/>
        <v>3479.3690482548782</v>
      </c>
      <c r="P103" s="58">
        <f t="shared" ca="1" si="32"/>
        <v>-12032.654923771741</v>
      </c>
      <c r="Q103" s="58">
        <f t="shared" ca="1" si="33"/>
        <v>7.8178699957000253E-4</v>
      </c>
      <c r="R103" s="58">
        <f t="shared" ca="1" si="34"/>
        <v>7.8178699957000253E-4</v>
      </c>
      <c r="T103" s="32">
        <f t="shared" ref="T103:T166" ca="1" si="43">IFERROR(J103+K103+L103+M103+N103,"")</f>
        <v>3479.3690482548777</v>
      </c>
      <c r="U103" s="32">
        <f t="shared" si="35"/>
        <v>2014</v>
      </c>
      <c r="V103" s="59">
        <f t="shared" si="36"/>
        <v>38.865197571007997</v>
      </c>
      <c r="W103" s="57">
        <f t="shared" ca="1" si="37"/>
        <v>89.52</v>
      </c>
      <c r="X103" s="58">
        <f t="shared" ref="X103:X166" ca="1" si="44">IF(O103="",0,L103/((1+$I$9)^B103))</f>
        <v>-622.78521124929682</v>
      </c>
      <c r="Y103" s="58">
        <f t="shared" ca="1" si="25"/>
        <v>-622.78521124929682</v>
      </c>
    </row>
    <row r="104" spans="2:25" s="16" customFormat="1" x14ac:dyDescent="0.3">
      <c r="B104" s="32">
        <v>67</v>
      </c>
      <c r="C104" s="79">
        <f t="shared" ref="C104:C167" si="45">IF(B104&gt;$C$18,"",IF(WEEKDAY(F104,2)=7,F104+1,F104))</f>
        <v>47933</v>
      </c>
      <c r="D104" s="32">
        <f t="shared" si="26"/>
        <v>3</v>
      </c>
      <c r="E104" s="79">
        <f t="shared" si="38"/>
        <v>47933</v>
      </c>
      <c r="F104" s="79">
        <f>IF(B103&gt;$C$18,"",IF(COUNTIF(Feriados!$A$2:$B$17,EDATE($C$38,B103))=0,EDATE($C$38,B103),EDATE($C$38,B103)+VLOOKUP(EDATE($C$38,B103),Feriados!$A$2:$B$17,2,FALSE)))</f>
        <v>47933</v>
      </c>
      <c r="G104" s="32">
        <f t="shared" si="39"/>
        <v>28</v>
      </c>
      <c r="H104" s="32">
        <f t="shared" si="40"/>
        <v>2042</v>
      </c>
      <c r="I104" s="57">
        <f t="shared" ca="1" si="41"/>
        <v>-12032.654923771741</v>
      </c>
      <c r="J104" s="57">
        <f t="shared" ca="1" si="27"/>
        <v>4739.4593690404072</v>
      </c>
      <c r="K104" s="58">
        <f t="shared" ca="1" si="28"/>
        <v>-352.80979908775407</v>
      </c>
      <c r="L104" s="58">
        <f t="shared" ca="1" si="42"/>
        <v>-907.28052169777482</v>
      </c>
      <c r="M104" s="59">
        <f t="shared" si="29"/>
        <v>0</v>
      </c>
      <c r="N104" s="32">
        <f t="shared" si="30"/>
        <v>0</v>
      </c>
      <c r="O104" s="58">
        <f t="shared" ca="1" si="31"/>
        <v>3479.3690482548782</v>
      </c>
      <c r="P104" s="58">
        <f t="shared" ca="1" si="32"/>
        <v>-16772.114292812148</v>
      </c>
      <c r="Q104" s="58">
        <f t="shared" ca="1" si="33"/>
        <v>7.0777308477593961E-4</v>
      </c>
      <c r="R104" s="58">
        <f t="shared" ca="1" si="34"/>
        <v>7.0777308477593961E-4</v>
      </c>
      <c r="T104" s="32">
        <f t="shared" ca="1" si="43"/>
        <v>3479.3690482548782</v>
      </c>
      <c r="U104" s="32">
        <f t="shared" si="35"/>
        <v>2042</v>
      </c>
      <c r="V104" s="59">
        <f t="shared" si="36"/>
        <v>40.894041933927568</v>
      </c>
      <c r="W104" s="57">
        <f t="shared" ca="1" si="37"/>
        <v>85.08</v>
      </c>
      <c r="X104" s="58">
        <f t="shared" ca="1" si="44"/>
        <v>-907.28052169777482</v>
      </c>
      <c r="Y104" s="58">
        <f t="shared" ref="Y104:Y167" ca="1" si="46">IF(O104="",0,L104/((1+$Q$30)^B104))</f>
        <v>-907.28052169777482</v>
      </c>
    </row>
    <row r="105" spans="2:25" s="16" customFormat="1" x14ac:dyDescent="0.3">
      <c r="B105" s="32">
        <v>68</v>
      </c>
      <c r="C105" s="79">
        <f t="shared" si="45"/>
        <v>47964</v>
      </c>
      <c r="D105" s="32">
        <f t="shared" si="26"/>
        <v>6</v>
      </c>
      <c r="E105" s="79">
        <f t="shared" si="38"/>
        <v>47964</v>
      </c>
      <c r="F105" s="79">
        <f>IF(B104&gt;$C$18,"",IF(COUNTIF(Feriados!$A$2:$B$17,EDATE($C$38,B104))=0,EDATE($C$38,B104),EDATE($C$38,B104)+VLOOKUP(EDATE($C$38,B104),Feriados!$A$2:$B$17,2,FALSE)))</f>
        <v>47964</v>
      </c>
      <c r="G105" s="32">
        <f t="shared" si="39"/>
        <v>31</v>
      </c>
      <c r="H105" s="32">
        <f t="shared" si="40"/>
        <v>2073</v>
      </c>
      <c r="I105" s="57">
        <f t="shared" ca="1" si="41"/>
        <v>-16772.114292812148</v>
      </c>
      <c r="J105" s="57">
        <f t="shared" ca="1" si="27"/>
        <v>5430.3563240943377</v>
      </c>
      <c r="K105" s="58">
        <f t="shared" ca="1" si="28"/>
        <v>-545.31372826659936</v>
      </c>
      <c r="L105" s="58">
        <f t="shared" ca="1" si="42"/>
        <v>-1405.6735475728599</v>
      </c>
      <c r="M105" s="59">
        <f t="shared" si="29"/>
        <v>0</v>
      </c>
      <c r="N105" s="32">
        <f t="shared" si="30"/>
        <v>0</v>
      </c>
      <c r="O105" s="58">
        <f t="shared" ca="1" si="31"/>
        <v>3479.3690482548782</v>
      </c>
      <c r="P105" s="58">
        <f t="shared" ca="1" si="32"/>
        <v>-22202.470616906485</v>
      </c>
      <c r="Q105" s="58">
        <f t="shared" ca="1" si="33"/>
        <v>6.3397432612537035E-4</v>
      </c>
      <c r="R105" s="58">
        <f t="shared" ca="1" si="34"/>
        <v>6.3397432612537035E-4</v>
      </c>
      <c r="T105" s="32">
        <f t="shared" ca="1" si="43"/>
        <v>3479.3690482548782</v>
      </c>
      <c r="U105" s="32">
        <f t="shared" si="35"/>
        <v>2073</v>
      </c>
      <c r="V105" s="59">
        <f t="shared" si="36"/>
        <v>43.264029210806328</v>
      </c>
      <c r="W105" s="57">
        <f t="shared" ca="1" si="37"/>
        <v>80.42</v>
      </c>
      <c r="X105" s="58">
        <f t="shared" ca="1" si="44"/>
        <v>-1405.6735475728599</v>
      </c>
      <c r="Y105" s="58">
        <f t="shared" ca="1" si="46"/>
        <v>-1405.6735475728599</v>
      </c>
    </row>
    <row r="106" spans="2:25" s="16" customFormat="1" x14ac:dyDescent="0.3">
      <c r="B106" s="32">
        <v>69</v>
      </c>
      <c r="C106" s="79">
        <f t="shared" si="45"/>
        <v>47994</v>
      </c>
      <c r="D106" s="32">
        <f t="shared" si="26"/>
        <v>1</v>
      </c>
      <c r="E106" s="79">
        <f t="shared" si="38"/>
        <v>47994</v>
      </c>
      <c r="F106" s="79">
        <f>IF(B105&gt;$C$18,"",IF(COUNTIF(Feriados!$A$2:$B$17,EDATE($C$38,B105))=0,EDATE($C$38,B105),EDATE($C$38,B105)+VLOOKUP(EDATE($C$38,B105),Feriados!$A$2:$B$17,2,FALSE)))</f>
        <v>47994</v>
      </c>
      <c r="G106" s="32">
        <f t="shared" si="39"/>
        <v>30</v>
      </c>
      <c r="H106" s="32">
        <f t="shared" si="40"/>
        <v>2103</v>
      </c>
      <c r="I106" s="57">
        <f t="shared" ca="1" si="41"/>
        <v>-22202.470616906485</v>
      </c>
      <c r="J106" s="57">
        <f t="shared" ca="1" si="27"/>
        <v>5975.9922229395752</v>
      </c>
      <c r="K106" s="58">
        <f t="shared" ca="1" si="28"/>
        <v>-698.22305471527307</v>
      </c>
      <c r="L106" s="58">
        <f t="shared" ca="1" si="42"/>
        <v>-1798.4001199694244</v>
      </c>
      <c r="M106" s="59">
        <f t="shared" si="29"/>
        <v>0</v>
      </c>
      <c r="N106" s="32">
        <f t="shared" si="30"/>
        <v>0</v>
      </c>
      <c r="O106" s="58">
        <f t="shared" ca="1" si="31"/>
        <v>3479.3690482548782</v>
      </c>
      <c r="P106" s="58">
        <f t="shared" ca="1" si="32"/>
        <v>-28178.462839846059</v>
      </c>
      <c r="Q106" s="58">
        <f t="shared" ca="1" si="33"/>
        <v>5.6989120598682579E-4</v>
      </c>
      <c r="R106" s="58">
        <f t="shared" ca="1" si="34"/>
        <v>5.6989120598682579E-4</v>
      </c>
      <c r="T106" s="32">
        <f t="shared" ca="1" si="43"/>
        <v>3479.3690482548777</v>
      </c>
      <c r="U106" s="32">
        <f t="shared" si="35"/>
        <v>2103</v>
      </c>
      <c r="V106" s="59">
        <f t="shared" si="36"/>
        <v>45.688261477028512</v>
      </c>
      <c r="W106" s="57">
        <f t="shared" ca="1" si="37"/>
        <v>76.150000000000006</v>
      </c>
      <c r="X106" s="58">
        <f t="shared" ca="1" si="44"/>
        <v>-1798.4001199694244</v>
      </c>
      <c r="Y106" s="58">
        <f t="shared" ca="1" si="46"/>
        <v>-1798.4001199694244</v>
      </c>
    </row>
    <row r="107" spans="2:25" s="16" customFormat="1" x14ac:dyDescent="0.3">
      <c r="B107" s="32">
        <v>70</v>
      </c>
      <c r="C107" s="79">
        <f t="shared" si="45"/>
        <v>48025</v>
      </c>
      <c r="D107" s="32">
        <f t="shared" si="26"/>
        <v>4</v>
      </c>
      <c r="E107" s="79">
        <f t="shared" si="38"/>
        <v>48025</v>
      </c>
      <c r="F107" s="79">
        <f>IF(B106&gt;$C$18,"",IF(COUNTIF(Feriados!$A$2:$B$17,EDATE($C$38,B106))=0,EDATE($C$38,B106),EDATE($C$38,B106)+VLOOKUP(EDATE($C$38,B106),Feriados!$A$2:$B$17,2,FALSE)))</f>
        <v>48025</v>
      </c>
      <c r="G107" s="32">
        <f t="shared" si="39"/>
        <v>31</v>
      </c>
      <c r="H107" s="32">
        <f t="shared" si="40"/>
        <v>2134</v>
      </c>
      <c r="I107" s="57">
        <f t="shared" ca="1" si="41"/>
        <v>-28178.462839846059</v>
      </c>
      <c r="J107" s="57">
        <f t="shared" ca="1" si="27"/>
        <v>6757.1801514629642</v>
      </c>
      <c r="K107" s="58">
        <f t="shared" ca="1" si="28"/>
        <v>-916.16968259055875</v>
      </c>
      <c r="L107" s="58">
        <f t="shared" ca="1" si="42"/>
        <v>-2361.6414206175273</v>
      </c>
      <c r="M107" s="59">
        <f t="shared" si="29"/>
        <v>0</v>
      </c>
      <c r="N107" s="32">
        <f t="shared" si="30"/>
        <v>0</v>
      </c>
      <c r="O107" s="58">
        <f t="shared" ca="1" si="31"/>
        <v>3479.3690482548782</v>
      </c>
      <c r="P107" s="58">
        <f t="shared" ca="1" si="32"/>
        <v>-34935.642991309025</v>
      </c>
      <c r="Q107" s="58">
        <f t="shared" ca="1" si="33"/>
        <v>5.1046924650242735E-4</v>
      </c>
      <c r="R107" s="58">
        <f t="shared" ca="1" si="34"/>
        <v>5.1046924650242735E-4</v>
      </c>
      <c r="T107" s="32">
        <f t="shared" ca="1" si="43"/>
        <v>3479.3690482548786</v>
      </c>
      <c r="U107" s="32">
        <f t="shared" si="35"/>
        <v>2134</v>
      </c>
      <c r="V107" s="59">
        <f t="shared" si="36"/>
        <v>48.336094591158343</v>
      </c>
      <c r="W107" s="57">
        <f t="shared" ca="1" si="37"/>
        <v>71.98</v>
      </c>
      <c r="X107" s="58">
        <f t="shared" ca="1" si="44"/>
        <v>-2361.6414206175273</v>
      </c>
      <c r="Y107" s="58">
        <f t="shared" ca="1" si="46"/>
        <v>-2361.6414206175273</v>
      </c>
    </row>
    <row r="108" spans="2:25" s="16" customFormat="1" x14ac:dyDescent="0.3">
      <c r="B108" s="32">
        <v>71</v>
      </c>
      <c r="C108" s="79">
        <f t="shared" si="45"/>
        <v>48055</v>
      </c>
      <c r="D108" s="32">
        <f t="shared" si="26"/>
        <v>6</v>
      </c>
      <c r="E108" s="79">
        <f t="shared" si="38"/>
        <v>48055</v>
      </c>
      <c r="F108" s="79">
        <f>IF(B107&gt;$C$18,"",IF(COUNTIF(Feriados!$A$2:$B$17,EDATE($C$38,B107))=0,EDATE($C$38,B107),EDATE($C$38,B107)+VLOOKUP(EDATE($C$38,B107),Feriados!$A$2:$B$17,2,FALSE)))</f>
        <v>48055</v>
      </c>
      <c r="G108" s="32">
        <f t="shared" si="39"/>
        <v>30</v>
      </c>
      <c r="H108" s="32">
        <f t="shared" si="40"/>
        <v>2164</v>
      </c>
      <c r="I108" s="57">
        <f t="shared" ca="1" si="41"/>
        <v>-34935.642991309025</v>
      </c>
      <c r="J108" s="57">
        <f t="shared" ca="1" si="27"/>
        <v>7407.811851741666</v>
      </c>
      <c r="K108" s="58">
        <f t="shared" ca="1" si="28"/>
        <v>-1098.655721190758</v>
      </c>
      <c r="L108" s="58">
        <f t="shared" ca="1" si="42"/>
        <v>-2829.7870822960299</v>
      </c>
      <c r="M108" s="59">
        <f t="shared" si="29"/>
        <v>0</v>
      </c>
      <c r="N108" s="32">
        <f t="shared" si="30"/>
        <v>0</v>
      </c>
      <c r="O108" s="58">
        <f t="shared" ca="1" si="31"/>
        <v>3479.3690482548782</v>
      </c>
      <c r="P108" s="58">
        <f t="shared" ca="1" si="32"/>
        <v>-42343.454843050691</v>
      </c>
      <c r="Q108" s="58">
        <f t="shared" ca="1" si="33"/>
        <v>4.5887021369841107E-4</v>
      </c>
      <c r="R108" s="58">
        <f t="shared" ca="1" si="34"/>
        <v>4.5887021369841107E-4</v>
      </c>
      <c r="T108" s="32">
        <f t="shared" ca="1" si="43"/>
        <v>3479.3690482548777</v>
      </c>
      <c r="U108" s="32">
        <f t="shared" si="35"/>
        <v>2164</v>
      </c>
      <c r="V108" s="59">
        <f t="shared" si="36"/>
        <v>51.044532114628439</v>
      </c>
      <c r="W108" s="57">
        <f t="shared" ca="1" si="37"/>
        <v>68.16</v>
      </c>
      <c r="X108" s="58">
        <f t="shared" ca="1" si="44"/>
        <v>-2829.7870822960299</v>
      </c>
      <c r="Y108" s="58">
        <f t="shared" ca="1" si="46"/>
        <v>-2829.7870822960299</v>
      </c>
    </row>
    <row r="109" spans="2:25" s="16" customFormat="1" x14ac:dyDescent="0.3">
      <c r="B109" s="32">
        <v>72</v>
      </c>
      <c r="C109" s="79">
        <f t="shared" si="45"/>
        <v>48086</v>
      </c>
      <c r="D109" s="32">
        <f t="shared" si="26"/>
        <v>2</v>
      </c>
      <c r="E109" s="79">
        <f t="shared" si="38"/>
        <v>48086</v>
      </c>
      <c r="F109" s="79">
        <f>IF(B108&gt;$C$18,"",IF(COUNTIF(Feriados!$A$2:$B$17,EDATE($C$38,B108))=0,EDATE($C$38,B108),EDATE($C$38,B108)+VLOOKUP(EDATE($C$38,B108),Feriados!$A$2:$B$17,2,FALSE)))</f>
        <v>48086</v>
      </c>
      <c r="G109" s="32">
        <f t="shared" si="39"/>
        <v>31</v>
      </c>
      <c r="H109" s="32">
        <f t="shared" si="40"/>
        <v>2195</v>
      </c>
      <c r="I109" s="57">
        <f t="shared" ca="1" si="41"/>
        <v>-42343.454843050691</v>
      </c>
      <c r="J109" s="57">
        <f t="shared" ca="1" si="27"/>
        <v>-42343.454843050698</v>
      </c>
      <c r="K109" s="58">
        <f t="shared" ca="1" si="28"/>
        <v>-1376.7177366569704</v>
      </c>
      <c r="L109" s="58">
        <f t="shared" ca="1" si="42"/>
        <v>-3548.8116373754142</v>
      </c>
      <c r="M109" s="59">
        <f t="shared" si="29"/>
        <v>0</v>
      </c>
      <c r="N109" s="32">
        <f t="shared" si="30"/>
        <v>0</v>
      </c>
      <c r="O109" s="58">
        <f t="shared" ca="1" si="31"/>
        <v>-47268.984217083082</v>
      </c>
      <c r="P109" s="58">
        <f t="shared" ca="1" si="32"/>
        <v>7.2759576141834259E-12</v>
      </c>
      <c r="Q109" s="58">
        <f t="shared" ca="1" si="33"/>
        <v>4.1102429686281315E-4</v>
      </c>
      <c r="R109" s="58">
        <f t="shared" ca="1" si="34"/>
        <v>4.1102429686281315E-4</v>
      </c>
      <c r="T109" s="32">
        <f t="shared" ca="1" si="43"/>
        <v>-47268.984217083082</v>
      </c>
      <c r="U109" s="32">
        <f t="shared" si="35"/>
        <v>2195</v>
      </c>
      <c r="V109" s="59">
        <f t="shared" si="36"/>
        <v>54.002784367153566</v>
      </c>
      <c r="W109" s="57">
        <f t="shared" ca="1" si="37"/>
        <v>-875.31</v>
      </c>
      <c r="X109" s="58">
        <f t="shared" ca="1" si="44"/>
        <v>-3548.8116373754142</v>
      </c>
      <c r="Y109" s="58">
        <f t="shared" ca="1" si="46"/>
        <v>-3548.8116373754142</v>
      </c>
    </row>
    <row r="110" spans="2:25" s="16" customFormat="1" x14ac:dyDescent="0.3">
      <c r="B110" s="32">
        <v>73</v>
      </c>
      <c r="C110" s="79" t="str">
        <f t="shared" si="45"/>
        <v/>
      </c>
      <c r="D110" s="32" t="str">
        <f t="shared" si="26"/>
        <v/>
      </c>
      <c r="E110" s="79" t="str">
        <f t="shared" si="38"/>
        <v/>
      </c>
      <c r="F110" s="79">
        <f>IF(B109&gt;$C$18,"",IF(COUNTIF(Feriados!$A$2:$B$17,EDATE($C$38,B109))=0,EDATE($C$38,B109),EDATE($C$38,B109)+VLOOKUP(EDATE($C$38,B109),Feriados!$A$2:$B$17,2,FALSE)))</f>
        <v>48117</v>
      </c>
      <c r="G110" s="32" t="str">
        <f t="shared" si="39"/>
        <v/>
      </c>
      <c r="H110" s="32" t="str">
        <f t="shared" si="40"/>
        <v/>
      </c>
      <c r="I110" s="57" t="str">
        <f t="shared" si="41"/>
        <v/>
      </c>
      <c r="J110" s="57" t="str">
        <f t="shared" si="27"/>
        <v/>
      </c>
      <c r="K110" s="58" t="str">
        <f t="shared" si="28"/>
        <v/>
      </c>
      <c r="L110" s="58" t="str">
        <f t="shared" si="42"/>
        <v/>
      </c>
      <c r="M110" s="59" t="str">
        <f t="shared" si="29"/>
        <v/>
      </c>
      <c r="N110" s="32" t="str">
        <f t="shared" si="30"/>
        <v/>
      </c>
      <c r="O110" s="58" t="str">
        <f t="shared" si="31"/>
        <v/>
      </c>
      <c r="P110" s="58" t="str">
        <f t="shared" si="32"/>
        <v/>
      </c>
      <c r="Q110" s="58" t="str">
        <f t="shared" si="33"/>
        <v/>
      </c>
      <c r="R110" s="58" t="str">
        <f t="shared" ca="1" si="34"/>
        <v/>
      </c>
      <c r="T110" s="32" t="str">
        <f t="shared" si="43"/>
        <v/>
      </c>
      <c r="U110" s="32" t="str">
        <f t="shared" si="35"/>
        <v/>
      </c>
      <c r="V110" s="59" t="str">
        <f t="shared" si="36"/>
        <v/>
      </c>
      <c r="W110" s="57" t="str">
        <f t="shared" si="37"/>
        <v/>
      </c>
      <c r="X110" s="58">
        <f t="shared" si="44"/>
        <v>0</v>
      </c>
      <c r="Y110" s="58">
        <f t="shared" si="46"/>
        <v>0</v>
      </c>
    </row>
    <row r="111" spans="2:25" s="16" customFormat="1" x14ac:dyDescent="0.3">
      <c r="B111" s="32">
        <v>74</v>
      </c>
      <c r="C111" s="79" t="str">
        <f t="shared" si="45"/>
        <v/>
      </c>
      <c r="D111" s="32" t="str">
        <f t="shared" si="26"/>
        <v/>
      </c>
      <c r="E111" s="79" t="str">
        <f t="shared" si="38"/>
        <v/>
      </c>
      <c r="F111" s="79" t="str">
        <f>IF(B110&gt;$C$18,"",IF(COUNTIF(Feriados!$A$2:$B$17,EDATE($C$38,B110))=0,EDATE($C$38,B110),EDATE($C$38,B110)+VLOOKUP(EDATE($C$38,B110),Feriados!$A$2:$B$17,2,FALSE)))</f>
        <v/>
      </c>
      <c r="G111" s="32" t="str">
        <f t="shared" si="39"/>
        <v/>
      </c>
      <c r="H111" s="32" t="str">
        <f t="shared" si="40"/>
        <v/>
      </c>
      <c r="I111" s="57" t="str">
        <f t="shared" si="41"/>
        <v/>
      </c>
      <c r="J111" s="57" t="str">
        <f t="shared" si="27"/>
        <v/>
      </c>
      <c r="K111" s="58" t="str">
        <f t="shared" si="28"/>
        <v/>
      </c>
      <c r="L111" s="58" t="str">
        <f t="shared" si="42"/>
        <v/>
      </c>
      <c r="M111" s="59" t="str">
        <f t="shared" si="29"/>
        <v/>
      </c>
      <c r="N111" s="32" t="str">
        <f t="shared" si="30"/>
        <v/>
      </c>
      <c r="O111" s="58" t="str">
        <f t="shared" si="31"/>
        <v/>
      </c>
      <c r="P111" s="58" t="str">
        <f t="shared" si="32"/>
        <v/>
      </c>
      <c r="Q111" s="58" t="str">
        <f t="shared" si="33"/>
        <v/>
      </c>
      <c r="R111" s="58" t="str">
        <f t="shared" ca="1" si="34"/>
        <v/>
      </c>
      <c r="T111" s="32" t="str">
        <f t="shared" si="43"/>
        <v/>
      </c>
      <c r="U111" s="32" t="str">
        <f t="shared" si="35"/>
        <v/>
      </c>
      <c r="V111" s="59" t="str">
        <f t="shared" si="36"/>
        <v/>
      </c>
      <c r="W111" s="57" t="str">
        <f t="shared" si="37"/>
        <v/>
      </c>
      <c r="X111" s="58">
        <f t="shared" si="44"/>
        <v>0</v>
      </c>
      <c r="Y111" s="58">
        <f t="shared" si="46"/>
        <v>0</v>
      </c>
    </row>
    <row r="112" spans="2:25" s="16" customFormat="1" x14ac:dyDescent="0.3">
      <c r="B112" s="32">
        <v>75</v>
      </c>
      <c r="C112" s="79" t="str">
        <f t="shared" si="45"/>
        <v/>
      </c>
      <c r="D112" s="32" t="str">
        <f t="shared" si="26"/>
        <v/>
      </c>
      <c r="E112" s="79" t="str">
        <f t="shared" si="38"/>
        <v/>
      </c>
      <c r="F112" s="79" t="str">
        <f>IF(B111&gt;$C$18,"",IF(COUNTIF(Feriados!$A$2:$B$17,EDATE($C$38,B111))=0,EDATE($C$38,B111),EDATE($C$38,B111)+VLOOKUP(EDATE($C$38,B111),Feriados!$A$2:$B$17,2,FALSE)))</f>
        <v/>
      </c>
      <c r="G112" s="32" t="str">
        <f t="shared" si="39"/>
        <v/>
      </c>
      <c r="H112" s="32" t="str">
        <f t="shared" si="40"/>
        <v/>
      </c>
      <c r="I112" s="57" t="str">
        <f t="shared" si="41"/>
        <v/>
      </c>
      <c r="J112" s="57" t="str">
        <f t="shared" si="27"/>
        <v/>
      </c>
      <c r="K112" s="58" t="str">
        <f t="shared" si="28"/>
        <v/>
      </c>
      <c r="L112" s="58" t="str">
        <f t="shared" si="42"/>
        <v/>
      </c>
      <c r="M112" s="59" t="str">
        <f t="shared" si="29"/>
        <v/>
      </c>
      <c r="N112" s="32" t="str">
        <f t="shared" si="30"/>
        <v/>
      </c>
      <c r="O112" s="58" t="str">
        <f t="shared" si="31"/>
        <v/>
      </c>
      <c r="P112" s="58" t="str">
        <f t="shared" si="32"/>
        <v/>
      </c>
      <c r="Q112" s="58" t="str">
        <f t="shared" si="33"/>
        <v/>
      </c>
      <c r="R112" s="58" t="str">
        <f t="shared" ca="1" si="34"/>
        <v/>
      </c>
      <c r="T112" s="32" t="str">
        <f t="shared" si="43"/>
        <v/>
      </c>
      <c r="U112" s="32" t="str">
        <f t="shared" si="35"/>
        <v/>
      </c>
      <c r="V112" s="59" t="str">
        <f t="shared" si="36"/>
        <v/>
      </c>
      <c r="W112" s="57" t="str">
        <f t="shared" si="37"/>
        <v/>
      </c>
      <c r="X112" s="58">
        <f t="shared" si="44"/>
        <v>0</v>
      </c>
      <c r="Y112" s="58">
        <f t="shared" si="46"/>
        <v>0</v>
      </c>
    </row>
    <row r="113" spans="2:25" x14ac:dyDescent="0.3">
      <c r="B113" s="6">
        <v>76</v>
      </c>
      <c r="C113" s="79" t="str">
        <f t="shared" si="45"/>
        <v/>
      </c>
      <c r="D113" s="6" t="str">
        <f t="shared" si="26"/>
        <v/>
      </c>
      <c r="E113" s="79" t="str">
        <f t="shared" si="38"/>
        <v/>
      </c>
      <c r="F113" s="79" t="str">
        <f>IF(B112&gt;$C$18,"",IF(COUNTIF(Feriados!$A$2:$B$17,EDATE($C$38,B112))=0,EDATE($C$38,B112),EDATE($C$38,B112)+VLOOKUP(EDATE($C$38,B112),Feriados!$A$2:$B$17,2,FALSE)))</f>
        <v/>
      </c>
      <c r="G113" s="6" t="str">
        <f t="shared" si="39"/>
        <v/>
      </c>
      <c r="H113" s="6" t="str">
        <f t="shared" si="40"/>
        <v/>
      </c>
      <c r="I113" s="8" t="str">
        <f t="shared" si="41"/>
        <v/>
      </c>
      <c r="J113" s="8" t="str">
        <f t="shared" si="27"/>
        <v/>
      </c>
      <c r="K113" s="9" t="str">
        <f t="shared" si="28"/>
        <v/>
      </c>
      <c r="L113" s="9" t="str">
        <f t="shared" si="42"/>
        <v/>
      </c>
      <c r="M113" s="10" t="str">
        <f t="shared" si="29"/>
        <v/>
      </c>
      <c r="N113" s="6" t="str">
        <f t="shared" si="30"/>
        <v/>
      </c>
      <c r="O113" s="9" t="str">
        <f t="shared" si="31"/>
        <v/>
      </c>
      <c r="P113" s="9" t="str">
        <f t="shared" si="32"/>
        <v/>
      </c>
      <c r="Q113" s="9" t="str">
        <f t="shared" si="33"/>
        <v/>
      </c>
      <c r="R113" s="9" t="str">
        <f t="shared" ca="1" si="34"/>
        <v/>
      </c>
      <c r="T113" s="6" t="str">
        <f t="shared" si="43"/>
        <v/>
      </c>
      <c r="U113" s="6" t="str">
        <f t="shared" si="35"/>
        <v/>
      </c>
      <c r="V113" s="10" t="str">
        <f t="shared" si="36"/>
        <v/>
      </c>
      <c r="W113" s="8" t="str">
        <f t="shared" si="37"/>
        <v/>
      </c>
      <c r="X113" s="9">
        <f t="shared" si="44"/>
        <v>0</v>
      </c>
      <c r="Y113" s="9">
        <f t="shared" si="46"/>
        <v>0</v>
      </c>
    </row>
    <row r="114" spans="2:25" x14ac:dyDescent="0.3">
      <c r="B114" s="6">
        <v>77</v>
      </c>
      <c r="C114" s="79" t="str">
        <f t="shared" si="45"/>
        <v/>
      </c>
      <c r="D114" s="6" t="str">
        <f t="shared" si="26"/>
        <v/>
      </c>
      <c r="E114" s="79" t="str">
        <f t="shared" si="38"/>
        <v/>
      </c>
      <c r="F114" s="79" t="str">
        <f>IF(B113&gt;$C$18,"",IF(COUNTIF(Feriados!$A$2:$B$17,EDATE($C$38,B113))=0,EDATE($C$38,B113),EDATE($C$38,B113)+VLOOKUP(EDATE($C$38,B113),Feriados!$A$2:$B$17,2,FALSE)))</f>
        <v/>
      </c>
      <c r="G114" s="6" t="str">
        <f t="shared" si="39"/>
        <v/>
      </c>
      <c r="H114" s="6" t="str">
        <f t="shared" si="40"/>
        <v/>
      </c>
      <c r="I114" s="8" t="str">
        <f t="shared" si="41"/>
        <v/>
      </c>
      <c r="J114" s="8" t="str">
        <f t="shared" si="27"/>
        <v/>
      </c>
      <c r="K114" s="9" t="str">
        <f t="shared" si="28"/>
        <v/>
      </c>
      <c r="L114" s="9" t="str">
        <f t="shared" si="42"/>
        <v/>
      </c>
      <c r="M114" s="10" t="str">
        <f t="shared" si="29"/>
        <v/>
      </c>
      <c r="N114" s="6" t="str">
        <f t="shared" si="30"/>
        <v/>
      </c>
      <c r="O114" s="9" t="str">
        <f t="shared" si="31"/>
        <v/>
      </c>
      <c r="P114" s="9" t="str">
        <f t="shared" si="32"/>
        <v/>
      </c>
      <c r="Q114" s="9" t="str">
        <f t="shared" si="33"/>
        <v/>
      </c>
      <c r="R114" s="9" t="str">
        <f t="shared" ca="1" si="34"/>
        <v/>
      </c>
      <c r="T114" s="6" t="str">
        <f t="shared" si="43"/>
        <v/>
      </c>
      <c r="U114" s="6" t="str">
        <f t="shared" si="35"/>
        <v/>
      </c>
      <c r="V114" s="10" t="str">
        <f t="shared" si="36"/>
        <v/>
      </c>
      <c r="W114" s="8" t="str">
        <f t="shared" si="37"/>
        <v/>
      </c>
      <c r="X114" s="9">
        <f t="shared" si="44"/>
        <v>0</v>
      </c>
      <c r="Y114" s="9">
        <f t="shared" si="46"/>
        <v>0</v>
      </c>
    </row>
    <row r="115" spans="2:25" x14ac:dyDescent="0.3">
      <c r="B115" s="6">
        <v>78</v>
      </c>
      <c r="C115" s="79" t="str">
        <f t="shared" si="45"/>
        <v/>
      </c>
      <c r="D115" s="6" t="str">
        <f t="shared" si="26"/>
        <v/>
      </c>
      <c r="E115" s="79" t="str">
        <f t="shared" si="38"/>
        <v/>
      </c>
      <c r="F115" s="79" t="str">
        <f>IF(B114&gt;$C$18,"",IF(COUNTIF(Feriados!$A$2:$B$17,EDATE($C$38,B114))=0,EDATE($C$38,B114),EDATE($C$38,B114)+VLOOKUP(EDATE($C$38,B114),Feriados!$A$2:$B$17,2,FALSE)))</f>
        <v/>
      </c>
      <c r="G115" s="6" t="str">
        <f t="shared" si="39"/>
        <v/>
      </c>
      <c r="H115" s="6" t="str">
        <f t="shared" si="40"/>
        <v/>
      </c>
      <c r="I115" s="8" t="str">
        <f t="shared" si="41"/>
        <v/>
      </c>
      <c r="J115" s="8" t="str">
        <f t="shared" si="27"/>
        <v/>
      </c>
      <c r="K115" s="9" t="str">
        <f t="shared" si="28"/>
        <v/>
      </c>
      <c r="L115" s="9" t="str">
        <f t="shared" si="42"/>
        <v/>
      </c>
      <c r="M115" s="10" t="str">
        <f t="shared" si="29"/>
        <v/>
      </c>
      <c r="N115" s="6" t="str">
        <f t="shared" si="30"/>
        <v/>
      </c>
      <c r="O115" s="9" t="str">
        <f t="shared" si="31"/>
        <v/>
      </c>
      <c r="P115" s="9" t="str">
        <f t="shared" si="32"/>
        <v/>
      </c>
      <c r="Q115" s="9" t="str">
        <f t="shared" si="33"/>
        <v/>
      </c>
      <c r="R115" s="9" t="str">
        <f t="shared" ca="1" si="34"/>
        <v/>
      </c>
      <c r="T115" s="6" t="str">
        <f t="shared" si="43"/>
        <v/>
      </c>
      <c r="U115" s="6" t="str">
        <f t="shared" si="35"/>
        <v/>
      </c>
      <c r="V115" s="10" t="str">
        <f t="shared" si="36"/>
        <v/>
      </c>
      <c r="W115" s="8" t="str">
        <f t="shared" si="37"/>
        <v/>
      </c>
      <c r="X115" s="9">
        <f t="shared" si="44"/>
        <v>0</v>
      </c>
      <c r="Y115" s="9">
        <f t="shared" si="46"/>
        <v>0</v>
      </c>
    </row>
    <row r="116" spans="2:25" x14ac:dyDescent="0.3">
      <c r="B116" s="6">
        <v>79</v>
      </c>
      <c r="C116" s="79" t="str">
        <f t="shared" si="45"/>
        <v/>
      </c>
      <c r="D116" s="6" t="str">
        <f t="shared" si="26"/>
        <v/>
      </c>
      <c r="E116" s="79" t="str">
        <f t="shared" si="38"/>
        <v/>
      </c>
      <c r="F116" s="79" t="str">
        <f>IF(B115&gt;$C$18,"",IF(COUNTIF(Feriados!$A$2:$B$17,EDATE($C$38,B115))=0,EDATE($C$38,B115),EDATE($C$38,B115)+VLOOKUP(EDATE($C$38,B115),Feriados!$A$2:$B$17,2,FALSE)))</f>
        <v/>
      </c>
      <c r="G116" s="6" t="str">
        <f t="shared" si="39"/>
        <v/>
      </c>
      <c r="H116" s="6" t="str">
        <f t="shared" si="40"/>
        <v/>
      </c>
      <c r="I116" s="8" t="str">
        <f t="shared" si="41"/>
        <v/>
      </c>
      <c r="J116" s="8" t="str">
        <f t="shared" si="27"/>
        <v/>
      </c>
      <c r="K116" s="9" t="str">
        <f t="shared" si="28"/>
        <v/>
      </c>
      <c r="L116" s="9" t="str">
        <f t="shared" si="42"/>
        <v/>
      </c>
      <c r="M116" s="10" t="str">
        <f t="shared" si="29"/>
        <v/>
      </c>
      <c r="N116" s="6" t="str">
        <f t="shared" si="30"/>
        <v/>
      </c>
      <c r="O116" s="9" t="str">
        <f t="shared" si="31"/>
        <v/>
      </c>
      <c r="P116" s="9" t="str">
        <f t="shared" si="32"/>
        <v/>
      </c>
      <c r="Q116" s="9" t="str">
        <f t="shared" si="33"/>
        <v/>
      </c>
      <c r="R116" s="9" t="str">
        <f t="shared" ca="1" si="34"/>
        <v/>
      </c>
      <c r="T116" s="6" t="str">
        <f t="shared" si="43"/>
        <v/>
      </c>
      <c r="U116" s="6" t="str">
        <f t="shared" si="35"/>
        <v/>
      </c>
      <c r="V116" s="10" t="str">
        <f t="shared" si="36"/>
        <v/>
      </c>
      <c r="W116" s="8" t="str">
        <f t="shared" si="37"/>
        <v/>
      </c>
      <c r="X116" s="9">
        <f t="shared" si="44"/>
        <v>0</v>
      </c>
      <c r="Y116" s="9">
        <f t="shared" si="46"/>
        <v>0</v>
      </c>
    </row>
    <row r="117" spans="2:25" x14ac:dyDescent="0.3">
      <c r="B117" s="6">
        <v>80</v>
      </c>
      <c r="C117" s="79" t="str">
        <f t="shared" si="45"/>
        <v/>
      </c>
      <c r="D117" s="6" t="str">
        <f t="shared" si="26"/>
        <v/>
      </c>
      <c r="E117" s="79" t="str">
        <f t="shared" si="38"/>
        <v/>
      </c>
      <c r="F117" s="79" t="str">
        <f>IF(B116&gt;$C$18,"",IF(COUNTIF(Feriados!$A$2:$B$17,EDATE($C$38,B116))=0,EDATE($C$38,B116),EDATE($C$38,B116)+VLOOKUP(EDATE($C$38,B116),Feriados!$A$2:$B$17,2,FALSE)))</f>
        <v/>
      </c>
      <c r="G117" s="6" t="str">
        <f t="shared" si="39"/>
        <v/>
      </c>
      <c r="H117" s="6" t="str">
        <f t="shared" si="40"/>
        <v/>
      </c>
      <c r="I117" s="8" t="str">
        <f t="shared" si="41"/>
        <v/>
      </c>
      <c r="J117" s="8" t="str">
        <f t="shared" si="27"/>
        <v/>
      </c>
      <c r="K117" s="9" t="str">
        <f t="shared" si="28"/>
        <v/>
      </c>
      <c r="L117" s="9" t="str">
        <f t="shared" si="42"/>
        <v/>
      </c>
      <c r="M117" s="10" t="str">
        <f t="shared" si="29"/>
        <v/>
      </c>
      <c r="N117" s="6" t="str">
        <f t="shared" si="30"/>
        <v/>
      </c>
      <c r="O117" s="9" t="str">
        <f t="shared" si="31"/>
        <v/>
      </c>
      <c r="P117" s="9" t="str">
        <f t="shared" si="32"/>
        <v/>
      </c>
      <c r="Q117" s="9" t="str">
        <f t="shared" si="33"/>
        <v/>
      </c>
      <c r="R117" s="9" t="str">
        <f t="shared" ca="1" si="34"/>
        <v/>
      </c>
      <c r="T117" s="6" t="str">
        <f t="shared" si="43"/>
        <v/>
      </c>
      <c r="U117" s="6" t="str">
        <f t="shared" si="35"/>
        <v/>
      </c>
      <c r="V117" s="10" t="str">
        <f t="shared" si="36"/>
        <v/>
      </c>
      <c r="W117" s="8" t="str">
        <f t="shared" si="37"/>
        <v/>
      </c>
      <c r="X117" s="9">
        <f t="shared" si="44"/>
        <v>0</v>
      </c>
      <c r="Y117" s="9">
        <f t="shared" si="46"/>
        <v>0</v>
      </c>
    </row>
    <row r="118" spans="2:25" x14ac:dyDescent="0.3">
      <c r="B118" s="6">
        <v>81</v>
      </c>
      <c r="C118" s="79" t="str">
        <f t="shared" si="45"/>
        <v/>
      </c>
      <c r="D118" s="6" t="str">
        <f t="shared" si="26"/>
        <v/>
      </c>
      <c r="E118" s="79" t="str">
        <f t="shared" si="38"/>
        <v/>
      </c>
      <c r="F118" s="79" t="str">
        <f>IF(B117&gt;$C$18,"",IF(COUNTIF(Feriados!$A$2:$B$17,EDATE($C$38,B117))=0,EDATE($C$38,B117),EDATE($C$38,B117)+VLOOKUP(EDATE($C$38,B117),Feriados!$A$2:$B$17,2,FALSE)))</f>
        <v/>
      </c>
      <c r="G118" s="6" t="str">
        <f t="shared" si="39"/>
        <v/>
      </c>
      <c r="H118" s="6" t="str">
        <f t="shared" si="40"/>
        <v/>
      </c>
      <c r="I118" s="8" t="str">
        <f t="shared" si="41"/>
        <v/>
      </c>
      <c r="J118" s="8" t="str">
        <f t="shared" si="27"/>
        <v/>
      </c>
      <c r="K118" s="9" t="str">
        <f t="shared" si="28"/>
        <v/>
      </c>
      <c r="L118" s="9" t="str">
        <f t="shared" si="42"/>
        <v/>
      </c>
      <c r="M118" s="10" t="str">
        <f t="shared" si="29"/>
        <v/>
      </c>
      <c r="N118" s="6" t="str">
        <f t="shared" si="30"/>
        <v/>
      </c>
      <c r="O118" s="9" t="str">
        <f t="shared" si="31"/>
        <v/>
      </c>
      <c r="P118" s="9" t="str">
        <f t="shared" si="32"/>
        <v/>
      </c>
      <c r="Q118" s="9" t="str">
        <f t="shared" si="33"/>
        <v/>
      </c>
      <c r="R118" s="9" t="str">
        <f t="shared" ca="1" si="34"/>
        <v/>
      </c>
      <c r="T118" s="6" t="str">
        <f t="shared" si="43"/>
        <v/>
      </c>
      <c r="U118" s="6" t="str">
        <f t="shared" si="35"/>
        <v/>
      </c>
      <c r="V118" s="10" t="str">
        <f t="shared" si="36"/>
        <v/>
      </c>
      <c r="W118" s="8" t="str">
        <f t="shared" si="37"/>
        <v/>
      </c>
      <c r="X118" s="9">
        <f t="shared" si="44"/>
        <v>0</v>
      </c>
      <c r="Y118" s="9">
        <f t="shared" si="46"/>
        <v>0</v>
      </c>
    </row>
    <row r="119" spans="2:25" x14ac:dyDescent="0.3">
      <c r="B119" s="6">
        <v>82</v>
      </c>
      <c r="C119" s="79" t="str">
        <f t="shared" si="45"/>
        <v/>
      </c>
      <c r="D119" s="6" t="str">
        <f t="shared" si="26"/>
        <v/>
      </c>
      <c r="E119" s="79" t="str">
        <f t="shared" si="38"/>
        <v/>
      </c>
      <c r="F119" s="79" t="str">
        <f>IF(B118&gt;$C$18,"",IF(COUNTIF(Feriados!$A$2:$B$17,EDATE($C$38,B118))=0,EDATE($C$38,B118),EDATE($C$38,B118)+VLOOKUP(EDATE($C$38,B118),Feriados!$A$2:$B$17,2,FALSE)))</f>
        <v/>
      </c>
      <c r="G119" s="6" t="str">
        <f t="shared" si="39"/>
        <v/>
      </c>
      <c r="H119" s="6" t="str">
        <f t="shared" si="40"/>
        <v/>
      </c>
      <c r="I119" s="8" t="str">
        <f t="shared" si="41"/>
        <v/>
      </c>
      <c r="J119" s="8" t="str">
        <f t="shared" si="27"/>
        <v/>
      </c>
      <c r="K119" s="9" t="str">
        <f t="shared" si="28"/>
        <v/>
      </c>
      <c r="L119" s="9" t="str">
        <f t="shared" si="42"/>
        <v/>
      </c>
      <c r="M119" s="10" t="str">
        <f t="shared" si="29"/>
        <v/>
      </c>
      <c r="N119" s="6" t="str">
        <f t="shared" si="30"/>
        <v/>
      </c>
      <c r="O119" s="9" t="str">
        <f t="shared" si="31"/>
        <v/>
      </c>
      <c r="P119" s="9" t="str">
        <f t="shared" si="32"/>
        <v/>
      </c>
      <c r="Q119" s="9" t="str">
        <f t="shared" si="33"/>
        <v/>
      </c>
      <c r="R119" s="9" t="str">
        <f t="shared" ca="1" si="34"/>
        <v/>
      </c>
      <c r="T119" s="6" t="str">
        <f t="shared" si="43"/>
        <v/>
      </c>
      <c r="U119" s="6" t="str">
        <f t="shared" si="35"/>
        <v/>
      </c>
      <c r="V119" s="10" t="str">
        <f t="shared" si="36"/>
        <v/>
      </c>
      <c r="W119" s="8" t="str">
        <f t="shared" si="37"/>
        <v/>
      </c>
      <c r="X119" s="9">
        <f t="shared" si="44"/>
        <v>0</v>
      </c>
      <c r="Y119" s="9">
        <f t="shared" si="46"/>
        <v>0</v>
      </c>
    </row>
    <row r="120" spans="2:25" x14ac:dyDescent="0.3">
      <c r="B120" s="6">
        <v>83</v>
      </c>
      <c r="C120" s="79" t="str">
        <f t="shared" si="45"/>
        <v/>
      </c>
      <c r="D120" s="6" t="str">
        <f t="shared" si="26"/>
        <v/>
      </c>
      <c r="E120" s="79" t="str">
        <f t="shared" si="38"/>
        <v/>
      </c>
      <c r="F120" s="79" t="str">
        <f>IF(B119&gt;$C$18,"",IF(COUNTIF(Feriados!$A$2:$B$17,EDATE($C$38,B119))=0,EDATE($C$38,B119),EDATE($C$38,B119)+VLOOKUP(EDATE($C$38,B119),Feriados!$A$2:$B$17,2,FALSE)))</f>
        <v/>
      </c>
      <c r="G120" s="6" t="str">
        <f t="shared" si="39"/>
        <v/>
      </c>
      <c r="H120" s="6" t="str">
        <f t="shared" si="40"/>
        <v/>
      </c>
      <c r="I120" s="8" t="str">
        <f t="shared" si="41"/>
        <v/>
      </c>
      <c r="J120" s="8" t="str">
        <f t="shared" si="27"/>
        <v/>
      </c>
      <c r="K120" s="9" t="str">
        <f t="shared" si="28"/>
        <v/>
      </c>
      <c r="L120" s="9" t="str">
        <f t="shared" si="42"/>
        <v/>
      </c>
      <c r="M120" s="10" t="str">
        <f t="shared" si="29"/>
        <v/>
      </c>
      <c r="N120" s="6" t="str">
        <f t="shared" si="30"/>
        <v/>
      </c>
      <c r="O120" s="9" t="str">
        <f t="shared" si="31"/>
        <v/>
      </c>
      <c r="P120" s="9" t="str">
        <f t="shared" si="32"/>
        <v/>
      </c>
      <c r="Q120" s="9" t="str">
        <f t="shared" si="33"/>
        <v/>
      </c>
      <c r="R120" s="9" t="str">
        <f t="shared" ca="1" si="34"/>
        <v/>
      </c>
      <c r="T120" s="6" t="str">
        <f t="shared" si="43"/>
        <v/>
      </c>
      <c r="U120" s="6" t="str">
        <f t="shared" si="35"/>
        <v/>
      </c>
      <c r="V120" s="10" t="str">
        <f t="shared" si="36"/>
        <v/>
      </c>
      <c r="W120" s="8" t="str">
        <f t="shared" si="37"/>
        <v/>
      </c>
      <c r="X120" s="9">
        <f t="shared" si="44"/>
        <v>0</v>
      </c>
      <c r="Y120" s="9">
        <f t="shared" si="46"/>
        <v>0</v>
      </c>
    </row>
    <row r="121" spans="2:25" x14ac:dyDescent="0.3">
      <c r="B121" s="6">
        <v>84</v>
      </c>
      <c r="C121" s="79" t="str">
        <f t="shared" si="45"/>
        <v/>
      </c>
      <c r="D121" s="6" t="str">
        <f t="shared" si="26"/>
        <v/>
      </c>
      <c r="E121" s="79" t="str">
        <f t="shared" si="38"/>
        <v/>
      </c>
      <c r="F121" s="79" t="str">
        <f>IF(B120&gt;$C$18,"",IF(COUNTIF(Feriados!$A$2:$B$17,EDATE($C$38,B120))=0,EDATE($C$38,B120),EDATE($C$38,B120)+VLOOKUP(EDATE($C$38,B120),Feriados!$A$2:$B$17,2,FALSE)))</f>
        <v/>
      </c>
      <c r="G121" s="6" t="str">
        <f t="shared" si="39"/>
        <v/>
      </c>
      <c r="H121" s="6" t="str">
        <f t="shared" si="40"/>
        <v/>
      </c>
      <c r="I121" s="8" t="str">
        <f t="shared" si="41"/>
        <v/>
      </c>
      <c r="J121" s="8" t="str">
        <f t="shared" si="27"/>
        <v/>
      </c>
      <c r="K121" s="9" t="str">
        <f t="shared" si="28"/>
        <v/>
      </c>
      <c r="L121" s="9" t="str">
        <f t="shared" si="42"/>
        <v/>
      </c>
      <c r="M121" s="10" t="str">
        <f t="shared" si="29"/>
        <v/>
      </c>
      <c r="N121" s="6" t="str">
        <f t="shared" si="30"/>
        <v/>
      </c>
      <c r="O121" s="9" t="str">
        <f t="shared" si="31"/>
        <v/>
      </c>
      <c r="P121" s="9" t="str">
        <f t="shared" si="32"/>
        <v/>
      </c>
      <c r="Q121" s="9" t="str">
        <f t="shared" si="33"/>
        <v/>
      </c>
      <c r="R121" s="9" t="str">
        <f t="shared" ca="1" si="34"/>
        <v/>
      </c>
      <c r="T121" s="6" t="str">
        <f t="shared" si="43"/>
        <v/>
      </c>
      <c r="U121" s="6" t="str">
        <f t="shared" si="35"/>
        <v/>
      </c>
      <c r="V121" s="10" t="str">
        <f t="shared" si="36"/>
        <v/>
      </c>
      <c r="W121" s="8" t="str">
        <f t="shared" si="37"/>
        <v/>
      </c>
      <c r="X121" s="9">
        <f t="shared" si="44"/>
        <v>0</v>
      </c>
      <c r="Y121" s="9">
        <f t="shared" si="46"/>
        <v>0</v>
      </c>
    </row>
    <row r="122" spans="2:25" x14ac:dyDescent="0.3">
      <c r="B122" s="6">
        <v>85</v>
      </c>
      <c r="C122" s="79" t="str">
        <f t="shared" si="45"/>
        <v/>
      </c>
      <c r="D122" s="6" t="str">
        <f t="shared" si="26"/>
        <v/>
      </c>
      <c r="E122" s="79" t="str">
        <f t="shared" si="38"/>
        <v/>
      </c>
      <c r="F122" s="79" t="str">
        <f>IF(B121&gt;$C$18,"",IF(COUNTIF(Feriados!$A$2:$B$17,EDATE($C$38,B121))=0,EDATE($C$38,B121),EDATE($C$38,B121)+VLOOKUP(EDATE($C$38,B121),Feriados!$A$2:$B$17,2,FALSE)))</f>
        <v/>
      </c>
      <c r="G122" s="6" t="str">
        <f t="shared" si="39"/>
        <v/>
      </c>
      <c r="H122" s="6" t="str">
        <f t="shared" si="40"/>
        <v/>
      </c>
      <c r="I122" s="8" t="str">
        <f t="shared" si="41"/>
        <v/>
      </c>
      <c r="J122" s="8" t="str">
        <f t="shared" si="27"/>
        <v/>
      </c>
      <c r="K122" s="9" t="str">
        <f t="shared" si="28"/>
        <v/>
      </c>
      <c r="L122" s="9" t="str">
        <f t="shared" si="42"/>
        <v/>
      </c>
      <c r="M122" s="10" t="str">
        <f t="shared" si="29"/>
        <v/>
      </c>
      <c r="N122" s="6" t="str">
        <f t="shared" si="30"/>
        <v/>
      </c>
      <c r="O122" s="9" t="str">
        <f t="shared" si="31"/>
        <v/>
      </c>
      <c r="P122" s="9" t="str">
        <f t="shared" si="32"/>
        <v/>
      </c>
      <c r="Q122" s="9" t="str">
        <f t="shared" si="33"/>
        <v/>
      </c>
      <c r="R122" s="9" t="str">
        <f t="shared" ca="1" si="34"/>
        <v/>
      </c>
      <c r="T122" s="6" t="str">
        <f t="shared" si="43"/>
        <v/>
      </c>
      <c r="U122" s="6" t="str">
        <f t="shared" si="35"/>
        <v/>
      </c>
      <c r="V122" s="10" t="str">
        <f t="shared" si="36"/>
        <v/>
      </c>
      <c r="W122" s="8" t="str">
        <f t="shared" si="37"/>
        <v/>
      </c>
      <c r="X122" s="9">
        <f t="shared" si="44"/>
        <v>0</v>
      </c>
      <c r="Y122" s="9">
        <f t="shared" si="46"/>
        <v>0</v>
      </c>
    </row>
    <row r="123" spans="2:25" x14ac:dyDescent="0.3">
      <c r="B123" s="6">
        <v>86</v>
      </c>
      <c r="C123" s="79" t="str">
        <f t="shared" si="45"/>
        <v/>
      </c>
      <c r="D123" s="6" t="str">
        <f t="shared" si="26"/>
        <v/>
      </c>
      <c r="E123" s="79" t="str">
        <f t="shared" si="38"/>
        <v/>
      </c>
      <c r="F123" s="79" t="str">
        <f>IF(B122&gt;$C$18,"",IF(COUNTIF(Feriados!$A$2:$B$17,EDATE($C$38,B122))=0,EDATE($C$38,B122),EDATE($C$38,B122)+VLOOKUP(EDATE($C$38,B122),Feriados!$A$2:$B$17,2,FALSE)))</f>
        <v/>
      </c>
      <c r="G123" s="6" t="str">
        <f t="shared" si="39"/>
        <v/>
      </c>
      <c r="H123" s="6" t="str">
        <f t="shared" si="40"/>
        <v/>
      </c>
      <c r="I123" s="8" t="str">
        <f t="shared" si="41"/>
        <v/>
      </c>
      <c r="J123" s="8" t="str">
        <f t="shared" si="27"/>
        <v/>
      </c>
      <c r="K123" s="9" t="str">
        <f t="shared" si="28"/>
        <v/>
      </c>
      <c r="L123" s="9" t="str">
        <f t="shared" si="42"/>
        <v/>
      </c>
      <c r="M123" s="10" t="str">
        <f t="shared" si="29"/>
        <v/>
      </c>
      <c r="N123" s="6" t="str">
        <f t="shared" si="30"/>
        <v/>
      </c>
      <c r="O123" s="9" t="str">
        <f t="shared" si="31"/>
        <v/>
      </c>
      <c r="P123" s="9" t="str">
        <f t="shared" si="32"/>
        <v/>
      </c>
      <c r="Q123" s="9" t="str">
        <f t="shared" si="33"/>
        <v/>
      </c>
      <c r="R123" s="9" t="str">
        <f t="shared" ca="1" si="34"/>
        <v/>
      </c>
      <c r="T123" s="6" t="str">
        <f t="shared" si="43"/>
        <v/>
      </c>
      <c r="U123" s="6" t="str">
        <f t="shared" si="35"/>
        <v/>
      </c>
      <c r="V123" s="10" t="str">
        <f t="shared" si="36"/>
        <v/>
      </c>
      <c r="W123" s="8" t="str">
        <f t="shared" si="37"/>
        <v/>
      </c>
      <c r="X123" s="9">
        <f t="shared" si="44"/>
        <v>0</v>
      </c>
      <c r="Y123" s="9">
        <f t="shared" si="46"/>
        <v>0</v>
      </c>
    </row>
    <row r="124" spans="2:25" x14ac:dyDescent="0.3">
      <c r="B124" s="6">
        <v>87</v>
      </c>
      <c r="C124" s="79" t="str">
        <f t="shared" si="45"/>
        <v/>
      </c>
      <c r="D124" s="6" t="str">
        <f t="shared" si="26"/>
        <v/>
      </c>
      <c r="E124" s="79" t="str">
        <f t="shared" si="38"/>
        <v/>
      </c>
      <c r="F124" s="79" t="str">
        <f>IF(B123&gt;$C$18,"",IF(COUNTIF(Feriados!$A$2:$B$17,EDATE($C$38,B123))=0,EDATE($C$38,B123),EDATE($C$38,B123)+VLOOKUP(EDATE($C$38,B123),Feriados!$A$2:$B$17,2,FALSE)))</f>
        <v/>
      </c>
      <c r="G124" s="6" t="str">
        <f t="shared" si="39"/>
        <v/>
      </c>
      <c r="H124" s="6" t="str">
        <f t="shared" si="40"/>
        <v/>
      </c>
      <c r="I124" s="8" t="str">
        <f t="shared" si="41"/>
        <v/>
      </c>
      <c r="J124" s="8" t="str">
        <f t="shared" si="27"/>
        <v/>
      </c>
      <c r="K124" s="9" t="str">
        <f t="shared" si="28"/>
        <v/>
      </c>
      <c r="L124" s="9" t="str">
        <f t="shared" si="42"/>
        <v/>
      </c>
      <c r="M124" s="10" t="str">
        <f t="shared" si="29"/>
        <v/>
      </c>
      <c r="N124" s="6" t="str">
        <f t="shared" si="30"/>
        <v/>
      </c>
      <c r="O124" s="9" t="str">
        <f t="shared" si="31"/>
        <v/>
      </c>
      <c r="P124" s="9" t="str">
        <f t="shared" si="32"/>
        <v/>
      </c>
      <c r="Q124" s="9" t="str">
        <f t="shared" si="33"/>
        <v/>
      </c>
      <c r="R124" s="9" t="str">
        <f t="shared" ca="1" si="34"/>
        <v/>
      </c>
      <c r="T124" s="6" t="str">
        <f t="shared" si="43"/>
        <v/>
      </c>
      <c r="U124" s="6" t="str">
        <f t="shared" si="35"/>
        <v/>
      </c>
      <c r="V124" s="10" t="str">
        <f t="shared" si="36"/>
        <v/>
      </c>
      <c r="W124" s="8" t="str">
        <f t="shared" si="37"/>
        <v/>
      </c>
      <c r="X124" s="9">
        <f t="shared" si="44"/>
        <v>0</v>
      </c>
      <c r="Y124" s="9">
        <f t="shared" si="46"/>
        <v>0</v>
      </c>
    </row>
    <row r="125" spans="2:25" x14ac:dyDescent="0.3">
      <c r="B125" s="6">
        <v>88</v>
      </c>
      <c r="C125" s="79" t="str">
        <f t="shared" si="45"/>
        <v/>
      </c>
      <c r="D125" s="6" t="str">
        <f t="shared" si="26"/>
        <v/>
      </c>
      <c r="E125" s="79" t="str">
        <f t="shared" si="38"/>
        <v/>
      </c>
      <c r="F125" s="79" t="str">
        <f>IF(B124&gt;$C$18,"",IF(COUNTIF(Feriados!$A$2:$B$17,EDATE($C$38,B124))=0,EDATE($C$38,B124),EDATE($C$38,B124)+VLOOKUP(EDATE($C$38,B124),Feriados!$A$2:$B$17,2,FALSE)))</f>
        <v/>
      </c>
      <c r="G125" s="6" t="str">
        <f t="shared" si="39"/>
        <v/>
      </c>
      <c r="H125" s="6" t="str">
        <f t="shared" si="40"/>
        <v/>
      </c>
      <c r="I125" s="8" t="str">
        <f t="shared" si="41"/>
        <v/>
      </c>
      <c r="J125" s="8" t="str">
        <f t="shared" si="27"/>
        <v/>
      </c>
      <c r="K125" s="9" t="str">
        <f t="shared" si="28"/>
        <v/>
      </c>
      <c r="L125" s="9" t="str">
        <f t="shared" si="42"/>
        <v/>
      </c>
      <c r="M125" s="10" t="str">
        <f t="shared" si="29"/>
        <v/>
      </c>
      <c r="N125" s="6" t="str">
        <f t="shared" si="30"/>
        <v/>
      </c>
      <c r="O125" s="9" t="str">
        <f t="shared" si="31"/>
        <v/>
      </c>
      <c r="P125" s="9" t="str">
        <f t="shared" si="32"/>
        <v/>
      </c>
      <c r="Q125" s="9" t="str">
        <f t="shared" si="33"/>
        <v/>
      </c>
      <c r="R125" s="9" t="str">
        <f t="shared" ca="1" si="34"/>
        <v/>
      </c>
      <c r="T125" s="6" t="str">
        <f t="shared" si="43"/>
        <v/>
      </c>
      <c r="U125" s="6" t="str">
        <f t="shared" si="35"/>
        <v/>
      </c>
      <c r="V125" s="10" t="str">
        <f t="shared" si="36"/>
        <v/>
      </c>
      <c r="W125" s="8" t="str">
        <f t="shared" si="37"/>
        <v/>
      </c>
      <c r="X125" s="9">
        <f t="shared" si="44"/>
        <v>0</v>
      </c>
      <c r="Y125" s="9">
        <f t="shared" si="46"/>
        <v>0</v>
      </c>
    </row>
    <row r="126" spans="2:25" x14ac:dyDescent="0.3">
      <c r="B126" s="6">
        <v>89</v>
      </c>
      <c r="C126" s="79" t="str">
        <f t="shared" si="45"/>
        <v/>
      </c>
      <c r="D126" s="6" t="str">
        <f t="shared" si="26"/>
        <v/>
      </c>
      <c r="E126" s="79" t="str">
        <f t="shared" si="38"/>
        <v/>
      </c>
      <c r="F126" s="79" t="str">
        <f>IF(B125&gt;$C$18,"",IF(COUNTIF(Feriados!$A$2:$B$17,EDATE($C$38,B125))=0,EDATE($C$38,B125),EDATE($C$38,B125)+VLOOKUP(EDATE($C$38,B125),Feriados!$A$2:$B$17,2,FALSE)))</f>
        <v/>
      </c>
      <c r="G126" s="6" t="str">
        <f t="shared" si="39"/>
        <v/>
      </c>
      <c r="H126" s="6" t="str">
        <f t="shared" si="40"/>
        <v/>
      </c>
      <c r="I126" s="8" t="str">
        <f t="shared" si="41"/>
        <v/>
      </c>
      <c r="J126" s="8" t="str">
        <f t="shared" si="27"/>
        <v/>
      </c>
      <c r="K126" s="9" t="str">
        <f t="shared" si="28"/>
        <v/>
      </c>
      <c r="L126" s="9" t="str">
        <f t="shared" si="42"/>
        <v/>
      </c>
      <c r="M126" s="10" t="str">
        <f t="shared" si="29"/>
        <v/>
      </c>
      <c r="N126" s="6" t="str">
        <f t="shared" si="30"/>
        <v/>
      </c>
      <c r="O126" s="9" t="str">
        <f t="shared" si="31"/>
        <v/>
      </c>
      <c r="P126" s="9" t="str">
        <f t="shared" si="32"/>
        <v/>
      </c>
      <c r="Q126" s="9" t="str">
        <f t="shared" si="33"/>
        <v/>
      </c>
      <c r="R126" s="9" t="str">
        <f t="shared" ca="1" si="34"/>
        <v/>
      </c>
      <c r="T126" s="6" t="str">
        <f t="shared" si="43"/>
        <v/>
      </c>
      <c r="U126" s="6" t="str">
        <f t="shared" si="35"/>
        <v/>
      </c>
      <c r="V126" s="10" t="str">
        <f t="shared" si="36"/>
        <v/>
      </c>
      <c r="W126" s="8" t="str">
        <f t="shared" si="37"/>
        <v/>
      </c>
      <c r="X126" s="9">
        <f t="shared" si="44"/>
        <v>0</v>
      </c>
      <c r="Y126" s="9">
        <f t="shared" si="46"/>
        <v>0</v>
      </c>
    </row>
    <row r="127" spans="2:25" x14ac:dyDescent="0.3">
      <c r="B127" s="6">
        <v>90</v>
      </c>
      <c r="C127" s="79" t="str">
        <f t="shared" si="45"/>
        <v/>
      </c>
      <c r="D127" s="6" t="str">
        <f t="shared" si="26"/>
        <v/>
      </c>
      <c r="E127" s="79" t="str">
        <f t="shared" si="38"/>
        <v/>
      </c>
      <c r="F127" s="79" t="str">
        <f>IF(B126&gt;$C$18,"",IF(COUNTIF(Feriados!$A$2:$B$17,EDATE($C$38,B126))=0,EDATE($C$38,B126),EDATE($C$38,B126)+VLOOKUP(EDATE($C$38,B126),Feriados!$A$2:$B$17,2,FALSE)))</f>
        <v/>
      </c>
      <c r="G127" s="6" t="str">
        <f t="shared" si="39"/>
        <v/>
      </c>
      <c r="H127" s="6" t="str">
        <f t="shared" si="40"/>
        <v/>
      </c>
      <c r="I127" s="8" t="str">
        <f t="shared" si="41"/>
        <v/>
      </c>
      <c r="J127" s="8" t="str">
        <f t="shared" si="27"/>
        <v/>
      </c>
      <c r="K127" s="9" t="str">
        <f t="shared" si="28"/>
        <v/>
      </c>
      <c r="L127" s="9" t="str">
        <f t="shared" si="42"/>
        <v/>
      </c>
      <c r="M127" s="10" t="str">
        <f t="shared" si="29"/>
        <v/>
      </c>
      <c r="N127" s="6" t="str">
        <f t="shared" si="30"/>
        <v/>
      </c>
      <c r="O127" s="9" t="str">
        <f t="shared" si="31"/>
        <v/>
      </c>
      <c r="P127" s="9" t="str">
        <f t="shared" si="32"/>
        <v/>
      </c>
      <c r="Q127" s="9" t="str">
        <f t="shared" si="33"/>
        <v/>
      </c>
      <c r="R127" s="9" t="str">
        <f t="shared" ca="1" si="34"/>
        <v/>
      </c>
      <c r="T127" s="6" t="str">
        <f t="shared" si="43"/>
        <v/>
      </c>
      <c r="U127" s="6" t="str">
        <f t="shared" si="35"/>
        <v/>
      </c>
      <c r="V127" s="10" t="str">
        <f t="shared" si="36"/>
        <v/>
      </c>
      <c r="W127" s="8" t="str">
        <f t="shared" si="37"/>
        <v/>
      </c>
      <c r="X127" s="9">
        <f t="shared" si="44"/>
        <v>0</v>
      </c>
      <c r="Y127" s="9">
        <f t="shared" si="46"/>
        <v>0</v>
      </c>
    </row>
    <row r="128" spans="2:25" x14ac:dyDescent="0.3">
      <c r="B128" s="6">
        <v>91</v>
      </c>
      <c r="C128" s="79" t="str">
        <f t="shared" si="45"/>
        <v/>
      </c>
      <c r="D128" s="6" t="str">
        <f t="shared" si="26"/>
        <v/>
      </c>
      <c r="E128" s="79" t="str">
        <f t="shared" si="38"/>
        <v/>
      </c>
      <c r="F128" s="79" t="str">
        <f>IF(B127&gt;$C$18,"",IF(COUNTIF(Feriados!$A$2:$B$17,EDATE($C$38,B127))=0,EDATE($C$38,B127),EDATE($C$38,B127)+VLOOKUP(EDATE($C$38,B127),Feriados!$A$2:$B$17,2,FALSE)))</f>
        <v/>
      </c>
      <c r="G128" s="6" t="str">
        <f t="shared" si="39"/>
        <v/>
      </c>
      <c r="H128" s="6" t="str">
        <f t="shared" si="40"/>
        <v/>
      </c>
      <c r="I128" s="8" t="str">
        <f t="shared" si="41"/>
        <v/>
      </c>
      <c r="J128" s="8" t="str">
        <f t="shared" si="27"/>
        <v/>
      </c>
      <c r="K128" s="9" t="str">
        <f t="shared" si="28"/>
        <v/>
      </c>
      <c r="L128" s="9" t="str">
        <f t="shared" si="42"/>
        <v/>
      </c>
      <c r="M128" s="10" t="str">
        <f t="shared" si="29"/>
        <v/>
      </c>
      <c r="N128" s="6" t="str">
        <f t="shared" si="30"/>
        <v/>
      </c>
      <c r="O128" s="9" t="str">
        <f t="shared" si="31"/>
        <v/>
      </c>
      <c r="P128" s="9" t="str">
        <f t="shared" si="32"/>
        <v/>
      </c>
      <c r="Q128" s="9" t="str">
        <f t="shared" si="33"/>
        <v/>
      </c>
      <c r="R128" s="9" t="str">
        <f t="shared" ca="1" si="34"/>
        <v/>
      </c>
      <c r="T128" s="6" t="str">
        <f t="shared" si="43"/>
        <v/>
      </c>
      <c r="U128" s="6" t="str">
        <f t="shared" si="35"/>
        <v/>
      </c>
      <c r="V128" s="10" t="str">
        <f t="shared" si="36"/>
        <v/>
      </c>
      <c r="W128" s="8" t="str">
        <f t="shared" si="37"/>
        <v/>
      </c>
      <c r="X128" s="9">
        <f t="shared" si="44"/>
        <v>0</v>
      </c>
      <c r="Y128" s="9">
        <f t="shared" si="46"/>
        <v>0</v>
      </c>
    </row>
    <row r="129" spans="2:25" x14ac:dyDescent="0.3">
      <c r="B129" s="6">
        <v>92</v>
      </c>
      <c r="C129" s="79" t="str">
        <f t="shared" si="45"/>
        <v/>
      </c>
      <c r="D129" s="6" t="str">
        <f t="shared" si="26"/>
        <v/>
      </c>
      <c r="E129" s="79" t="str">
        <f t="shared" si="38"/>
        <v/>
      </c>
      <c r="F129" s="79" t="str">
        <f>IF(B128&gt;$C$18,"",IF(COUNTIF(Feriados!$A$2:$B$17,EDATE($C$38,B128))=0,EDATE($C$38,B128),EDATE($C$38,B128)+VLOOKUP(EDATE($C$38,B128),Feriados!$A$2:$B$17,2,FALSE)))</f>
        <v/>
      </c>
      <c r="G129" s="6" t="str">
        <f t="shared" si="39"/>
        <v/>
      </c>
      <c r="H129" s="6" t="str">
        <f t="shared" si="40"/>
        <v/>
      </c>
      <c r="I129" s="8" t="str">
        <f t="shared" si="41"/>
        <v/>
      </c>
      <c r="J129" s="8" t="str">
        <f t="shared" si="27"/>
        <v/>
      </c>
      <c r="K129" s="9" t="str">
        <f t="shared" si="28"/>
        <v/>
      </c>
      <c r="L129" s="9" t="str">
        <f t="shared" si="42"/>
        <v/>
      </c>
      <c r="M129" s="10" t="str">
        <f t="shared" si="29"/>
        <v/>
      </c>
      <c r="N129" s="6" t="str">
        <f t="shared" si="30"/>
        <v/>
      </c>
      <c r="O129" s="9" t="str">
        <f t="shared" si="31"/>
        <v/>
      </c>
      <c r="P129" s="9" t="str">
        <f t="shared" si="32"/>
        <v/>
      </c>
      <c r="Q129" s="9" t="str">
        <f t="shared" si="33"/>
        <v/>
      </c>
      <c r="R129" s="9" t="str">
        <f t="shared" ca="1" si="34"/>
        <v/>
      </c>
      <c r="T129" s="6" t="str">
        <f t="shared" si="43"/>
        <v/>
      </c>
      <c r="U129" s="6" t="str">
        <f t="shared" si="35"/>
        <v/>
      </c>
      <c r="V129" s="10" t="str">
        <f t="shared" si="36"/>
        <v/>
      </c>
      <c r="W129" s="8" t="str">
        <f t="shared" si="37"/>
        <v/>
      </c>
      <c r="X129" s="9">
        <f t="shared" si="44"/>
        <v>0</v>
      </c>
      <c r="Y129" s="9">
        <f t="shared" si="46"/>
        <v>0</v>
      </c>
    </row>
    <row r="130" spans="2:25" x14ac:dyDescent="0.3">
      <c r="B130" s="6">
        <v>93</v>
      </c>
      <c r="C130" s="79" t="str">
        <f t="shared" si="45"/>
        <v/>
      </c>
      <c r="D130" s="6" t="str">
        <f t="shared" si="26"/>
        <v/>
      </c>
      <c r="E130" s="79" t="str">
        <f t="shared" si="38"/>
        <v/>
      </c>
      <c r="F130" s="79" t="str">
        <f>IF(B129&gt;$C$18,"",IF(COUNTIF(Feriados!$A$2:$B$17,EDATE($C$38,B129))=0,EDATE($C$38,B129),EDATE($C$38,B129)+VLOOKUP(EDATE($C$38,B129),Feriados!$A$2:$B$17,2,FALSE)))</f>
        <v/>
      </c>
      <c r="G130" s="6" t="str">
        <f t="shared" si="39"/>
        <v/>
      </c>
      <c r="H130" s="6" t="str">
        <f t="shared" si="40"/>
        <v/>
      </c>
      <c r="I130" s="8" t="str">
        <f t="shared" si="41"/>
        <v/>
      </c>
      <c r="J130" s="8" t="str">
        <f t="shared" si="27"/>
        <v/>
      </c>
      <c r="K130" s="9" t="str">
        <f t="shared" si="28"/>
        <v/>
      </c>
      <c r="L130" s="9" t="str">
        <f t="shared" si="42"/>
        <v/>
      </c>
      <c r="M130" s="10" t="str">
        <f t="shared" si="29"/>
        <v/>
      </c>
      <c r="N130" s="6" t="str">
        <f t="shared" si="30"/>
        <v/>
      </c>
      <c r="O130" s="9" t="str">
        <f t="shared" si="31"/>
        <v/>
      </c>
      <c r="P130" s="9" t="str">
        <f t="shared" si="32"/>
        <v/>
      </c>
      <c r="Q130" s="9" t="str">
        <f t="shared" si="33"/>
        <v/>
      </c>
      <c r="R130" s="9" t="str">
        <f t="shared" ca="1" si="34"/>
        <v/>
      </c>
      <c r="T130" s="6" t="str">
        <f t="shared" si="43"/>
        <v/>
      </c>
      <c r="U130" s="6" t="str">
        <f t="shared" si="35"/>
        <v/>
      </c>
      <c r="V130" s="10" t="str">
        <f t="shared" si="36"/>
        <v/>
      </c>
      <c r="W130" s="8" t="str">
        <f t="shared" si="37"/>
        <v/>
      </c>
      <c r="X130" s="9">
        <f t="shared" si="44"/>
        <v>0</v>
      </c>
      <c r="Y130" s="9">
        <f t="shared" si="46"/>
        <v>0</v>
      </c>
    </row>
    <row r="131" spans="2:25" x14ac:dyDescent="0.3">
      <c r="B131" s="6">
        <v>94</v>
      </c>
      <c r="C131" s="79" t="str">
        <f t="shared" si="45"/>
        <v/>
      </c>
      <c r="D131" s="6" t="str">
        <f t="shared" si="26"/>
        <v/>
      </c>
      <c r="E131" s="79" t="str">
        <f t="shared" si="38"/>
        <v/>
      </c>
      <c r="F131" s="79" t="str">
        <f>IF(B130&gt;$C$18,"",IF(COUNTIF(Feriados!$A$2:$B$17,EDATE($C$38,B130))=0,EDATE($C$38,B130),EDATE($C$38,B130)+VLOOKUP(EDATE($C$38,B130),Feriados!$A$2:$B$17,2,FALSE)))</f>
        <v/>
      </c>
      <c r="G131" s="6" t="str">
        <f t="shared" si="39"/>
        <v/>
      </c>
      <c r="H131" s="6" t="str">
        <f t="shared" si="40"/>
        <v/>
      </c>
      <c r="I131" s="8" t="str">
        <f t="shared" si="41"/>
        <v/>
      </c>
      <c r="J131" s="8" t="str">
        <f t="shared" si="27"/>
        <v/>
      </c>
      <c r="K131" s="9" t="str">
        <f t="shared" si="28"/>
        <v/>
      </c>
      <c r="L131" s="9" t="str">
        <f t="shared" si="42"/>
        <v/>
      </c>
      <c r="M131" s="10" t="str">
        <f t="shared" si="29"/>
        <v/>
      </c>
      <c r="N131" s="6" t="str">
        <f t="shared" si="30"/>
        <v/>
      </c>
      <c r="O131" s="9" t="str">
        <f t="shared" si="31"/>
        <v/>
      </c>
      <c r="P131" s="9" t="str">
        <f t="shared" si="32"/>
        <v/>
      </c>
      <c r="Q131" s="9" t="str">
        <f t="shared" si="33"/>
        <v/>
      </c>
      <c r="R131" s="9" t="str">
        <f t="shared" ca="1" si="34"/>
        <v/>
      </c>
      <c r="T131" s="6" t="str">
        <f t="shared" si="43"/>
        <v/>
      </c>
      <c r="U131" s="6" t="str">
        <f t="shared" si="35"/>
        <v/>
      </c>
      <c r="V131" s="10" t="str">
        <f t="shared" si="36"/>
        <v/>
      </c>
      <c r="W131" s="8" t="str">
        <f t="shared" si="37"/>
        <v/>
      </c>
      <c r="X131" s="9">
        <f t="shared" si="44"/>
        <v>0</v>
      </c>
      <c r="Y131" s="9">
        <f t="shared" si="46"/>
        <v>0</v>
      </c>
    </row>
    <row r="132" spans="2:25" x14ac:dyDescent="0.3">
      <c r="B132" s="6">
        <v>95</v>
      </c>
      <c r="C132" s="79" t="str">
        <f t="shared" si="45"/>
        <v/>
      </c>
      <c r="D132" s="6" t="str">
        <f t="shared" si="26"/>
        <v/>
      </c>
      <c r="E132" s="79" t="str">
        <f t="shared" si="38"/>
        <v/>
      </c>
      <c r="F132" s="79" t="str">
        <f>IF(B131&gt;$C$18,"",IF(COUNTIF(Feriados!$A$2:$B$17,EDATE($C$38,B131))=0,EDATE($C$38,B131),EDATE($C$38,B131)+VLOOKUP(EDATE($C$38,B131),Feriados!$A$2:$B$17,2,FALSE)))</f>
        <v/>
      </c>
      <c r="G132" s="6" t="str">
        <f t="shared" si="39"/>
        <v/>
      </c>
      <c r="H132" s="6" t="str">
        <f t="shared" si="40"/>
        <v/>
      </c>
      <c r="I132" s="8" t="str">
        <f t="shared" si="41"/>
        <v/>
      </c>
      <c r="J132" s="8" t="str">
        <f t="shared" si="27"/>
        <v/>
      </c>
      <c r="K132" s="9" t="str">
        <f t="shared" si="28"/>
        <v/>
      </c>
      <c r="L132" s="9" t="str">
        <f t="shared" si="42"/>
        <v/>
      </c>
      <c r="M132" s="10" t="str">
        <f t="shared" si="29"/>
        <v/>
      </c>
      <c r="N132" s="6" t="str">
        <f t="shared" si="30"/>
        <v/>
      </c>
      <c r="O132" s="9" t="str">
        <f t="shared" si="31"/>
        <v/>
      </c>
      <c r="P132" s="9" t="str">
        <f t="shared" si="32"/>
        <v/>
      </c>
      <c r="Q132" s="9" t="str">
        <f t="shared" si="33"/>
        <v/>
      </c>
      <c r="R132" s="9" t="str">
        <f t="shared" ca="1" si="34"/>
        <v/>
      </c>
      <c r="T132" s="6" t="str">
        <f t="shared" si="43"/>
        <v/>
      </c>
      <c r="U132" s="6" t="str">
        <f t="shared" si="35"/>
        <v/>
      </c>
      <c r="V132" s="10" t="str">
        <f t="shared" si="36"/>
        <v/>
      </c>
      <c r="W132" s="8" t="str">
        <f t="shared" si="37"/>
        <v/>
      </c>
      <c r="X132" s="9">
        <f t="shared" si="44"/>
        <v>0</v>
      </c>
      <c r="Y132" s="9">
        <f t="shared" si="46"/>
        <v>0</v>
      </c>
    </row>
    <row r="133" spans="2:25" x14ac:dyDescent="0.3">
      <c r="B133" s="6">
        <v>96</v>
      </c>
      <c r="C133" s="79" t="str">
        <f t="shared" si="45"/>
        <v/>
      </c>
      <c r="D133" s="6" t="str">
        <f t="shared" si="26"/>
        <v/>
      </c>
      <c r="E133" s="79" t="str">
        <f t="shared" si="38"/>
        <v/>
      </c>
      <c r="F133" s="79" t="str">
        <f>IF(B132&gt;$C$18,"",IF(COUNTIF(Feriados!$A$2:$B$17,EDATE($C$38,B132))=0,EDATE($C$38,B132),EDATE($C$38,B132)+VLOOKUP(EDATE($C$38,B132),Feriados!$A$2:$B$17,2,FALSE)))</f>
        <v/>
      </c>
      <c r="G133" s="6" t="str">
        <f t="shared" si="39"/>
        <v/>
      </c>
      <c r="H133" s="6" t="str">
        <f t="shared" si="40"/>
        <v/>
      </c>
      <c r="I133" s="8" t="str">
        <f t="shared" si="41"/>
        <v/>
      </c>
      <c r="J133" s="8" t="str">
        <f t="shared" si="27"/>
        <v/>
      </c>
      <c r="K133" s="9" t="str">
        <f t="shared" si="28"/>
        <v/>
      </c>
      <c r="L133" s="9" t="str">
        <f t="shared" si="42"/>
        <v/>
      </c>
      <c r="M133" s="10" t="str">
        <f t="shared" si="29"/>
        <v/>
      </c>
      <c r="N133" s="6" t="str">
        <f t="shared" si="30"/>
        <v/>
      </c>
      <c r="O133" s="9" t="str">
        <f t="shared" si="31"/>
        <v/>
      </c>
      <c r="P133" s="9" t="str">
        <f t="shared" si="32"/>
        <v/>
      </c>
      <c r="Q133" s="9" t="str">
        <f t="shared" si="33"/>
        <v/>
      </c>
      <c r="R133" s="9" t="str">
        <f t="shared" ca="1" si="34"/>
        <v/>
      </c>
      <c r="T133" s="6" t="str">
        <f t="shared" si="43"/>
        <v/>
      </c>
      <c r="U133" s="6" t="str">
        <f t="shared" si="35"/>
        <v/>
      </c>
      <c r="V133" s="10" t="str">
        <f t="shared" si="36"/>
        <v/>
      </c>
      <c r="W133" s="8" t="str">
        <f t="shared" si="37"/>
        <v/>
      </c>
      <c r="X133" s="9">
        <f t="shared" si="44"/>
        <v>0</v>
      </c>
      <c r="Y133" s="9">
        <f t="shared" si="46"/>
        <v>0</v>
      </c>
    </row>
    <row r="134" spans="2:25" x14ac:dyDescent="0.3">
      <c r="B134" s="6">
        <v>97</v>
      </c>
      <c r="C134" s="79" t="str">
        <f t="shared" si="45"/>
        <v/>
      </c>
      <c r="D134" s="6" t="str">
        <f t="shared" si="26"/>
        <v/>
      </c>
      <c r="E134" s="79" t="str">
        <f t="shared" si="38"/>
        <v/>
      </c>
      <c r="F134" s="79" t="str">
        <f>IF(B133&gt;$C$18,"",IF(COUNTIF(Feriados!$A$2:$B$17,EDATE($C$38,B133))=0,EDATE($C$38,B133),EDATE($C$38,B133)+VLOOKUP(EDATE($C$38,B133),Feriados!$A$2:$B$17,2,FALSE)))</f>
        <v/>
      </c>
      <c r="G134" s="6" t="str">
        <f t="shared" si="39"/>
        <v/>
      </c>
      <c r="H134" s="6" t="str">
        <f t="shared" si="40"/>
        <v/>
      </c>
      <c r="I134" s="8" t="str">
        <f t="shared" si="41"/>
        <v/>
      </c>
      <c r="J134" s="8" t="str">
        <f t="shared" si="27"/>
        <v/>
      </c>
      <c r="K134" s="9" t="str">
        <f t="shared" si="28"/>
        <v/>
      </c>
      <c r="L134" s="9" t="str">
        <f t="shared" si="42"/>
        <v/>
      </c>
      <c r="M134" s="10" t="str">
        <f t="shared" si="29"/>
        <v/>
      </c>
      <c r="N134" s="6" t="str">
        <f t="shared" si="30"/>
        <v/>
      </c>
      <c r="O134" s="9" t="str">
        <f t="shared" si="31"/>
        <v/>
      </c>
      <c r="P134" s="9" t="str">
        <f t="shared" si="32"/>
        <v/>
      </c>
      <c r="Q134" s="9" t="str">
        <f t="shared" si="33"/>
        <v/>
      </c>
      <c r="R134" s="9" t="str">
        <f t="shared" ca="1" si="34"/>
        <v/>
      </c>
      <c r="T134" s="6" t="str">
        <f t="shared" si="43"/>
        <v/>
      </c>
      <c r="U134" s="6" t="str">
        <f t="shared" si="35"/>
        <v/>
      </c>
      <c r="V134" s="10" t="str">
        <f t="shared" si="36"/>
        <v/>
      </c>
      <c r="W134" s="8" t="str">
        <f t="shared" si="37"/>
        <v/>
      </c>
      <c r="X134" s="9">
        <f t="shared" si="44"/>
        <v>0</v>
      </c>
      <c r="Y134" s="9">
        <f t="shared" si="46"/>
        <v>0</v>
      </c>
    </row>
    <row r="135" spans="2:25" x14ac:dyDescent="0.3">
      <c r="B135" s="6">
        <v>98</v>
      </c>
      <c r="C135" s="79" t="str">
        <f t="shared" si="45"/>
        <v/>
      </c>
      <c r="D135" s="6" t="str">
        <f t="shared" si="26"/>
        <v/>
      </c>
      <c r="E135" s="79" t="str">
        <f t="shared" si="38"/>
        <v/>
      </c>
      <c r="F135" s="79" t="str">
        <f>IF(B134&gt;$C$18,"",IF(COUNTIF(Feriados!$A$2:$B$17,EDATE($C$38,B134))=0,EDATE($C$38,B134),EDATE($C$38,B134)+VLOOKUP(EDATE($C$38,B134),Feriados!$A$2:$B$17,2,FALSE)))</f>
        <v/>
      </c>
      <c r="G135" s="6" t="str">
        <f t="shared" si="39"/>
        <v/>
      </c>
      <c r="H135" s="6" t="str">
        <f t="shared" si="40"/>
        <v/>
      </c>
      <c r="I135" s="8" t="str">
        <f t="shared" si="41"/>
        <v/>
      </c>
      <c r="J135" s="8" t="str">
        <f t="shared" si="27"/>
        <v/>
      </c>
      <c r="K135" s="9" t="str">
        <f t="shared" si="28"/>
        <v/>
      </c>
      <c r="L135" s="9" t="str">
        <f t="shared" si="42"/>
        <v/>
      </c>
      <c r="M135" s="10" t="str">
        <f t="shared" si="29"/>
        <v/>
      </c>
      <c r="N135" s="6" t="str">
        <f t="shared" si="30"/>
        <v/>
      </c>
      <c r="O135" s="9" t="str">
        <f t="shared" si="31"/>
        <v/>
      </c>
      <c r="P135" s="9" t="str">
        <f t="shared" si="32"/>
        <v/>
      </c>
      <c r="Q135" s="9" t="str">
        <f t="shared" si="33"/>
        <v/>
      </c>
      <c r="R135" s="9" t="str">
        <f t="shared" ca="1" si="34"/>
        <v/>
      </c>
      <c r="T135" s="6" t="str">
        <f t="shared" si="43"/>
        <v/>
      </c>
      <c r="U135" s="6" t="str">
        <f t="shared" si="35"/>
        <v/>
      </c>
      <c r="V135" s="10" t="str">
        <f t="shared" si="36"/>
        <v/>
      </c>
      <c r="W135" s="8" t="str">
        <f t="shared" si="37"/>
        <v/>
      </c>
      <c r="X135" s="9">
        <f t="shared" si="44"/>
        <v>0</v>
      </c>
      <c r="Y135" s="9">
        <f t="shared" si="46"/>
        <v>0</v>
      </c>
    </row>
    <row r="136" spans="2:25" x14ac:dyDescent="0.3">
      <c r="B136" s="6">
        <v>99</v>
      </c>
      <c r="C136" s="79" t="str">
        <f t="shared" si="45"/>
        <v/>
      </c>
      <c r="D136" s="6" t="str">
        <f t="shared" si="26"/>
        <v/>
      </c>
      <c r="E136" s="79" t="str">
        <f t="shared" si="38"/>
        <v/>
      </c>
      <c r="F136" s="79" t="str">
        <f>IF(B135&gt;$C$18,"",IF(COUNTIF(Feriados!$A$2:$B$17,EDATE($C$38,B135))=0,EDATE($C$38,B135),EDATE($C$38,B135)+VLOOKUP(EDATE($C$38,B135),Feriados!$A$2:$B$17,2,FALSE)))</f>
        <v/>
      </c>
      <c r="G136" s="6" t="str">
        <f t="shared" si="39"/>
        <v/>
      </c>
      <c r="H136" s="6" t="str">
        <f t="shared" si="40"/>
        <v/>
      </c>
      <c r="I136" s="8" t="str">
        <f t="shared" si="41"/>
        <v/>
      </c>
      <c r="J136" s="8" t="str">
        <f t="shared" si="27"/>
        <v/>
      </c>
      <c r="K136" s="9" t="str">
        <f t="shared" si="28"/>
        <v/>
      </c>
      <c r="L136" s="9" t="str">
        <f t="shared" si="42"/>
        <v/>
      </c>
      <c r="M136" s="10" t="str">
        <f t="shared" si="29"/>
        <v/>
      </c>
      <c r="N136" s="6" t="str">
        <f t="shared" si="30"/>
        <v/>
      </c>
      <c r="O136" s="9" t="str">
        <f t="shared" si="31"/>
        <v/>
      </c>
      <c r="P136" s="9" t="str">
        <f t="shared" si="32"/>
        <v/>
      </c>
      <c r="Q136" s="9" t="str">
        <f t="shared" si="33"/>
        <v/>
      </c>
      <c r="R136" s="9" t="str">
        <f t="shared" ca="1" si="34"/>
        <v/>
      </c>
      <c r="T136" s="6" t="str">
        <f t="shared" si="43"/>
        <v/>
      </c>
      <c r="U136" s="6" t="str">
        <f t="shared" si="35"/>
        <v/>
      </c>
      <c r="V136" s="10" t="str">
        <f t="shared" si="36"/>
        <v/>
      </c>
      <c r="W136" s="8" t="str">
        <f t="shared" si="37"/>
        <v/>
      </c>
      <c r="X136" s="9">
        <f t="shared" si="44"/>
        <v>0</v>
      </c>
      <c r="Y136" s="9">
        <f t="shared" si="46"/>
        <v>0</v>
      </c>
    </row>
    <row r="137" spans="2:25" x14ac:dyDescent="0.3">
      <c r="B137" s="6">
        <v>100</v>
      </c>
      <c r="C137" s="79" t="str">
        <f t="shared" si="45"/>
        <v/>
      </c>
      <c r="D137" s="6" t="str">
        <f t="shared" si="26"/>
        <v/>
      </c>
      <c r="E137" s="79" t="str">
        <f t="shared" si="38"/>
        <v/>
      </c>
      <c r="F137" s="79" t="str">
        <f>IF(B136&gt;$C$18,"",IF(COUNTIF(Feriados!$A$2:$B$17,EDATE($C$38,B136))=0,EDATE($C$38,B136),EDATE($C$38,B136)+VLOOKUP(EDATE($C$38,B136),Feriados!$A$2:$B$17,2,FALSE)))</f>
        <v/>
      </c>
      <c r="G137" s="6" t="str">
        <f t="shared" si="39"/>
        <v/>
      </c>
      <c r="H137" s="6" t="str">
        <f t="shared" si="40"/>
        <v/>
      </c>
      <c r="I137" s="8" t="str">
        <f t="shared" si="41"/>
        <v/>
      </c>
      <c r="J137" s="8" t="str">
        <f t="shared" si="27"/>
        <v/>
      </c>
      <c r="K137" s="9" t="str">
        <f t="shared" si="28"/>
        <v/>
      </c>
      <c r="L137" s="9" t="str">
        <f t="shared" si="42"/>
        <v/>
      </c>
      <c r="M137" s="10" t="str">
        <f t="shared" si="29"/>
        <v/>
      </c>
      <c r="N137" s="6" t="str">
        <f t="shared" si="30"/>
        <v/>
      </c>
      <c r="O137" s="9" t="str">
        <f t="shared" si="31"/>
        <v/>
      </c>
      <c r="P137" s="9" t="str">
        <f t="shared" si="32"/>
        <v/>
      </c>
      <c r="Q137" s="9" t="str">
        <f t="shared" si="33"/>
        <v/>
      </c>
      <c r="R137" s="9" t="str">
        <f t="shared" ca="1" si="34"/>
        <v/>
      </c>
      <c r="T137" s="6" t="str">
        <f t="shared" si="43"/>
        <v/>
      </c>
      <c r="U137" s="6" t="str">
        <f t="shared" si="35"/>
        <v/>
      </c>
      <c r="V137" s="10" t="str">
        <f t="shared" si="36"/>
        <v/>
      </c>
      <c r="W137" s="8" t="str">
        <f t="shared" si="37"/>
        <v/>
      </c>
      <c r="X137" s="9">
        <f t="shared" si="44"/>
        <v>0</v>
      </c>
      <c r="Y137" s="9">
        <f t="shared" si="46"/>
        <v>0</v>
      </c>
    </row>
    <row r="138" spans="2:25" x14ac:dyDescent="0.3">
      <c r="B138" s="6">
        <v>101</v>
      </c>
      <c r="C138" s="79" t="str">
        <f t="shared" si="45"/>
        <v/>
      </c>
      <c r="D138" s="6" t="str">
        <f t="shared" si="26"/>
        <v/>
      </c>
      <c r="E138" s="79" t="str">
        <f t="shared" si="38"/>
        <v/>
      </c>
      <c r="F138" s="79" t="str">
        <f>IF(B137&gt;$C$18,"",IF(COUNTIF(Feriados!$A$2:$B$17,EDATE($C$38,B137))=0,EDATE($C$38,B137),EDATE($C$38,B137)+VLOOKUP(EDATE($C$38,B137),Feriados!$A$2:$B$17,2,FALSE)))</f>
        <v/>
      </c>
      <c r="G138" s="6" t="str">
        <f t="shared" si="39"/>
        <v/>
      </c>
      <c r="H138" s="6" t="str">
        <f t="shared" si="40"/>
        <v/>
      </c>
      <c r="I138" s="8" t="str">
        <f t="shared" si="41"/>
        <v/>
      </c>
      <c r="J138" s="8" t="str">
        <f t="shared" si="27"/>
        <v/>
      </c>
      <c r="K138" s="9" t="str">
        <f t="shared" si="28"/>
        <v/>
      </c>
      <c r="L138" s="9" t="str">
        <f t="shared" si="42"/>
        <v/>
      </c>
      <c r="M138" s="10" t="str">
        <f t="shared" si="29"/>
        <v/>
      </c>
      <c r="N138" s="6" t="str">
        <f t="shared" si="30"/>
        <v/>
      </c>
      <c r="O138" s="9" t="str">
        <f t="shared" si="31"/>
        <v/>
      </c>
      <c r="P138" s="9" t="str">
        <f t="shared" si="32"/>
        <v/>
      </c>
      <c r="Q138" s="9" t="str">
        <f t="shared" si="33"/>
        <v/>
      </c>
      <c r="R138" s="9" t="str">
        <f t="shared" ca="1" si="34"/>
        <v/>
      </c>
      <c r="T138" s="6" t="str">
        <f t="shared" si="43"/>
        <v/>
      </c>
      <c r="U138" s="6" t="str">
        <f t="shared" si="35"/>
        <v/>
      </c>
      <c r="V138" s="10" t="str">
        <f t="shared" si="36"/>
        <v/>
      </c>
      <c r="W138" s="8" t="str">
        <f t="shared" si="37"/>
        <v/>
      </c>
      <c r="X138" s="9">
        <f t="shared" si="44"/>
        <v>0</v>
      </c>
      <c r="Y138" s="9">
        <f t="shared" si="46"/>
        <v>0</v>
      </c>
    </row>
    <row r="139" spans="2:25" x14ac:dyDescent="0.3">
      <c r="B139" s="6">
        <v>102</v>
      </c>
      <c r="C139" s="79" t="str">
        <f t="shared" si="45"/>
        <v/>
      </c>
      <c r="D139" s="6" t="str">
        <f t="shared" si="26"/>
        <v/>
      </c>
      <c r="E139" s="79" t="str">
        <f t="shared" si="38"/>
        <v/>
      </c>
      <c r="F139" s="79" t="str">
        <f>IF(B138&gt;$C$18,"",IF(COUNTIF(Feriados!$A$2:$B$17,EDATE($C$38,B138))=0,EDATE($C$38,B138),EDATE($C$38,B138)+VLOOKUP(EDATE($C$38,B138),Feriados!$A$2:$B$17,2,FALSE)))</f>
        <v/>
      </c>
      <c r="G139" s="6" t="str">
        <f t="shared" si="39"/>
        <v/>
      </c>
      <c r="H139" s="6" t="str">
        <f t="shared" si="40"/>
        <v/>
      </c>
      <c r="I139" s="8" t="str">
        <f t="shared" si="41"/>
        <v/>
      </c>
      <c r="J139" s="8" t="str">
        <f t="shared" si="27"/>
        <v/>
      </c>
      <c r="K139" s="9" t="str">
        <f t="shared" si="28"/>
        <v/>
      </c>
      <c r="L139" s="9" t="str">
        <f t="shared" si="42"/>
        <v/>
      </c>
      <c r="M139" s="10" t="str">
        <f t="shared" si="29"/>
        <v/>
      </c>
      <c r="N139" s="6" t="str">
        <f t="shared" si="30"/>
        <v/>
      </c>
      <c r="O139" s="9" t="str">
        <f t="shared" si="31"/>
        <v/>
      </c>
      <c r="P139" s="9" t="str">
        <f t="shared" si="32"/>
        <v/>
      </c>
      <c r="Q139" s="9" t="str">
        <f t="shared" si="33"/>
        <v/>
      </c>
      <c r="R139" s="9" t="str">
        <f t="shared" ca="1" si="34"/>
        <v/>
      </c>
      <c r="T139" s="6" t="str">
        <f t="shared" si="43"/>
        <v/>
      </c>
      <c r="U139" s="6" t="str">
        <f t="shared" si="35"/>
        <v/>
      </c>
      <c r="V139" s="10" t="str">
        <f t="shared" si="36"/>
        <v/>
      </c>
      <c r="W139" s="8" t="str">
        <f t="shared" si="37"/>
        <v/>
      </c>
      <c r="X139" s="9">
        <f t="shared" si="44"/>
        <v>0</v>
      </c>
      <c r="Y139" s="9">
        <f t="shared" si="46"/>
        <v>0</v>
      </c>
    </row>
    <row r="140" spans="2:25" x14ac:dyDescent="0.3">
      <c r="B140" s="6">
        <v>103</v>
      </c>
      <c r="C140" s="79" t="str">
        <f t="shared" si="45"/>
        <v/>
      </c>
      <c r="D140" s="6" t="str">
        <f t="shared" si="26"/>
        <v/>
      </c>
      <c r="E140" s="79" t="str">
        <f t="shared" si="38"/>
        <v/>
      </c>
      <c r="F140" s="79" t="str">
        <f>IF(B139&gt;$C$18,"",IF(COUNTIF(Feriados!$A$2:$B$17,EDATE($C$38,B139))=0,EDATE($C$38,B139),EDATE($C$38,B139)+VLOOKUP(EDATE($C$38,B139),Feriados!$A$2:$B$17,2,FALSE)))</f>
        <v/>
      </c>
      <c r="G140" s="6" t="str">
        <f t="shared" si="39"/>
        <v/>
      </c>
      <c r="H140" s="6" t="str">
        <f t="shared" si="40"/>
        <v/>
      </c>
      <c r="I140" s="8" t="str">
        <f t="shared" si="41"/>
        <v/>
      </c>
      <c r="J140" s="8" t="str">
        <f t="shared" si="27"/>
        <v/>
      </c>
      <c r="K140" s="9" t="str">
        <f t="shared" si="28"/>
        <v/>
      </c>
      <c r="L140" s="9" t="str">
        <f t="shared" si="42"/>
        <v/>
      </c>
      <c r="M140" s="10" t="str">
        <f t="shared" si="29"/>
        <v/>
      </c>
      <c r="N140" s="6" t="str">
        <f t="shared" si="30"/>
        <v/>
      </c>
      <c r="O140" s="9" t="str">
        <f t="shared" si="31"/>
        <v/>
      </c>
      <c r="P140" s="9" t="str">
        <f t="shared" si="32"/>
        <v/>
      </c>
      <c r="Q140" s="9" t="str">
        <f t="shared" si="33"/>
        <v/>
      </c>
      <c r="R140" s="9" t="str">
        <f t="shared" ca="1" si="34"/>
        <v/>
      </c>
      <c r="T140" s="6" t="str">
        <f t="shared" si="43"/>
        <v/>
      </c>
      <c r="U140" s="6" t="str">
        <f t="shared" si="35"/>
        <v/>
      </c>
      <c r="V140" s="10" t="str">
        <f t="shared" si="36"/>
        <v/>
      </c>
      <c r="W140" s="8" t="str">
        <f t="shared" si="37"/>
        <v/>
      </c>
      <c r="X140" s="9">
        <f t="shared" si="44"/>
        <v>0</v>
      </c>
      <c r="Y140" s="9">
        <f t="shared" si="46"/>
        <v>0</v>
      </c>
    </row>
    <row r="141" spans="2:25" x14ac:dyDescent="0.3">
      <c r="B141" s="6">
        <v>104</v>
      </c>
      <c r="C141" s="79" t="str">
        <f t="shared" si="45"/>
        <v/>
      </c>
      <c r="D141" s="6" t="str">
        <f t="shared" si="26"/>
        <v/>
      </c>
      <c r="E141" s="79" t="str">
        <f t="shared" si="38"/>
        <v/>
      </c>
      <c r="F141" s="79" t="str">
        <f>IF(B140&gt;$C$18,"",IF(COUNTIF(Feriados!$A$2:$B$17,EDATE($C$38,B140))=0,EDATE($C$38,B140),EDATE($C$38,B140)+VLOOKUP(EDATE($C$38,B140),Feriados!$A$2:$B$17,2,FALSE)))</f>
        <v/>
      </c>
      <c r="G141" s="6" t="str">
        <f t="shared" si="39"/>
        <v/>
      </c>
      <c r="H141" s="6" t="str">
        <f t="shared" si="40"/>
        <v/>
      </c>
      <c r="I141" s="8" t="str">
        <f t="shared" si="41"/>
        <v/>
      </c>
      <c r="J141" s="8" t="str">
        <f t="shared" si="27"/>
        <v/>
      </c>
      <c r="K141" s="9" t="str">
        <f t="shared" si="28"/>
        <v/>
      </c>
      <c r="L141" s="9" t="str">
        <f t="shared" si="42"/>
        <v/>
      </c>
      <c r="M141" s="10" t="str">
        <f t="shared" si="29"/>
        <v/>
      </c>
      <c r="N141" s="6" t="str">
        <f t="shared" si="30"/>
        <v/>
      </c>
      <c r="O141" s="9" t="str">
        <f t="shared" si="31"/>
        <v/>
      </c>
      <c r="P141" s="9" t="str">
        <f t="shared" si="32"/>
        <v/>
      </c>
      <c r="Q141" s="9" t="str">
        <f t="shared" si="33"/>
        <v/>
      </c>
      <c r="R141" s="9" t="str">
        <f t="shared" ca="1" si="34"/>
        <v/>
      </c>
      <c r="T141" s="6" t="str">
        <f t="shared" si="43"/>
        <v/>
      </c>
      <c r="U141" s="6" t="str">
        <f t="shared" si="35"/>
        <v/>
      </c>
      <c r="V141" s="10" t="str">
        <f t="shared" si="36"/>
        <v/>
      </c>
      <c r="W141" s="8" t="str">
        <f t="shared" si="37"/>
        <v/>
      </c>
      <c r="X141" s="9">
        <f t="shared" si="44"/>
        <v>0</v>
      </c>
      <c r="Y141" s="9">
        <f t="shared" si="46"/>
        <v>0</v>
      </c>
    </row>
    <row r="142" spans="2:25" x14ac:dyDescent="0.3">
      <c r="B142" s="6">
        <v>105</v>
      </c>
      <c r="C142" s="79" t="str">
        <f t="shared" si="45"/>
        <v/>
      </c>
      <c r="D142" s="6" t="str">
        <f t="shared" si="26"/>
        <v/>
      </c>
      <c r="E142" s="79" t="str">
        <f t="shared" si="38"/>
        <v/>
      </c>
      <c r="F142" s="79" t="str">
        <f>IF(B141&gt;$C$18,"",IF(COUNTIF(Feriados!$A$2:$B$17,EDATE($C$38,B141))=0,EDATE($C$38,B141),EDATE($C$38,B141)+VLOOKUP(EDATE($C$38,B141),Feriados!$A$2:$B$17,2,FALSE)))</f>
        <v/>
      </c>
      <c r="G142" s="6" t="str">
        <f t="shared" si="39"/>
        <v/>
      </c>
      <c r="H142" s="6" t="str">
        <f t="shared" si="40"/>
        <v/>
      </c>
      <c r="I142" s="8" t="str">
        <f t="shared" si="41"/>
        <v/>
      </c>
      <c r="J142" s="8" t="str">
        <f t="shared" si="27"/>
        <v/>
      </c>
      <c r="K142" s="9" t="str">
        <f t="shared" si="28"/>
        <v/>
      </c>
      <c r="L142" s="9" t="str">
        <f t="shared" si="42"/>
        <v/>
      </c>
      <c r="M142" s="10" t="str">
        <f t="shared" si="29"/>
        <v/>
      </c>
      <c r="N142" s="6" t="str">
        <f t="shared" si="30"/>
        <v/>
      </c>
      <c r="O142" s="9" t="str">
        <f t="shared" si="31"/>
        <v/>
      </c>
      <c r="P142" s="9" t="str">
        <f t="shared" si="32"/>
        <v/>
      </c>
      <c r="Q142" s="9" t="str">
        <f t="shared" si="33"/>
        <v/>
      </c>
      <c r="R142" s="9" t="str">
        <f t="shared" ca="1" si="34"/>
        <v/>
      </c>
      <c r="T142" s="6" t="str">
        <f t="shared" si="43"/>
        <v/>
      </c>
      <c r="U142" s="6" t="str">
        <f t="shared" si="35"/>
        <v/>
      </c>
      <c r="V142" s="10" t="str">
        <f t="shared" si="36"/>
        <v/>
      </c>
      <c r="W142" s="8" t="str">
        <f t="shared" si="37"/>
        <v/>
      </c>
      <c r="X142" s="9">
        <f t="shared" si="44"/>
        <v>0</v>
      </c>
      <c r="Y142" s="9">
        <f t="shared" si="46"/>
        <v>0</v>
      </c>
    </row>
    <row r="143" spans="2:25" x14ac:dyDescent="0.3">
      <c r="B143" s="6">
        <v>106</v>
      </c>
      <c r="C143" s="79" t="str">
        <f t="shared" si="45"/>
        <v/>
      </c>
      <c r="D143" s="6" t="str">
        <f t="shared" si="26"/>
        <v/>
      </c>
      <c r="E143" s="79" t="str">
        <f t="shared" si="38"/>
        <v/>
      </c>
      <c r="F143" s="79" t="str">
        <f>IF(B142&gt;$C$18,"",IF(COUNTIF(Feriados!$A$2:$B$17,EDATE($C$38,B142))=0,EDATE($C$38,B142),EDATE($C$38,B142)+VLOOKUP(EDATE($C$38,B142),Feriados!$A$2:$B$17,2,FALSE)))</f>
        <v/>
      </c>
      <c r="G143" s="6" t="str">
        <f t="shared" si="39"/>
        <v/>
      </c>
      <c r="H143" s="6" t="str">
        <f t="shared" si="40"/>
        <v/>
      </c>
      <c r="I143" s="8" t="str">
        <f t="shared" si="41"/>
        <v/>
      </c>
      <c r="J143" s="8" t="str">
        <f t="shared" si="27"/>
        <v/>
      </c>
      <c r="K143" s="9" t="str">
        <f t="shared" si="28"/>
        <v/>
      </c>
      <c r="L143" s="9" t="str">
        <f t="shared" si="42"/>
        <v/>
      </c>
      <c r="M143" s="10" t="str">
        <f t="shared" si="29"/>
        <v/>
      </c>
      <c r="N143" s="6" t="str">
        <f t="shared" si="30"/>
        <v/>
      </c>
      <c r="O143" s="9" t="str">
        <f t="shared" si="31"/>
        <v/>
      </c>
      <c r="P143" s="9" t="str">
        <f t="shared" si="32"/>
        <v/>
      </c>
      <c r="Q143" s="9" t="str">
        <f t="shared" si="33"/>
        <v/>
      </c>
      <c r="R143" s="9" t="str">
        <f t="shared" ca="1" si="34"/>
        <v/>
      </c>
      <c r="T143" s="6" t="str">
        <f t="shared" si="43"/>
        <v/>
      </c>
      <c r="U143" s="6" t="str">
        <f t="shared" si="35"/>
        <v/>
      </c>
      <c r="V143" s="10" t="str">
        <f t="shared" si="36"/>
        <v/>
      </c>
      <c r="W143" s="8" t="str">
        <f t="shared" si="37"/>
        <v/>
      </c>
      <c r="X143" s="9">
        <f t="shared" si="44"/>
        <v>0</v>
      </c>
      <c r="Y143" s="9">
        <f t="shared" si="46"/>
        <v>0</v>
      </c>
    </row>
    <row r="144" spans="2:25" x14ac:dyDescent="0.3">
      <c r="B144" s="6">
        <v>107</v>
      </c>
      <c r="C144" s="79" t="str">
        <f t="shared" si="45"/>
        <v/>
      </c>
      <c r="D144" s="6" t="str">
        <f t="shared" si="26"/>
        <v/>
      </c>
      <c r="E144" s="79" t="str">
        <f t="shared" si="38"/>
        <v/>
      </c>
      <c r="F144" s="79" t="str">
        <f>IF(B143&gt;$C$18,"",IF(COUNTIF(Feriados!$A$2:$B$17,EDATE($C$38,B143))=0,EDATE($C$38,B143),EDATE($C$38,B143)+VLOOKUP(EDATE($C$38,B143),Feriados!$A$2:$B$17,2,FALSE)))</f>
        <v/>
      </c>
      <c r="G144" s="6" t="str">
        <f t="shared" si="39"/>
        <v/>
      </c>
      <c r="H144" s="6" t="str">
        <f t="shared" si="40"/>
        <v/>
      </c>
      <c r="I144" s="8" t="str">
        <f t="shared" si="41"/>
        <v/>
      </c>
      <c r="J144" s="8" t="str">
        <f t="shared" si="27"/>
        <v/>
      </c>
      <c r="K144" s="9" t="str">
        <f t="shared" si="28"/>
        <v/>
      </c>
      <c r="L144" s="9" t="str">
        <f t="shared" si="42"/>
        <v/>
      </c>
      <c r="M144" s="10" t="str">
        <f t="shared" si="29"/>
        <v/>
      </c>
      <c r="N144" s="6" t="str">
        <f t="shared" si="30"/>
        <v/>
      </c>
      <c r="O144" s="9" t="str">
        <f t="shared" si="31"/>
        <v/>
      </c>
      <c r="P144" s="9" t="str">
        <f t="shared" si="32"/>
        <v/>
      </c>
      <c r="Q144" s="9" t="str">
        <f t="shared" si="33"/>
        <v/>
      </c>
      <c r="R144" s="9" t="str">
        <f t="shared" ca="1" si="34"/>
        <v/>
      </c>
      <c r="T144" s="6" t="str">
        <f t="shared" si="43"/>
        <v/>
      </c>
      <c r="U144" s="6" t="str">
        <f t="shared" si="35"/>
        <v/>
      </c>
      <c r="V144" s="10" t="str">
        <f t="shared" si="36"/>
        <v/>
      </c>
      <c r="W144" s="8" t="str">
        <f t="shared" si="37"/>
        <v/>
      </c>
      <c r="X144" s="9">
        <f t="shared" si="44"/>
        <v>0</v>
      </c>
      <c r="Y144" s="9">
        <f t="shared" si="46"/>
        <v>0</v>
      </c>
    </row>
    <row r="145" spans="2:25" x14ac:dyDescent="0.3">
      <c r="B145" s="6">
        <v>108</v>
      </c>
      <c r="C145" s="79" t="str">
        <f t="shared" si="45"/>
        <v/>
      </c>
      <c r="D145" s="6" t="str">
        <f t="shared" si="26"/>
        <v/>
      </c>
      <c r="E145" s="79" t="str">
        <f t="shared" si="38"/>
        <v/>
      </c>
      <c r="F145" s="79" t="str">
        <f>IF(B144&gt;$C$18,"",IF(COUNTIF(Feriados!$A$2:$B$17,EDATE($C$38,B144))=0,EDATE($C$38,B144),EDATE($C$38,B144)+VLOOKUP(EDATE($C$38,B144),Feriados!$A$2:$B$17,2,FALSE)))</f>
        <v/>
      </c>
      <c r="G145" s="6" t="str">
        <f t="shared" si="39"/>
        <v/>
      </c>
      <c r="H145" s="6" t="str">
        <f t="shared" si="40"/>
        <v/>
      </c>
      <c r="I145" s="8" t="str">
        <f t="shared" si="41"/>
        <v/>
      </c>
      <c r="J145" s="8" t="str">
        <f t="shared" si="27"/>
        <v/>
      </c>
      <c r="K145" s="9" t="str">
        <f t="shared" si="28"/>
        <v/>
      </c>
      <c r="L145" s="9" t="str">
        <f t="shared" si="42"/>
        <v/>
      </c>
      <c r="M145" s="10" t="str">
        <f t="shared" si="29"/>
        <v/>
      </c>
      <c r="N145" s="6" t="str">
        <f t="shared" si="30"/>
        <v/>
      </c>
      <c r="O145" s="9" t="str">
        <f t="shared" si="31"/>
        <v/>
      </c>
      <c r="P145" s="9" t="str">
        <f t="shared" si="32"/>
        <v/>
      </c>
      <c r="Q145" s="9" t="str">
        <f t="shared" si="33"/>
        <v/>
      </c>
      <c r="R145" s="9" t="str">
        <f t="shared" ca="1" si="34"/>
        <v/>
      </c>
      <c r="T145" s="6" t="str">
        <f t="shared" si="43"/>
        <v/>
      </c>
      <c r="U145" s="6" t="str">
        <f t="shared" si="35"/>
        <v/>
      </c>
      <c r="V145" s="10" t="str">
        <f t="shared" si="36"/>
        <v/>
      </c>
      <c r="W145" s="8" t="str">
        <f t="shared" si="37"/>
        <v/>
      </c>
      <c r="X145" s="9">
        <f t="shared" si="44"/>
        <v>0</v>
      </c>
      <c r="Y145" s="9">
        <f t="shared" si="46"/>
        <v>0</v>
      </c>
    </row>
    <row r="146" spans="2:25" x14ac:dyDescent="0.3">
      <c r="B146" s="6">
        <v>109</v>
      </c>
      <c r="C146" s="79" t="str">
        <f t="shared" si="45"/>
        <v/>
      </c>
      <c r="D146" s="6" t="str">
        <f t="shared" si="26"/>
        <v/>
      </c>
      <c r="E146" s="79" t="str">
        <f t="shared" si="38"/>
        <v/>
      </c>
      <c r="F146" s="79" t="str">
        <f>IF(B145&gt;$C$18,"",IF(COUNTIF(Feriados!$A$2:$B$17,EDATE($C$38,B145))=0,EDATE($C$38,B145),EDATE($C$38,B145)+VLOOKUP(EDATE($C$38,B145),Feriados!$A$2:$B$17,2,FALSE)))</f>
        <v/>
      </c>
      <c r="G146" s="6" t="str">
        <f t="shared" si="39"/>
        <v/>
      </c>
      <c r="H146" s="6" t="str">
        <f t="shared" si="40"/>
        <v/>
      </c>
      <c r="I146" s="8" t="str">
        <f t="shared" si="41"/>
        <v/>
      </c>
      <c r="J146" s="8" t="str">
        <f t="shared" si="27"/>
        <v/>
      </c>
      <c r="K146" s="9" t="str">
        <f t="shared" si="28"/>
        <v/>
      </c>
      <c r="L146" s="9" t="str">
        <f t="shared" si="42"/>
        <v/>
      </c>
      <c r="M146" s="10" t="str">
        <f t="shared" si="29"/>
        <v/>
      </c>
      <c r="N146" s="6" t="str">
        <f t="shared" si="30"/>
        <v/>
      </c>
      <c r="O146" s="9" t="str">
        <f t="shared" si="31"/>
        <v/>
      </c>
      <c r="P146" s="9" t="str">
        <f t="shared" si="32"/>
        <v/>
      </c>
      <c r="Q146" s="9" t="str">
        <f t="shared" si="33"/>
        <v/>
      </c>
      <c r="R146" s="9" t="str">
        <f t="shared" ca="1" si="34"/>
        <v/>
      </c>
      <c r="T146" s="6" t="str">
        <f t="shared" si="43"/>
        <v/>
      </c>
      <c r="U146" s="6" t="str">
        <f t="shared" si="35"/>
        <v/>
      </c>
      <c r="V146" s="10" t="str">
        <f t="shared" si="36"/>
        <v/>
      </c>
      <c r="W146" s="8" t="str">
        <f t="shared" si="37"/>
        <v/>
      </c>
      <c r="X146" s="9">
        <f t="shared" si="44"/>
        <v>0</v>
      </c>
      <c r="Y146" s="9">
        <f t="shared" si="46"/>
        <v>0</v>
      </c>
    </row>
    <row r="147" spans="2:25" x14ac:dyDescent="0.3">
      <c r="B147" s="6">
        <v>110</v>
      </c>
      <c r="C147" s="79" t="str">
        <f t="shared" si="45"/>
        <v/>
      </c>
      <c r="D147" s="6" t="str">
        <f t="shared" si="26"/>
        <v/>
      </c>
      <c r="E147" s="79" t="str">
        <f t="shared" si="38"/>
        <v/>
      </c>
      <c r="F147" s="79" t="str">
        <f>IF(B146&gt;$C$18,"",IF(COUNTIF(Feriados!$A$2:$B$17,EDATE($C$38,B146))=0,EDATE($C$38,B146),EDATE($C$38,B146)+VLOOKUP(EDATE($C$38,B146),Feriados!$A$2:$B$17,2,FALSE)))</f>
        <v/>
      </c>
      <c r="G147" s="6" t="str">
        <f t="shared" si="39"/>
        <v/>
      </c>
      <c r="H147" s="6" t="str">
        <f t="shared" si="40"/>
        <v/>
      </c>
      <c r="I147" s="8" t="str">
        <f t="shared" si="41"/>
        <v/>
      </c>
      <c r="J147" s="8" t="str">
        <f t="shared" si="27"/>
        <v/>
      </c>
      <c r="K147" s="9" t="str">
        <f t="shared" si="28"/>
        <v/>
      </c>
      <c r="L147" s="9" t="str">
        <f t="shared" si="42"/>
        <v/>
      </c>
      <c r="M147" s="10" t="str">
        <f t="shared" si="29"/>
        <v/>
      </c>
      <c r="N147" s="6" t="str">
        <f t="shared" si="30"/>
        <v/>
      </c>
      <c r="O147" s="9" t="str">
        <f t="shared" si="31"/>
        <v/>
      </c>
      <c r="P147" s="9" t="str">
        <f t="shared" si="32"/>
        <v/>
      </c>
      <c r="Q147" s="9" t="str">
        <f t="shared" si="33"/>
        <v/>
      </c>
      <c r="R147" s="9" t="str">
        <f t="shared" ca="1" si="34"/>
        <v/>
      </c>
      <c r="T147" s="6" t="str">
        <f t="shared" si="43"/>
        <v/>
      </c>
      <c r="U147" s="6" t="str">
        <f t="shared" si="35"/>
        <v/>
      </c>
      <c r="V147" s="10" t="str">
        <f t="shared" si="36"/>
        <v/>
      </c>
      <c r="W147" s="8" t="str">
        <f t="shared" si="37"/>
        <v/>
      </c>
      <c r="X147" s="9">
        <f t="shared" si="44"/>
        <v>0</v>
      </c>
      <c r="Y147" s="9">
        <f t="shared" si="46"/>
        <v>0</v>
      </c>
    </row>
    <row r="148" spans="2:25" x14ac:dyDescent="0.3">
      <c r="B148" s="6">
        <v>111</v>
      </c>
      <c r="C148" s="79" t="str">
        <f t="shared" si="45"/>
        <v/>
      </c>
      <c r="D148" s="6" t="str">
        <f t="shared" si="26"/>
        <v/>
      </c>
      <c r="E148" s="79" t="str">
        <f t="shared" si="38"/>
        <v/>
      </c>
      <c r="F148" s="79" t="str">
        <f>IF(B147&gt;$C$18,"",IF(COUNTIF(Feriados!$A$2:$B$17,EDATE($C$38,B147))=0,EDATE($C$38,B147),EDATE($C$38,B147)+VLOOKUP(EDATE($C$38,B147),Feriados!$A$2:$B$17,2,FALSE)))</f>
        <v/>
      </c>
      <c r="G148" s="6" t="str">
        <f t="shared" si="39"/>
        <v/>
      </c>
      <c r="H148" s="6" t="str">
        <f t="shared" si="40"/>
        <v/>
      </c>
      <c r="I148" s="8" t="str">
        <f t="shared" si="41"/>
        <v/>
      </c>
      <c r="J148" s="8" t="str">
        <f t="shared" si="27"/>
        <v/>
      </c>
      <c r="K148" s="9" t="str">
        <f t="shared" si="28"/>
        <v/>
      </c>
      <c r="L148" s="9" t="str">
        <f t="shared" si="42"/>
        <v/>
      </c>
      <c r="M148" s="10" t="str">
        <f t="shared" si="29"/>
        <v/>
      </c>
      <c r="N148" s="6" t="str">
        <f t="shared" si="30"/>
        <v/>
      </c>
      <c r="O148" s="9" t="str">
        <f t="shared" si="31"/>
        <v/>
      </c>
      <c r="P148" s="9" t="str">
        <f t="shared" si="32"/>
        <v/>
      </c>
      <c r="Q148" s="9" t="str">
        <f t="shared" si="33"/>
        <v/>
      </c>
      <c r="R148" s="9" t="str">
        <f t="shared" ca="1" si="34"/>
        <v/>
      </c>
      <c r="T148" s="6" t="str">
        <f t="shared" si="43"/>
        <v/>
      </c>
      <c r="U148" s="6" t="str">
        <f t="shared" si="35"/>
        <v/>
      </c>
      <c r="V148" s="10" t="str">
        <f t="shared" si="36"/>
        <v/>
      </c>
      <c r="W148" s="8" t="str">
        <f t="shared" si="37"/>
        <v/>
      </c>
      <c r="X148" s="9">
        <f t="shared" si="44"/>
        <v>0</v>
      </c>
      <c r="Y148" s="9">
        <f t="shared" si="46"/>
        <v>0</v>
      </c>
    </row>
    <row r="149" spans="2:25" x14ac:dyDescent="0.3">
      <c r="B149" s="6">
        <v>112</v>
      </c>
      <c r="C149" s="79" t="str">
        <f t="shared" si="45"/>
        <v/>
      </c>
      <c r="D149" s="6" t="str">
        <f t="shared" si="26"/>
        <v/>
      </c>
      <c r="E149" s="79" t="str">
        <f t="shared" si="38"/>
        <v/>
      </c>
      <c r="F149" s="79" t="str">
        <f>IF(B148&gt;$C$18,"",IF(COUNTIF(Feriados!$A$2:$B$17,EDATE($C$38,B148))=0,EDATE($C$38,B148),EDATE($C$38,B148)+VLOOKUP(EDATE($C$38,B148),Feriados!$A$2:$B$17,2,FALSE)))</f>
        <v/>
      </c>
      <c r="G149" s="6" t="str">
        <f t="shared" si="39"/>
        <v/>
      </c>
      <c r="H149" s="6" t="str">
        <f t="shared" si="40"/>
        <v/>
      </c>
      <c r="I149" s="8" t="str">
        <f t="shared" si="41"/>
        <v/>
      </c>
      <c r="J149" s="8" t="str">
        <f t="shared" si="27"/>
        <v/>
      </c>
      <c r="K149" s="9" t="str">
        <f t="shared" si="28"/>
        <v/>
      </c>
      <c r="L149" s="9" t="str">
        <f t="shared" si="42"/>
        <v/>
      </c>
      <c r="M149" s="10" t="str">
        <f t="shared" si="29"/>
        <v/>
      </c>
      <c r="N149" s="6" t="str">
        <f t="shared" si="30"/>
        <v/>
      </c>
      <c r="O149" s="9" t="str">
        <f t="shared" si="31"/>
        <v/>
      </c>
      <c r="P149" s="9" t="str">
        <f t="shared" si="32"/>
        <v/>
      </c>
      <c r="Q149" s="9" t="str">
        <f t="shared" si="33"/>
        <v/>
      </c>
      <c r="R149" s="9" t="str">
        <f t="shared" ca="1" si="34"/>
        <v/>
      </c>
      <c r="T149" s="6" t="str">
        <f t="shared" si="43"/>
        <v/>
      </c>
      <c r="U149" s="6" t="str">
        <f t="shared" si="35"/>
        <v/>
      </c>
      <c r="V149" s="10" t="str">
        <f t="shared" si="36"/>
        <v/>
      </c>
      <c r="W149" s="8" t="str">
        <f t="shared" si="37"/>
        <v/>
      </c>
      <c r="X149" s="9">
        <f t="shared" si="44"/>
        <v>0</v>
      </c>
      <c r="Y149" s="9">
        <f t="shared" si="46"/>
        <v>0</v>
      </c>
    </row>
    <row r="150" spans="2:25" x14ac:dyDescent="0.3">
      <c r="B150" s="6">
        <v>113</v>
      </c>
      <c r="C150" s="79" t="str">
        <f t="shared" si="45"/>
        <v/>
      </c>
      <c r="D150" s="6" t="str">
        <f t="shared" si="26"/>
        <v/>
      </c>
      <c r="E150" s="79" t="str">
        <f t="shared" si="38"/>
        <v/>
      </c>
      <c r="F150" s="79" t="str">
        <f>IF(B149&gt;$C$18,"",IF(COUNTIF(Feriados!$A$2:$B$17,EDATE($C$38,B149))=0,EDATE($C$38,B149),EDATE($C$38,B149)+VLOOKUP(EDATE($C$38,B149),Feriados!$A$2:$B$17,2,FALSE)))</f>
        <v/>
      </c>
      <c r="G150" s="6" t="str">
        <f t="shared" si="39"/>
        <v/>
      </c>
      <c r="H150" s="6" t="str">
        <f t="shared" si="40"/>
        <v/>
      </c>
      <c r="I150" s="8" t="str">
        <f t="shared" si="41"/>
        <v/>
      </c>
      <c r="J150" s="8" t="str">
        <f t="shared" si="27"/>
        <v/>
      </c>
      <c r="K150" s="9" t="str">
        <f t="shared" si="28"/>
        <v/>
      </c>
      <c r="L150" s="9" t="str">
        <f t="shared" si="42"/>
        <v/>
      </c>
      <c r="M150" s="10" t="str">
        <f t="shared" si="29"/>
        <v/>
      </c>
      <c r="N150" s="6" t="str">
        <f t="shared" si="30"/>
        <v/>
      </c>
      <c r="O150" s="9" t="str">
        <f t="shared" si="31"/>
        <v/>
      </c>
      <c r="P150" s="9" t="str">
        <f t="shared" si="32"/>
        <v/>
      </c>
      <c r="Q150" s="9" t="str">
        <f t="shared" si="33"/>
        <v/>
      </c>
      <c r="R150" s="9" t="str">
        <f t="shared" ca="1" si="34"/>
        <v/>
      </c>
      <c r="T150" s="6" t="str">
        <f t="shared" si="43"/>
        <v/>
      </c>
      <c r="U150" s="6" t="str">
        <f t="shared" si="35"/>
        <v/>
      </c>
      <c r="V150" s="10" t="str">
        <f t="shared" si="36"/>
        <v/>
      </c>
      <c r="W150" s="8" t="str">
        <f t="shared" si="37"/>
        <v/>
      </c>
      <c r="X150" s="9">
        <f t="shared" si="44"/>
        <v>0</v>
      </c>
      <c r="Y150" s="9">
        <f t="shared" si="46"/>
        <v>0</v>
      </c>
    </row>
    <row r="151" spans="2:25" x14ac:dyDescent="0.3">
      <c r="B151" s="6">
        <v>114</v>
      </c>
      <c r="C151" s="79" t="str">
        <f t="shared" si="45"/>
        <v/>
      </c>
      <c r="D151" s="6" t="str">
        <f t="shared" si="26"/>
        <v/>
      </c>
      <c r="E151" s="79" t="str">
        <f t="shared" si="38"/>
        <v/>
      </c>
      <c r="F151" s="79" t="str">
        <f>IF(B150&gt;$C$18,"",IF(COUNTIF(Feriados!$A$2:$B$17,EDATE($C$38,B150))=0,EDATE($C$38,B150),EDATE($C$38,B150)+VLOOKUP(EDATE($C$38,B150),Feriados!$A$2:$B$17,2,FALSE)))</f>
        <v/>
      </c>
      <c r="G151" s="6" t="str">
        <f t="shared" si="39"/>
        <v/>
      </c>
      <c r="H151" s="6" t="str">
        <f t="shared" si="40"/>
        <v/>
      </c>
      <c r="I151" s="8" t="str">
        <f t="shared" si="41"/>
        <v/>
      </c>
      <c r="J151" s="8" t="str">
        <f t="shared" si="27"/>
        <v/>
      </c>
      <c r="K151" s="9" t="str">
        <f t="shared" si="28"/>
        <v/>
      </c>
      <c r="L151" s="9" t="str">
        <f t="shared" si="42"/>
        <v/>
      </c>
      <c r="M151" s="10" t="str">
        <f t="shared" si="29"/>
        <v/>
      </c>
      <c r="N151" s="6" t="str">
        <f t="shared" si="30"/>
        <v/>
      </c>
      <c r="O151" s="9" t="str">
        <f t="shared" si="31"/>
        <v/>
      </c>
      <c r="P151" s="9" t="str">
        <f t="shared" si="32"/>
        <v/>
      </c>
      <c r="Q151" s="9" t="str">
        <f t="shared" si="33"/>
        <v/>
      </c>
      <c r="R151" s="9" t="str">
        <f t="shared" ca="1" si="34"/>
        <v/>
      </c>
      <c r="T151" s="6" t="str">
        <f t="shared" si="43"/>
        <v/>
      </c>
      <c r="U151" s="6" t="str">
        <f t="shared" si="35"/>
        <v/>
      </c>
      <c r="V151" s="10" t="str">
        <f t="shared" si="36"/>
        <v/>
      </c>
      <c r="W151" s="8" t="str">
        <f t="shared" si="37"/>
        <v/>
      </c>
      <c r="X151" s="9">
        <f t="shared" si="44"/>
        <v>0</v>
      </c>
      <c r="Y151" s="9">
        <f t="shared" si="46"/>
        <v>0</v>
      </c>
    </row>
    <row r="152" spans="2:25" x14ac:dyDescent="0.3">
      <c r="B152" s="6">
        <v>115</v>
      </c>
      <c r="C152" s="79" t="str">
        <f t="shared" si="45"/>
        <v/>
      </c>
      <c r="D152" s="6" t="str">
        <f t="shared" si="26"/>
        <v/>
      </c>
      <c r="E152" s="79" t="str">
        <f t="shared" si="38"/>
        <v/>
      </c>
      <c r="F152" s="79" t="str">
        <f>IF(B151&gt;$C$18,"",IF(COUNTIF(Feriados!$A$2:$B$17,EDATE($C$38,B151))=0,EDATE($C$38,B151),EDATE($C$38,B151)+VLOOKUP(EDATE($C$38,B151),Feriados!$A$2:$B$17,2,FALSE)))</f>
        <v/>
      </c>
      <c r="G152" s="6" t="str">
        <f t="shared" si="39"/>
        <v/>
      </c>
      <c r="H152" s="6" t="str">
        <f t="shared" si="40"/>
        <v/>
      </c>
      <c r="I152" s="8" t="str">
        <f t="shared" si="41"/>
        <v/>
      </c>
      <c r="J152" s="8" t="str">
        <f t="shared" si="27"/>
        <v/>
      </c>
      <c r="K152" s="9" t="str">
        <f t="shared" si="28"/>
        <v/>
      </c>
      <c r="L152" s="9" t="str">
        <f t="shared" si="42"/>
        <v/>
      </c>
      <c r="M152" s="10" t="str">
        <f t="shared" si="29"/>
        <v/>
      </c>
      <c r="N152" s="6" t="str">
        <f t="shared" si="30"/>
        <v/>
      </c>
      <c r="O152" s="9" t="str">
        <f t="shared" si="31"/>
        <v/>
      </c>
      <c r="P152" s="9" t="str">
        <f t="shared" si="32"/>
        <v/>
      </c>
      <c r="Q152" s="9" t="str">
        <f t="shared" si="33"/>
        <v/>
      </c>
      <c r="R152" s="9" t="str">
        <f t="shared" ca="1" si="34"/>
        <v/>
      </c>
      <c r="T152" s="6" t="str">
        <f t="shared" si="43"/>
        <v/>
      </c>
      <c r="U152" s="6" t="str">
        <f t="shared" si="35"/>
        <v/>
      </c>
      <c r="V152" s="10" t="str">
        <f t="shared" si="36"/>
        <v/>
      </c>
      <c r="W152" s="8" t="str">
        <f t="shared" si="37"/>
        <v/>
      </c>
      <c r="X152" s="9">
        <f t="shared" si="44"/>
        <v>0</v>
      </c>
      <c r="Y152" s="9">
        <f t="shared" si="46"/>
        <v>0</v>
      </c>
    </row>
    <row r="153" spans="2:25" x14ac:dyDescent="0.3">
      <c r="B153" s="6">
        <v>116</v>
      </c>
      <c r="C153" s="79" t="str">
        <f t="shared" si="45"/>
        <v/>
      </c>
      <c r="D153" s="6" t="str">
        <f t="shared" si="26"/>
        <v/>
      </c>
      <c r="E153" s="79" t="str">
        <f t="shared" si="38"/>
        <v/>
      </c>
      <c r="F153" s="79" t="str">
        <f>IF(B152&gt;$C$18,"",IF(COUNTIF(Feriados!$A$2:$B$17,EDATE($C$38,B152))=0,EDATE($C$38,B152),EDATE($C$38,B152)+VLOOKUP(EDATE($C$38,B152),Feriados!$A$2:$B$17,2,FALSE)))</f>
        <v/>
      </c>
      <c r="G153" s="6" t="str">
        <f t="shared" si="39"/>
        <v/>
      </c>
      <c r="H153" s="6" t="str">
        <f t="shared" si="40"/>
        <v/>
      </c>
      <c r="I153" s="8" t="str">
        <f t="shared" si="41"/>
        <v/>
      </c>
      <c r="J153" s="8" t="str">
        <f t="shared" si="27"/>
        <v/>
      </c>
      <c r="K153" s="9" t="str">
        <f t="shared" si="28"/>
        <v/>
      </c>
      <c r="L153" s="9" t="str">
        <f t="shared" si="42"/>
        <v/>
      </c>
      <c r="M153" s="10" t="str">
        <f t="shared" si="29"/>
        <v/>
      </c>
      <c r="N153" s="6" t="str">
        <f t="shared" si="30"/>
        <v/>
      </c>
      <c r="O153" s="9" t="str">
        <f t="shared" si="31"/>
        <v/>
      </c>
      <c r="P153" s="9" t="str">
        <f t="shared" si="32"/>
        <v/>
      </c>
      <c r="Q153" s="9" t="str">
        <f t="shared" si="33"/>
        <v/>
      </c>
      <c r="R153" s="9" t="str">
        <f t="shared" ca="1" si="34"/>
        <v/>
      </c>
      <c r="T153" s="6" t="str">
        <f t="shared" si="43"/>
        <v/>
      </c>
      <c r="U153" s="6" t="str">
        <f t="shared" si="35"/>
        <v/>
      </c>
      <c r="V153" s="10" t="str">
        <f t="shared" si="36"/>
        <v/>
      </c>
      <c r="W153" s="8" t="str">
        <f t="shared" si="37"/>
        <v/>
      </c>
      <c r="X153" s="9">
        <f t="shared" si="44"/>
        <v>0</v>
      </c>
      <c r="Y153" s="9">
        <f t="shared" si="46"/>
        <v>0</v>
      </c>
    </row>
    <row r="154" spans="2:25" x14ac:dyDescent="0.3">
      <c r="B154" s="6">
        <v>117</v>
      </c>
      <c r="C154" s="79" t="str">
        <f t="shared" si="45"/>
        <v/>
      </c>
      <c r="D154" s="6" t="str">
        <f t="shared" si="26"/>
        <v/>
      </c>
      <c r="E154" s="79" t="str">
        <f t="shared" si="38"/>
        <v/>
      </c>
      <c r="F154" s="79" t="str">
        <f>IF(B153&gt;$C$18,"",IF(COUNTIF(Feriados!$A$2:$B$17,EDATE($C$38,B153))=0,EDATE($C$38,B153),EDATE($C$38,B153)+VLOOKUP(EDATE($C$38,B153),Feriados!$A$2:$B$17,2,FALSE)))</f>
        <v/>
      </c>
      <c r="G154" s="6" t="str">
        <f t="shared" si="39"/>
        <v/>
      </c>
      <c r="H154" s="6" t="str">
        <f t="shared" si="40"/>
        <v/>
      </c>
      <c r="I154" s="8" t="str">
        <f t="shared" si="41"/>
        <v/>
      </c>
      <c r="J154" s="8" t="str">
        <f t="shared" si="27"/>
        <v/>
      </c>
      <c r="K154" s="9" t="str">
        <f t="shared" si="28"/>
        <v/>
      </c>
      <c r="L154" s="9" t="str">
        <f t="shared" si="42"/>
        <v/>
      </c>
      <c r="M154" s="10" t="str">
        <f t="shared" si="29"/>
        <v/>
      </c>
      <c r="N154" s="6" t="str">
        <f t="shared" si="30"/>
        <v/>
      </c>
      <c r="O154" s="9" t="str">
        <f t="shared" si="31"/>
        <v/>
      </c>
      <c r="P154" s="9" t="str">
        <f t="shared" si="32"/>
        <v/>
      </c>
      <c r="Q154" s="9" t="str">
        <f t="shared" si="33"/>
        <v/>
      </c>
      <c r="R154" s="9" t="str">
        <f t="shared" ca="1" si="34"/>
        <v/>
      </c>
      <c r="T154" s="6" t="str">
        <f t="shared" si="43"/>
        <v/>
      </c>
      <c r="U154" s="6" t="str">
        <f t="shared" si="35"/>
        <v/>
      </c>
      <c r="V154" s="10" t="str">
        <f t="shared" si="36"/>
        <v/>
      </c>
      <c r="W154" s="8" t="str">
        <f t="shared" si="37"/>
        <v/>
      </c>
      <c r="X154" s="9">
        <f t="shared" si="44"/>
        <v>0</v>
      </c>
      <c r="Y154" s="9">
        <f t="shared" si="46"/>
        <v>0</v>
      </c>
    </row>
    <row r="155" spans="2:25" x14ac:dyDescent="0.3">
      <c r="B155" s="6">
        <v>118</v>
      </c>
      <c r="C155" s="79" t="str">
        <f t="shared" si="45"/>
        <v/>
      </c>
      <c r="D155" s="6" t="str">
        <f t="shared" si="26"/>
        <v/>
      </c>
      <c r="E155" s="79" t="str">
        <f t="shared" si="38"/>
        <v/>
      </c>
      <c r="F155" s="79" t="str">
        <f>IF(B154&gt;$C$18,"",IF(COUNTIF(Feriados!$A$2:$B$17,EDATE($C$38,B154))=0,EDATE($C$38,B154),EDATE($C$38,B154)+VLOOKUP(EDATE($C$38,B154),Feriados!$A$2:$B$17,2,FALSE)))</f>
        <v/>
      </c>
      <c r="G155" s="6" t="str">
        <f t="shared" si="39"/>
        <v/>
      </c>
      <c r="H155" s="6" t="str">
        <f t="shared" si="40"/>
        <v/>
      </c>
      <c r="I155" s="8" t="str">
        <f t="shared" si="41"/>
        <v/>
      </c>
      <c r="J155" s="8" t="str">
        <f t="shared" si="27"/>
        <v/>
      </c>
      <c r="K155" s="9" t="str">
        <f t="shared" si="28"/>
        <v/>
      </c>
      <c r="L155" s="9" t="str">
        <f t="shared" si="42"/>
        <v/>
      </c>
      <c r="M155" s="10" t="str">
        <f t="shared" si="29"/>
        <v/>
      </c>
      <c r="N155" s="6" t="str">
        <f t="shared" si="30"/>
        <v/>
      </c>
      <c r="O155" s="9" t="str">
        <f t="shared" si="31"/>
        <v/>
      </c>
      <c r="P155" s="9" t="str">
        <f t="shared" si="32"/>
        <v/>
      </c>
      <c r="Q155" s="9" t="str">
        <f t="shared" si="33"/>
        <v/>
      </c>
      <c r="R155" s="9" t="str">
        <f t="shared" ca="1" si="34"/>
        <v/>
      </c>
      <c r="T155" s="6" t="str">
        <f t="shared" si="43"/>
        <v/>
      </c>
      <c r="U155" s="6" t="str">
        <f t="shared" si="35"/>
        <v/>
      </c>
      <c r="V155" s="10" t="str">
        <f t="shared" si="36"/>
        <v/>
      </c>
      <c r="W155" s="8" t="str">
        <f t="shared" si="37"/>
        <v/>
      </c>
      <c r="X155" s="9">
        <f t="shared" si="44"/>
        <v>0</v>
      </c>
      <c r="Y155" s="9">
        <f t="shared" si="46"/>
        <v>0</v>
      </c>
    </row>
    <row r="156" spans="2:25" x14ac:dyDescent="0.3">
      <c r="B156" s="6">
        <v>119</v>
      </c>
      <c r="C156" s="79" t="str">
        <f t="shared" si="45"/>
        <v/>
      </c>
      <c r="D156" s="6" t="str">
        <f t="shared" si="26"/>
        <v/>
      </c>
      <c r="E156" s="79" t="str">
        <f t="shared" si="38"/>
        <v/>
      </c>
      <c r="F156" s="79" t="str">
        <f>IF(B155&gt;$C$18,"",IF(COUNTIF(Feriados!$A$2:$B$17,EDATE($C$38,B155))=0,EDATE($C$38,B155),EDATE($C$38,B155)+VLOOKUP(EDATE($C$38,B155),Feriados!$A$2:$B$17,2,FALSE)))</f>
        <v/>
      </c>
      <c r="G156" s="6" t="str">
        <f t="shared" si="39"/>
        <v/>
      </c>
      <c r="H156" s="6" t="str">
        <f t="shared" si="40"/>
        <v/>
      </c>
      <c r="I156" s="8" t="str">
        <f t="shared" si="41"/>
        <v/>
      </c>
      <c r="J156" s="8" t="str">
        <f t="shared" si="27"/>
        <v/>
      </c>
      <c r="K156" s="9" t="str">
        <f t="shared" si="28"/>
        <v/>
      </c>
      <c r="L156" s="9" t="str">
        <f t="shared" si="42"/>
        <v/>
      </c>
      <c r="M156" s="10" t="str">
        <f t="shared" si="29"/>
        <v/>
      </c>
      <c r="N156" s="6" t="str">
        <f t="shared" si="30"/>
        <v/>
      </c>
      <c r="O156" s="9" t="str">
        <f t="shared" si="31"/>
        <v/>
      </c>
      <c r="P156" s="9" t="str">
        <f t="shared" si="32"/>
        <v/>
      </c>
      <c r="Q156" s="9" t="str">
        <f t="shared" si="33"/>
        <v/>
      </c>
      <c r="R156" s="9" t="str">
        <f t="shared" ca="1" si="34"/>
        <v/>
      </c>
      <c r="T156" s="6" t="str">
        <f t="shared" si="43"/>
        <v/>
      </c>
      <c r="U156" s="6" t="str">
        <f t="shared" si="35"/>
        <v/>
      </c>
      <c r="V156" s="10" t="str">
        <f t="shared" si="36"/>
        <v/>
      </c>
      <c r="W156" s="8" t="str">
        <f t="shared" si="37"/>
        <v/>
      </c>
      <c r="X156" s="9">
        <f t="shared" si="44"/>
        <v>0</v>
      </c>
      <c r="Y156" s="9">
        <f t="shared" si="46"/>
        <v>0</v>
      </c>
    </row>
    <row r="157" spans="2:25" x14ac:dyDescent="0.3">
      <c r="B157" s="6">
        <v>120</v>
      </c>
      <c r="C157" s="79" t="str">
        <f t="shared" si="45"/>
        <v/>
      </c>
      <c r="D157" s="6" t="str">
        <f t="shared" si="26"/>
        <v/>
      </c>
      <c r="E157" s="79" t="str">
        <f t="shared" si="38"/>
        <v/>
      </c>
      <c r="F157" s="79" t="str">
        <f>IF(B156&gt;$C$18,"",IF(COUNTIF(Feriados!$A$2:$B$17,EDATE($C$38,B156))=0,EDATE($C$38,B156),EDATE($C$38,B156)+VLOOKUP(EDATE($C$38,B156),Feriados!$A$2:$B$17,2,FALSE)))</f>
        <v/>
      </c>
      <c r="G157" s="6" t="str">
        <f t="shared" si="39"/>
        <v/>
      </c>
      <c r="H157" s="6" t="str">
        <f t="shared" si="40"/>
        <v/>
      </c>
      <c r="I157" s="8" t="str">
        <f t="shared" si="41"/>
        <v/>
      </c>
      <c r="J157" s="8" t="str">
        <f t="shared" si="27"/>
        <v/>
      </c>
      <c r="K157" s="9" t="str">
        <f t="shared" si="28"/>
        <v/>
      </c>
      <c r="L157" s="9" t="str">
        <f t="shared" si="42"/>
        <v/>
      </c>
      <c r="M157" s="10" t="str">
        <f t="shared" si="29"/>
        <v/>
      </c>
      <c r="N157" s="6" t="str">
        <f t="shared" si="30"/>
        <v/>
      </c>
      <c r="O157" s="9" t="str">
        <f t="shared" si="31"/>
        <v/>
      </c>
      <c r="P157" s="9" t="str">
        <f t="shared" si="32"/>
        <v/>
      </c>
      <c r="Q157" s="9" t="str">
        <f t="shared" si="33"/>
        <v/>
      </c>
      <c r="R157" s="9" t="str">
        <f t="shared" ca="1" si="34"/>
        <v/>
      </c>
      <c r="T157" s="6" t="str">
        <f t="shared" si="43"/>
        <v/>
      </c>
      <c r="U157" s="6" t="str">
        <f t="shared" si="35"/>
        <v/>
      </c>
      <c r="V157" s="10" t="str">
        <f t="shared" si="36"/>
        <v/>
      </c>
      <c r="W157" s="8" t="str">
        <f t="shared" si="37"/>
        <v/>
      </c>
      <c r="X157" s="9">
        <f t="shared" si="44"/>
        <v>0</v>
      </c>
      <c r="Y157" s="9">
        <f t="shared" si="46"/>
        <v>0</v>
      </c>
    </row>
    <row r="158" spans="2:25" x14ac:dyDescent="0.3">
      <c r="B158" s="6">
        <v>121</v>
      </c>
      <c r="C158" s="79" t="str">
        <f t="shared" si="45"/>
        <v/>
      </c>
      <c r="D158" s="6" t="str">
        <f t="shared" si="26"/>
        <v/>
      </c>
      <c r="E158" s="79" t="str">
        <f t="shared" si="38"/>
        <v/>
      </c>
      <c r="F158" s="79" t="str">
        <f>IF(B157&gt;$C$18,"",IF(COUNTIF(Feriados!$A$2:$B$17,EDATE($C$38,B157))=0,EDATE($C$38,B157),EDATE($C$38,B157)+VLOOKUP(EDATE($C$38,B157),Feriados!$A$2:$B$17,2,FALSE)))</f>
        <v/>
      </c>
      <c r="G158" s="6" t="str">
        <f t="shared" si="39"/>
        <v/>
      </c>
      <c r="H158" s="6" t="str">
        <f t="shared" si="40"/>
        <v/>
      </c>
      <c r="I158" s="8" t="str">
        <f t="shared" si="41"/>
        <v/>
      </c>
      <c r="J158" s="8" t="str">
        <f t="shared" si="27"/>
        <v/>
      </c>
      <c r="K158" s="9" t="str">
        <f t="shared" si="28"/>
        <v/>
      </c>
      <c r="L158" s="9" t="str">
        <f t="shared" si="42"/>
        <v/>
      </c>
      <c r="M158" s="10" t="str">
        <f t="shared" si="29"/>
        <v/>
      </c>
      <c r="N158" s="6" t="str">
        <f t="shared" si="30"/>
        <v/>
      </c>
      <c r="O158" s="9" t="str">
        <f t="shared" si="31"/>
        <v/>
      </c>
      <c r="P158" s="9" t="str">
        <f t="shared" si="32"/>
        <v/>
      </c>
      <c r="Q158" s="9" t="str">
        <f t="shared" si="33"/>
        <v/>
      </c>
      <c r="R158" s="9" t="str">
        <f t="shared" ca="1" si="34"/>
        <v/>
      </c>
      <c r="T158" s="6" t="str">
        <f t="shared" si="43"/>
        <v/>
      </c>
      <c r="U158" s="6" t="str">
        <f t="shared" si="35"/>
        <v/>
      </c>
      <c r="V158" s="10" t="str">
        <f t="shared" si="36"/>
        <v/>
      </c>
      <c r="W158" s="8" t="str">
        <f t="shared" si="37"/>
        <v/>
      </c>
      <c r="X158" s="9">
        <f t="shared" si="44"/>
        <v>0</v>
      </c>
      <c r="Y158" s="9">
        <f t="shared" si="46"/>
        <v>0</v>
      </c>
    </row>
    <row r="159" spans="2:25" x14ac:dyDescent="0.3">
      <c r="B159" s="6">
        <v>122</v>
      </c>
      <c r="C159" s="79" t="str">
        <f t="shared" si="45"/>
        <v/>
      </c>
      <c r="D159" s="6" t="str">
        <f t="shared" si="26"/>
        <v/>
      </c>
      <c r="E159" s="79" t="str">
        <f t="shared" si="38"/>
        <v/>
      </c>
      <c r="F159" s="79" t="str">
        <f>IF(B158&gt;$C$18,"",IF(COUNTIF(Feriados!$A$2:$B$17,EDATE($C$38,B158))=0,EDATE($C$38,B158),EDATE($C$38,B158)+VLOOKUP(EDATE($C$38,B158),Feriados!$A$2:$B$17,2,FALSE)))</f>
        <v/>
      </c>
      <c r="G159" s="6" t="str">
        <f t="shared" si="39"/>
        <v/>
      </c>
      <c r="H159" s="6" t="str">
        <f t="shared" si="40"/>
        <v/>
      </c>
      <c r="I159" s="8" t="str">
        <f t="shared" si="41"/>
        <v/>
      </c>
      <c r="J159" s="8" t="str">
        <f t="shared" si="27"/>
        <v/>
      </c>
      <c r="K159" s="9" t="str">
        <f t="shared" si="28"/>
        <v/>
      </c>
      <c r="L159" s="9" t="str">
        <f t="shared" si="42"/>
        <v/>
      </c>
      <c r="M159" s="10" t="str">
        <f t="shared" si="29"/>
        <v/>
      </c>
      <c r="N159" s="6" t="str">
        <f t="shared" si="30"/>
        <v/>
      </c>
      <c r="O159" s="9" t="str">
        <f t="shared" si="31"/>
        <v/>
      </c>
      <c r="P159" s="9" t="str">
        <f t="shared" si="32"/>
        <v/>
      </c>
      <c r="Q159" s="9" t="str">
        <f t="shared" si="33"/>
        <v/>
      </c>
      <c r="R159" s="9" t="str">
        <f t="shared" ca="1" si="34"/>
        <v/>
      </c>
      <c r="T159" s="6" t="str">
        <f t="shared" si="43"/>
        <v/>
      </c>
      <c r="U159" s="6" t="str">
        <f t="shared" si="35"/>
        <v/>
      </c>
      <c r="V159" s="10" t="str">
        <f t="shared" si="36"/>
        <v/>
      </c>
      <c r="W159" s="8" t="str">
        <f t="shared" si="37"/>
        <v/>
      </c>
      <c r="X159" s="9">
        <f t="shared" si="44"/>
        <v>0</v>
      </c>
      <c r="Y159" s="9">
        <f t="shared" si="46"/>
        <v>0</v>
      </c>
    </row>
    <row r="160" spans="2:25" x14ac:dyDescent="0.3">
      <c r="B160" s="6">
        <v>123</v>
      </c>
      <c r="C160" s="79" t="str">
        <f t="shared" si="45"/>
        <v/>
      </c>
      <c r="D160" s="6" t="str">
        <f t="shared" si="26"/>
        <v/>
      </c>
      <c r="E160" s="79" t="str">
        <f t="shared" si="38"/>
        <v/>
      </c>
      <c r="F160" s="79" t="str">
        <f>IF(B159&gt;$C$18,"",IF(COUNTIF(Feriados!$A$2:$B$17,EDATE($C$38,B159))=0,EDATE($C$38,B159),EDATE($C$38,B159)+VLOOKUP(EDATE($C$38,B159),Feriados!$A$2:$B$17,2,FALSE)))</f>
        <v/>
      </c>
      <c r="G160" s="6" t="str">
        <f t="shared" si="39"/>
        <v/>
      </c>
      <c r="H160" s="6" t="str">
        <f t="shared" si="40"/>
        <v/>
      </c>
      <c r="I160" s="8" t="str">
        <f t="shared" si="41"/>
        <v/>
      </c>
      <c r="J160" s="8" t="str">
        <f t="shared" si="27"/>
        <v/>
      </c>
      <c r="K160" s="9" t="str">
        <f t="shared" si="28"/>
        <v/>
      </c>
      <c r="L160" s="9" t="str">
        <f t="shared" si="42"/>
        <v/>
      </c>
      <c r="M160" s="10" t="str">
        <f t="shared" si="29"/>
        <v/>
      </c>
      <c r="N160" s="6" t="str">
        <f t="shared" si="30"/>
        <v/>
      </c>
      <c r="O160" s="9" t="str">
        <f t="shared" si="31"/>
        <v/>
      </c>
      <c r="P160" s="9" t="str">
        <f t="shared" si="32"/>
        <v/>
      </c>
      <c r="Q160" s="9" t="str">
        <f t="shared" si="33"/>
        <v/>
      </c>
      <c r="R160" s="9" t="str">
        <f t="shared" ca="1" si="34"/>
        <v/>
      </c>
      <c r="T160" s="6" t="str">
        <f t="shared" si="43"/>
        <v/>
      </c>
      <c r="U160" s="6" t="str">
        <f t="shared" si="35"/>
        <v/>
      </c>
      <c r="V160" s="10" t="str">
        <f t="shared" si="36"/>
        <v/>
      </c>
      <c r="W160" s="8" t="str">
        <f t="shared" si="37"/>
        <v/>
      </c>
      <c r="X160" s="9">
        <f t="shared" si="44"/>
        <v>0</v>
      </c>
      <c r="Y160" s="9">
        <f t="shared" si="46"/>
        <v>0</v>
      </c>
    </row>
    <row r="161" spans="2:25" x14ac:dyDescent="0.3">
      <c r="B161" s="6">
        <v>124</v>
      </c>
      <c r="C161" s="79" t="str">
        <f t="shared" si="45"/>
        <v/>
      </c>
      <c r="D161" s="6" t="str">
        <f t="shared" si="26"/>
        <v/>
      </c>
      <c r="E161" s="79" t="str">
        <f t="shared" si="38"/>
        <v/>
      </c>
      <c r="F161" s="79" t="str">
        <f>IF(B160&gt;$C$18,"",IF(COUNTIF(Feriados!$A$2:$B$17,EDATE($C$38,B160))=0,EDATE($C$38,B160),EDATE($C$38,B160)+VLOOKUP(EDATE($C$38,B160),Feriados!$A$2:$B$17,2,FALSE)))</f>
        <v/>
      </c>
      <c r="G161" s="6" t="str">
        <f t="shared" si="39"/>
        <v/>
      </c>
      <c r="H161" s="6" t="str">
        <f t="shared" si="40"/>
        <v/>
      </c>
      <c r="I161" s="8" t="str">
        <f t="shared" si="41"/>
        <v/>
      </c>
      <c r="J161" s="8" t="str">
        <f t="shared" si="27"/>
        <v/>
      </c>
      <c r="K161" s="9" t="str">
        <f t="shared" si="28"/>
        <v/>
      </c>
      <c r="L161" s="9" t="str">
        <f t="shared" si="42"/>
        <v/>
      </c>
      <c r="M161" s="10" t="str">
        <f t="shared" si="29"/>
        <v/>
      </c>
      <c r="N161" s="6" t="str">
        <f t="shared" si="30"/>
        <v/>
      </c>
      <c r="O161" s="9" t="str">
        <f t="shared" si="31"/>
        <v/>
      </c>
      <c r="P161" s="9" t="str">
        <f t="shared" si="32"/>
        <v/>
      </c>
      <c r="Q161" s="9" t="str">
        <f t="shared" si="33"/>
        <v/>
      </c>
      <c r="R161" s="9" t="str">
        <f t="shared" ca="1" si="34"/>
        <v/>
      </c>
      <c r="T161" s="6" t="str">
        <f t="shared" si="43"/>
        <v/>
      </c>
      <c r="U161" s="6" t="str">
        <f t="shared" si="35"/>
        <v/>
      </c>
      <c r="V161" s="10" t="str">
        <f t="shared" si="36"/>
        <v/>
      </c>
      <c r="W161" s="8" t="str">
        <f t="shared" si="37"/>
        <v/>
      </c>
      <c r="X161" s="9">
        <f t="shared" si="44"/>
        <v>0</v>
      </c>
      <c r="Y161" s="9">
        <f t="shared" si="46"/>
        <v>0</v>
      </c>
    </row>
    <row r="162" spans="2:25" x14ac:dyDescent="0.3">
      <c r="B162" s="6">
        <v>125</v>
      </c>
      <c r="C162" s="79" t="str">
        <f t="shared" si="45"/>
        <v/>
      </c>
      <c r="D162" s="6" t="str">
        <f t="shared" si="26"/>
        <v/>
      </c>
      <c r="E162" s="79" t="str">
        <f t="shared" si="38"/>
        <v/>
      </c>
      <c r="F162" s="79" t="str">
        <f>IF(B161&gt;$C$18,"",IF(COUNTIF(Feriados!$A$2:$B$17,EDATE($C$38,B161))=0,EDATE($C$38,B161),EDATE($C$38,B161)+VLOOKUP(EDATE($C$38,B161),Feriados!$A$2:$B$17,2,FALSE)))</f>
        <v/>
      </c>
      <c r="G162" s="6" t="str">
        <f t="shared" si="39"/>
        <v/>
      </c>
      <c r="H162" s="6" t="str">
        <f t="shared" si="40"/>
        <v/>
      </c>
      <c r="I162" s="8" t="str">
        <f t="shared" si="41"/>
        <v/>
      </c>
      <c r="J162" s="8" t="str">
        <f t="shared" si="27"/>
        <v/>
      </c>
      <c r="K162" s="9" t="str">
        <f t="shared" si="28"/>
        <v/>
      </c>
      <c r="L162" s="9" t="str">
        <f t="shared" si="42"/>
        <v/>
      </c>
      <c r="M162" s="10" t="str">
        <f t="shared" si="29"/>
        <v/>
      </c>
      <c r="N162" s="6" t="str">
        <f t="shared" si="30"/>
        <v/>
      </c>
      <c r="O162" s="9" t="str">
        <f t="shared" si="31"/>
        <v/>
      </c>
      <c r="P162" s="9" t="str">
        <f t="shared" si="32"/>
        <v/>
      </c>
      <c r="Q162" s="9" t="str">
        <f t="shared" si="33"/>
        <v/>
      </c>
      <c r="R162" s="9" t="str">
        <f t="shared" ca="1" si="34"/>
        <v/>
      </c>
      <c r="T162" s="6" t="str">
        <f t="shared" si="43"/>
        <v/>
      </c>
      <c r="U162" s="6" t="str">
        <f t="shared" si="35"/>
        <v/>
      </c>
      <c r="V162" s="10" t="str">
        <f t="shared" si="36"/>
        <v/>
      </c>
      <c r="W162" s="8" t="str">
        <f t="shared" si="37"/>
        <v/>
      </c>
      <c r="X162" s="9">
        <f t="shared" si="44"/>
        <v>0</v>
      </c>
      <c r="Y162" s="9">
        <f t="shared" si="46"/>
        <v>0</v>
      </c>
    </row>
    <row r="163" spans="2:25" x14ac:dyDescent="0.3">
      <c r="B163" s="6">
        <v>126</v>
      </c>
      <c r="C163" s="79" t="str">
        <f t="shared" si="45"/>
        <v/>
      </c>
      <c r="D163" s="6" t="str">
        <f t="shared" si="26"/>
        <v/>
      </c>
      <c r="E163" s="79" t="str">
        <f t="shared" si="38"/>
        <v/>
      </c>
      <c r="F163" s="79" t="str">
        <f>IF(B162&gt;$C$18,"",IF(COUNTIF(Feriados!$A$2:$B$17,EDATE($C$38,B162))=0,EDATE($C$38,B162),EDATE($C$38,B162)+VLOOKUP(EDATE($C$38,B162),Feriados!$A$2:$B$17,2,FALSE)))</f>
        <v/>
      </c>
      <c r="G163" s="6" t="str">
        <f t="shared" si="39"/>
        <v/>
      </c>
      <c r="H163" s="6" t="str">
        <f t="shared" si="40"/>
        <v/>
      </c>
      <c r="I163" s="8" t="str">
        <f t="shared" si="41"/>
        <v/>
      </c>
      <c r="J163" s="8" t="str">
        <f t="shared" si="27"/>
        <v/>
      </c>
      <c r="K163" s="9" t="str">
        <f t="shared" si="28"/>
        <v/>
      </c>
      <c r="L163" s="9" t="str">
        <f t="shared" si="42"/>
        <v/>
      </c>
      <c r="M163" s="10" t="str">
        <f t="shared" si="29"/>
        <v/>
      </c>
      <c r="N163" s="6" t="str">
        <f t="shared" si="30"/>
        <v/>
      </c>
      <c r="O163" s="9" t="str">
        <f t="shared" si="31"/>
        <v/>
      </c>
      <c r="P163" s="9" t="str">
        <f t="shared" si="32"/>
        <v/>
      </c>
      <c r="Q163" s="9" t="str">
        <f t="shared" si="33"/>
        <v/>
      </c>
      <c r="R163" s="9" t="str">
        <f t="shared" ca="1" si="34"/>
        <v/>
      </c>
      <c r="T163" s="6" t="str">
        <f t="shared" si="43"/>
        <v/>
      </c>
      <c r="U163" s="6" t="str">
        <f t="shared" si="35"/>
        <v/>
      </c>
      <c r="V163" s="10" t="str">
        <f t="shared" si="36"/>
        <v/>
      </c>
      <c r="W163" s="8" t="str">
        <f t="shared" si="37"/>
        <v/>
      </c>
      <c r="X163" s="9">
        <f t="shared" si="44"/>
        <v>0</v>
      </c>
      <c r="Y163" s="9">
        <f t="shared" si="46"/>
        <v>0</v>
      </c>
    </row>
    <row r="164" spans="2:25" x14ac:dyDescent="0.3">
      <c r="B164" s="6">
        <v>127</v>
      </c>
      <c r="C164" s="79" t="str">
        <f t="shared" si="45"/>
        <v/>
      </c>
      <c r="D164" s="6" t="str">
        <f t="shared" si="26"/>
        <v/>
      </c>
      <c r="E164" s="79" t="str">
        <f t="shared" si="38"/>
        <v/>
      </c>
      <c r="F164" s="79" t="str">
        <f>IF(B163&gt;$C$18,"",IF(COUNTIF(Feriados!$A$2:$B$17,EDATE($C$38,B163))=0,EDATE($C$38,B163),EDATE($C$38,B163)+VLOOKUP(EDATE($C$38,B163),Feriados!$A$2:$B$17,2,FALSE)))</f>
        <v/>
      </c>
      <c r="G164" s="6" t="str">
        <f t="shared" si="39"/>
        <v/>
      </c>
      <c r="H164" s="6" t="str">
        <f t="shared" si="40"/>
        <v/>
      </c>
      <c r="I164" s="8" t="str">
        <f t="shared" si="41"/>
        <v/>
      </c>
      <c r="J164" s="8" t="str">
        <f t="shared" si="27"/>
        <v/>
      </c>
      <c r="K164" s="9" t="str">
        <f t="shared" si="28"/>
        <v/>
      </c>
      <c r="L164" s="9" t="str">
        <f t="shared" si="42"/>
        <v/>
      </c>
      <c r="M164" s="10" t="str">
        <f t="shared" si="29"/>
        <v/>
      </c>
      <c r="N164" s="6" t="str">
        <f t="shared" si="30"/>
        <v/>
      </c>
      <c r="O164" s="9" t="str">
        <f t="shared" si="31"/>
        <v/>
      </c>
      <c r="P164" s="9" t="str">
        <f t="shared" si="32"/>
        <v/>
      </c>
      <c r="Q164" s="9" t="str">
        <f t="shared" si="33"/>
        <v/>
      </c>
      <c r="R164" s="9" t="str">
        <f t="shared" ca="1" si="34"/>
        <v/>
      </c>
      <c r="T164" s="6" t="str">
        <f t="shared" si="43"/>
        <v/>
      </c>
      <c r="U164" s="6" t="str">
        <f t="shared" si="35"/>
        <v/>
      </c>
      <c r="V164" s="10" t="str">
        <f t="shared" si="36"/>
        <v/>
      </c>
      <c r="W164" s="8" t="str">
        <f t="shared" si="37"/>
        <v/>
      </c>
      <c r="X164" s="9">
        <f t="shared" si="44"/>
        <v>0</v>
      </c>
      <c r="Y164" s="9">
        <f t="shared" si="46"/>
        <v>0</v>
      </c>
    </row>
    <row r="165" spans="2:25" x14ac:dyDescent="0.3">
      <c r="B165" s="6">
        <v>128</v>
      </c>
      <c r="C165" s="79" t="str">
        <f t="shared" si="45"/>
        <v/>
      </c>
      <c r="D165" s="6" t="str">
        <f t="shared" si="26"/>
        <v/>
      </c>
      <c r="E165" s="79" t="str">
        <f t="shared" si="38"/>
        <v/>
      </c>
      <c r="F165" s="79" t="str">
        <f>IF(B164&gt;$C$18,"",IF(COUNTIF(Feriados!$A$2:$B$17,EDATE($C$38,B164))=0,EDATE($C$38,B164),EDATE($C$38,B164)+VLOOKUP(EDATE($C$38,B164),Feriados!$A$2:$B$17,2,FALSE)))</f>
        <v/>
      </c>
      <c r="G165" s="6" t="str">
        <f t="shared" si="39"/>
        <v/>
      </c>
      <c r="H165" s="6" t="str">
        <f t="shared" si="40"/>
        <v/>
      </c>
      <c r="I165" s="8" t="str">
        <f t="shared" si="41"/>
        <v/>
      </c>
      <c r="J165" s="8" t="str">
        <f t="shared" si="27"/>
        <v/>
      </c>
      <c r="K165" s="9" t="str">
        <f t="shared" si="28"/>
        <v/>
      </c>
      <c r="L165" s="9" t="str">
        <f t="shared" si="42"/>
        <v/>
      </c>
      <c r="M165" s="10" t="str">
        <f t="shared" si="29"/>
        <v/>
      </c>
      <c r="N165" s="6" t="str">
        <f t="shared" si="30"/>
        <v/>
      </c>
      <c r="O165" s="9" t="str">
        <f t="shared" si="31"/>
        <v/>
      </c>
      <c r="P165" s="9" t="str">
        <f t="shared" si="32"/>
        <v/>
      </c>
      <c r="Q165" s="9" t="str">
        <f t="shared" si="33"/>
        <v/>
      </c>
      <c r="R165" s="9" t="str">
        <f t="shared" ca="1" si="34"/>
        <v/>
      </c>
      <c r="T165" s="6" t="str">
        <f t="shared" si="43"/>
        <v/>
      </c>
      <c r="U165" s="6" t="str">
        <f t="shared" si="35"/>
        <v/>
      </c>
      <c r="V165" s="10" t="str">
        <f t="shared" si="36"/>
        <v/>
      </c>
      <c r="W165" s="8" t="str">
        <f t="shared" si="37"/>
        <v/>
      </c>
      <c r="X165" s="9">
        <f t="shared" si="44"/>
        <v>0</v>
      </c>
      <c r="Y165" s="9">
        <f t="shared" si="46"/>
        <v>0</v>
      </c>
    </row>
    <row r="166" spans="2:25" x14ac:dyDescent="0.3">
      <c r="B166" s="6">
        <v>129</v>
      </c>
      <c r="C166" s="79" t="str">
        <f t="shared" si="45"/>
        <v/>
      </c>
      <c r="D166" s="6" t="str">
        <f t="shared" ref="D166:D229" si="47">IF(B166&lt;=$C$18,WEEKDAY(C166,2),"")</f>
        <v/>
      </c>
      <c r="E166" s="79" t="str">
        <f t="shared" si="38"/>
        <v/>
      </c>
      <c r="F166" s="79" t="str">
        <f>IF(B165&gt;$C$18,"",IF(COUNTIF(Feriados!$A$2:$B$17,EDATE($C$38,B165))=0,EDATE($C$38,B165),EDATE($C$38,B165)+VLOOKUP(EDATE($C$38,B165),Feriados!$A$2:$B$17,2,FALSE)))</f>
        <v/>
      </c>
      <c r="G166" s="6" t="str">
        <f t="shared" si="39"/>
        <v/>
      </c>
      <c r="H166" s="6" t="str">
        <f t="shared" si="40"/>
        <v/>
      </c>
      <c r="I166" s="8" t="str">
        <f t="shared" si="41"/>
        <v/>
      </c>
      <c r="J166" s="8" t="str">
        <f t="shared" ref="J166:J229" si="48">IF(B166&gt;C$18,"",O166-N166-M166-L166-K166)</f>
        <v/>
      </c>
      <c r="K166" s="9" t="str">
        <f t="shared" ref="K166:K229" si="49">IF(B166&gt;C$18,"",((1+C$25)^(G166/360)-1)*I166)</f>
        <v/>
      </c>
      <c r="L166" s="9" t="str">
        <f t="shared" si="42"/>
        <v/>
      </c>
      <c r="M166" s="10" t="str">
        <f t="shared" ref="M166:M229" si="50">IF(B166&gt;C$18,"",C$27*C$28)</f>
        <v/>
      </c>
      <c r="N166" s="6" t="str">
        <f t="shared" ref="N166:N229" si="51">IF(B166&gt;C$18,"",C$29)</f>
        <v/>
      </c>
      <c r="O166" s="9" t="str">
        <f t="shared" ref="O166:O229" si="52">IF(B166&gt;C$18,"",IF(B166=C$18,I166+K166+L166+M166+N166,IF(AND(C$23=2,MONTH(E166)=7),2*C$30,IF(AND(C$24=2,MONTH(E166)=12),2*C$30,C$30))))</f>
        <v/>
      </c>
      <c r="P166" s="9" t="str">
        <f t="shared" ref="P166:P229" si="53">IF(B166&gt;C$18,"",I166-J166)</f>
        <v/>
      </c>
      <c r="Q166" s="9" t="str">
        <f t="shared" ref="Q166:Q229" si="54">IFERROR(IF(AND(MONTH(E166)=7,C$23=2),2/(1+C$26)^(H166/360),IF(AND(MONTH(E166)=12,C$24=2),2/(1+C$26)^(H166/360),1/(1+C$26)^(H166/360))),"")</f>
        <v/>
      </c>
      <c r="R166" s="9" t="str">
        <f t="shared" ref="R166:R229" ca="1" si="55">IFERROR(1/(1+C$26)^(H166/360),"")</f>
        <v/>
      </c>
      <c r="T166" s="6" t="str">
        <f t="shared" si="43"/>
        <v/>
      </c>
      <c r="U166" s="6" t="str">
        <f t="shared" ref="U166:U229" si="56">H166</f>
        <v/>
      </c>
      <c r="V166" s="10" t="str">
        <f t="shared" ref="V166:V229" si="57">IFERROR((1+C$32)^(U166/360),"")</f>
        <v/>
      </c>
      <c r="W166" s="8" t="str">
        <f t="shared" ref="W166:W229" si="58">IFERROR(ROUND(T166/V166,2),"")</f>
        <v/>
      </c>
      <c r="X166" s="9">
        <f t="shared" si="44"/>
        <v>0</v>
      </c>
      <c r="Y166" s="9">
        <f t="shared" si="46"/>
        <v>0</v>
      </c>
    </row>
    <row r="167" spans="2:25" x14ac:dyDescent="0.3">
      <c r="B167" s="6">
        <v>130</v>
      </c>
      <c r="C167" s="79" t="str">
        <f t="shared" si="45"/>
        <v/>
      </c>
      <c r="D167" s="6" t="str">
        <f t="shared" si="47"/>
        <v/>
      </c>
      <c r="E167" s="79" t="str">
        <f t="shared" ref="E167:E230" si="59">IF(D167=7,C167+1,C167)</f>
        <v/>
      </c>
      <c r="F167" s="79" t="str">
        <f>IF(B166&gt;$C$18,"",IF(COUNTIF(Feriados!$A$2:$B$17,EDATE($C$38,B166))=0,EDATE($C$38,B166),EDATE($C$38,B166)+VLOOKUP(EDATE($C$38,B166),Feriados!$A$2:$B$17,2,FALSE)))</f>
        <v/>
      </c>
      <c r="G167" s="6" t="str">
        <f t="shared" ref="G167:G230" si="60">IF(B167&gt;C$18,"",E167-E166)</f>
        <v/>
      </c>
      <c r="H167" s="6" t="str">
        <f t="shared" ref="H167:H230" si="61">IFERROR(G167+H166,"")</f>
        <v/>
      </c>
      <c r="I167" s="8" t="str">
        <f t="shared" ref="I167:I230" si="62">IF(B167&gt;C$18,"",P166)</f>
        <v/>
      </c>
      <c r="J167" s="8" t="str">
        <f t="shared" si="48"/>
        <v/>
      </c>
      <c r="K167" s="9" t="str">
        <f t="shared" si="49"/>
        <v/>
      </c>
      <c r="L167" s="9" t="str">
        <f t="shared" ref="L167:L230" si="63">IF(B167&gt;C$18,"",((1+C$13)^(G167/30)-1)*I167)</f>
        <v/>
      </c>
      <c r="M167" s="10" t="str">
        <f t="shared" si="50"/>
        <v/>
      </c>
      <c r="N167" s="6" t="str">
        <f t="shared" si="51"/>
        <v/>
      </c>
      <c r="O167" s="9" t="str">
        <f t="shared" si="52"/>
        <v/>
      </c>
      <c r="P167" s="9" t="str">
        <f t="shared" si="53"/>
        <v/>
      </c>
      <c r="Q167" s="9" t="str">
        <f t="shared" si="54"/>
        <v/>
      </c>
      <c r="R167" s="9" t="str">
        <f t="shared" ca="1" si="55"/>
        <v/>
      </c>
      <c r="T167" s="6" t="str">
        <f t="shared" ref="T167:T230" si="64">IFERROR(J167+K167+L167+M167+N167,"")</f>
        <v/>
      </c>
      <c r="U167" s="6" t="str">
        <f t="shared" si="56"/>
        <v/>
      </c>
      <c r="V167" s="10" t="str">
        <f t="shared" si="57"/>
        <v/>
      </c>
      <c r="W167" s="8" t="str">
        <f t="shared" si="58"/>
        <v/>
      </c>
      <c r="X167" s="9">
        <f t="shared" ref="X167:X230" si="65">IF(O167="",0,L167/((1+$I$9)^B167))</f>
        <v>0</v>
      </c>
      <c r="Y167" s="9">
        <f t="shared" si="46"/>
        <v>0</v>
      </c>
    </row>
    <row r="168" spans="2:25" x14ac:dyDescent="0.3">
      <c r="B168" s="6">
        <v>131</v>
      </c>
      <c r="C168" s="79" t="str">
        <f t="shared" ref="C168:C231" si="66">IF(B168&gt;$C$18,"",IF(WEEKDAY(F168,2)=7,F168+1,F168))</f>
        <v/>
      </c>
      <c r="D168" s="6" t="str">
        <f t="shared" si="47"/>
        <v/>
      </c>
      <c r="E168" s="79" t="str">
        <f t="shared" si="59"/>
        <v/>
      </c>
      <c r="F168" s="79" t="str">
        <f>IF(B167&gt;$C$18,"",IF(COUNTIF(Feriados!$A$2:$B$17,EDATE($C$38,B167))=0,EDATE($C$38,B167),EDATE($C$38,B167)+VLOOKUP(EDATE($C$38,B167),Feriados!$A$2:$B$17,2,FALSE)))</f>
        <v/>
      </c>
      <c r="G168" s="6" t="str">
        <f t="shared" si="60"/>
        <v/>
      </c>
      <c r="H168" s="6" t="str">
        <f t="shared" si="61"/>
        <v/>
      </c>
      <c r="I168" s="8" t="str">
        <f t="shared" si="62"/>
        <v/>
      </c>
      <c r="J168" s="8" t="str">
        <f t="shared" si="48"/>
        <v/>
      </c>
      <c r="K168" s="9" t="str">
        <f t="shared" si="49"/>
        <v/>
      </c>
      <c r="L168" s="9" t="str">
        <f t="shared" si="63"/>
        <v/>
      </c>
      <c r="M168" s="10" t="str">
        <f t="shared" si="50"/>
        <v/>
      </c>
      <c r="N168" s="6" t="str">
        <f t="shared" si="51"/>
        <v/>
      </c>
      <c r="O168" s="9" t="str">
        <f t="shared" si="52"/>
        <v/>
      </c>
      <c r="P168" s="9" t="str">
        <f t="shared" si="53"/>
        <v/>
      </c>
      <c r="Q168" s="9" t="str">
        <f t="shared" si="54"/>
        <v/>
      </c>
      <c r="R168" s="9" t="str">
        <f t="shared" ca="1" si="55"/>
        <v/>
      </c>
      <c r="T168" s="6" t="str">
        <f t="shared" si="64"/>
        <v/>
      </c>
      <c r="U168" s="6" t="str">
        <f t="shared" si="56"/>
        <v/>
      </c>
      <c r="V168" s="10" t="str">
        <f t="shared" si="57"/>
        <v/>
      </c>
      <c r="W168" s="8" t="str">
        <f t="shared" si="58"/>
        <v/>
      </c>
      <c r="X168" s="9">
        <f t="shared" si="65"/>
        <v>0</v>
      </c>
      <c r="Y168" s="9">
        <f t="shared" ref="Y168:Y231" si="67">IF(O168="",0,L168/((1+$Q$30)^B168))</f>
        <v>0</v>
      </c>
    </row>
    <row r="169" spans="2:25" x14ac:dyDescent="0.3">
      <c r="B169" s="6">
        <v>132</v>
      </c>
      <c r="C169" s="79" t="str">
        <f t="shared" si="66"/>
        <v/>
      </c>
      <c r="D169" s="6" t="str">
        <f t="shared" si="47"/>
        <v/>
      </c>
      <c r="E169" s="79" t="str">
        <f t="shared" si="59"/>
        <v/>
      </c>
      <c r="F169" s="79" t="str">
        <f>IF(B168&gt;$C$18,"",IF(COUNTIF(Feriados!$A$2:$B$17,EDATE($C$38,B168))=0,EDATE($C$38,B168),EDATE($C$38,B168)+VLOOKUP(EDATE($C$38,B168),Feriados!$A$2:$B$17,2,FALSE)))</f>
        <v/>
      </c>
      <c r="G169" s="6" t="str">
        <f t="shared" si="60"/>
        <v/>
      </c>
      <c r="H169" s="6" t="str">
        <f t="shared" si="61"/>
        <v/>
      </c>
      <c r="I169" s="8" t="str">
        <f t="shared" si="62"/>
        <v/>
      </c>
      <c r="J169" s="8" t="str">
        <f t="shared" si="48"/>
        <v/>
      </c>
      <c r="K169" s="9" t="str">
        <f t="shared" si="49"/>
        <v/>
      </c>
      <c r="L169" s="9" t="str">
        <f t="shared" si="63"/>
        <v/>
      </c>
      <c r="M169" s="10" t="str">
        <f t="shared" si="50"/>
        <v/>
      </c>
      <c r="N169" s="6" t="str">
        <f t="shared" si="51"/>
        <v/>
      </c>
      <c r="O169" s="9" t="str">
        <f t="shared" si="52"/>
        <v/>
      </c>
      <c r="P169" s="9" t="str">
        <f t="shared" si="53"/>
        <v/>
      </c>
      <c r="Q169" s="9" t="str">
        <f t="shared" si="54"/>
        <v/>
      </c>
      <c r="R169" s="9" t="str">
        <f t="shared" ca="1" si="55"/>
        <v/>
      </c>
      <c r="T169" s="6" t="str">
        <f t="shared" si="64"/>
        <v/>
      </c>
      <c r="U169" s="6" t="str">
        <f t="shared" si="56"/>
        <v/>
      </c>
      <c r="V169" s="10" t="str">
        <f t="shared" si="57"/>
        <v/>
      </c>
      <c r="W169" s="8" t="str">
        <f t="shared" si="58"/>
        <v/>
      </c>
      <c r="X169" s="9">
        <f t="shared" si="65"/>
        <v>0</v>
      </c>
      <c r="Y169" s="9">
        <f t="shared" si="67"/>
        <v>0</v>
      </c>
    </row>
    <row r="170" spans="2:25" x14ac:dyDescent="0.3">
      <c r="B170" s="6">
        <v>133</v>
      </c>
      <c r="C170" s="79" t="str">
        <f t="shared" si="66"/>
        <v/>
      </c>
      <c r="D170" s="6" t="str">
        <f t="shared" si="47"/>
        <v/>
      </c>
      <c r="E170" s="79" t="str">
        <f t="shared" si="59"/>
        <v/>
      </c>
      <c r="F170" s="79" t="str">
        <f>IF(B169&gt;$C$18,"",IF(COUNTIF(Feriados!$A$2:$B$17,EDATE($C$38,B169))=0,EDATE($C$38,B169),EDATE($C$38,B169)+VLOOKUP(EDATE($C$38,B169),Feriados!$A$2:$B$17,2,FALSE)))</f>
        <v/>
      </c>
      <c r="G170" s="6" t="str">
        <f t="shared" si="60"/>
        <v/>
      </c>
      <c r="H170" s="6" t="str">
        <f t="shared" si="61"/>
        <v/>
      </c>
      <c r="I170" s="8" t="str">
        <f t="shared" si="62"/>
        <v/>
      </c>
      <c r="J170" s="8" t="str">
        <f t="shared" si="48"/>
        <v/>
      </c>
      <c r="K170" s="9" t="str">
        <f t="shared" si="49"/>
        <v/>
      </c>
      <c r="L170" s="9" t="str">
        <f t="shared" si="63"/>
        <v/>
      </c>
      <c r="M170" s="10" t="str">
        <f t="shared" si="50"/>
        <v/>
      </c>
      <c r="N170" s="6" t="str">
        <f t="shared" si="51"/>
        <v/>
      </c>
      <c r="O170" s="9" t="str">
        <f t="shared" si="52"/>
        <v/>
      </c>
      <c r="P170" s="9" t="str">
        <f t="shared" si="53"/>
        <v/>
      </c>
      <c r="Q170" s="9" t="str">
        <f t="shared" si="54"/>
        <v/>
      </c>
      <c r="R170" s="9" t="str">
        <f t="shared" ca="1" si="55"/>
        <v/>
      </c>
      <c r="T170" s="6" t="str">
        <f t="shared" si="64"/>
        <v/>
      </c>
      <c r="U170" s="6" t="str">
        <f t="shared" si="56"/>
        <v/>
      </c>
      <c r="V170" s="10" t="str">
        <f t="shared" si="57"/>
        <v/>
      </c>
      <c r="W170" s="8" t="str">
        <f t="shared" si="58"/>
        <v/>
      </c>
      <c r="X170" s="9">
        <f t="shared" si="65"/>
        <v>0</v>
      </c>
      <c r="Y170" s="9">
        <f t="shared" si="67"/>
        <v>0</v>
      </c>
    </row>
    <row r="171" spans="2:25" x14ac:dyDescent="0.3">
      <c r="B171" s="6">
        <v>134</v>
      </c>
      <c r="C171" s="79" t="str">
        <f t="shared" si="66"/>
        <v/>
      </c>
      <c r="D171" s="6" t="str">
        <f t="shared" si="47"/>
        <v/>
      </c>
      <c r="E171" s="79" t="str">
        <f t="shared" si="59"/>
        <v/>
      </c>
      <c r="F171" s="79" t="str">
        <f>IF(B170&gt;$C$18,"",IF(COUNTIF(Feriados!$A$2:$B$17,EDATE($C$38,B170))=0,EDATE($C$38,B170),EDATE($C$38,B170)+VLOOKUP(EDATE($C$38,B170),Feriados!$A$2:$B$17,2,FALSE)))</f>
        <v/>
      </c>
      <c r="G171" s="6" t="str">
        <f t="shared" si="60"/>
        <v/>
      </c>
      <c r="H171" s="6" t="str">
        <f t="shared" si="61"/>
        <v/>
      </c>
      <c r="I171" s="8" t="str">
        <f t="shared" si="62"/>
        <v/>
      </c>
      <c r="J171" s="8" t="str">
        <f t="shared" si="48"/>
        <v/>
      </c>
      <c r="K171" s="9" t="str">
        <f t="shared" si="49"/>
        <v/>
      </c>
      <c r="L171" s="9" t="str">
        <f t="shared" si="63"/>
        <v/>
      </c>
      <c r="M171" s="10" t="str">
        <f t="shared" si="50"/>
        <v/>
      </c>
      <c r="N171" s="6" t="str">
        <f t="shared" si="51"/>
        <v/>
      </c>
      <c r="O171" s="9" t="str">
        <f t="shared" si="52"/>
        <v/>
      </c>
      <c r="P171" s="9" t="str">
        <f t="shared" si="53"/>
        <v/>
      </c>
      <c r="Q171" s="9" t="str">
        <f t="shared" si="54"/>
        <v/>
      </c>
      <c r="R171" s="9" t="str">
        <f t="shared" ca="1" si="55"/>
        <v/>
      </c>
      <c r="T171" s="6" t="str">
        <f t="shared" si="64"/>
        <v/>
      </c>
      <c r="U171" s="6" t="str">
        <f t="shared" si="56"/>
        <v/>
      </c>
      <c r="V171" s="10" t="str">
        <f t="shared" si="57"/>
        <v/>
      </c>
      <c r="W171" s="8" t="str">
        <f t="shared" si="58"/>
        <v/>
      </c>
      <c r="X171" s="9">
        <f t="shared" si="65"/>
        <v>0</v>
      </c>
      <c r="Y171" s="9">
        <f t="shared" si="67"/>
        <v>0</v>
      </c>
    </row>
    <row r="172" spans="2:25" x14ac:dyDescent="0.3">
      <c r="B172" s="6">
        <v>135</v>
      </c>
      <c r="C172" s="79" t="str">
        <f t="shared" si="66"/>
        <v/>
      </c>
      <c r="D172" s="6" t="str">
        <f t="shared" si="47"/>
        <v/>
      </c>
      <c r="E172" s="79" t="str">
        <f t="shared" si="59"/>
        <v/>
      </c>
      <c r="F172" s="79" t="str">
        <f>IF(B171&gt;$C$18,"",IF(COUNTIF(Feriados!$A$2:$B$17,EDATE($C$38,B171))=0,EDATE($C$38,B171),EDATE($C$38,B171)+VLOOKUP(EDATE($C$38,B171),Feriados!$A$2:$B$17,2,FALSE)))</f>
        <v/>
      </c>
      <c r="G172" s="6" t="str">
        <f t="shared" si="60"/>
        <v/>
      </c>
      <c r="H172" s="6" t="str">
        <f t="shared" si="61"/>
        <v/>
      </c>
      <c r="I172" s="8" t="str">
        <f t="shared" si="62"/>
        <v/>
      </c>
      <c r="J172" s="8" t="str">
        <f t="shared" si="48"/>
        <v/>
      </c>
      <c r="K172" s="9" t="str">
        <f t="shared" si="49"/>
        <v/>
      </c>
      <c r="L172" s="9" t="str">
        <f t="shared" si="63"/>
        <v/>
      </c>
      <c r="M172" s="10" t="str">
        <f t="shared" si="50"/>
        <v/>
      </c>
      <c r="N172" s="6" t="str">
        <f t="shared" si="51"/>
        <v/>
      </c>
      <c r="O172" s="9" t="str">
        <f t="shared" si="52"/>
        <v/>
      </c>
      <c r="P172" s="9" t="str">
        <f t="shared" si="53"/>
        <v/>
      </c>
      <c r="Q172" s="9" t="str">
        <f t="shared" si="54"/>
        <v/>
      </c>
      <c r="R172" s="9" t="str">
        <f t="shared" ca="1" si="55"/>
        <v/>
      </c>
      <c r="T172" s="6" t="str">
        <f t="shared" si="64"/>
        <v/>
      </c>
      <c r="U172" s="6" t="str">
        <f t="shared" si="56"/>
        <v/>
      </c>
      <c r="V172" s="10" t="str">
        <f t="shared" si="57"/>
        <v/>
      </c>
      <c r="W172" s="8" t="str">
        <f t="shared" si="58"/>
        <v/>
      </c>
      <c r="X172" s="9">
        <f t="shared" si="65"/>
        <v>0</v>
      </c>
      <c r="Y172" s="9">
        <f t="shared" si="67"/>
        <v>0</v>
      </c>
    </row>
    <row r="173" spans="2:25" x14ac:dyDescent="0.3">
      <c r="B173" s="6">
        <v>136</v>
      </c>
      <c r="C173" s="79" t="str">
        <f t="shared" si="66"/>
        <v/>
      </c>
      <c r="D173" s="6" t="str">
        <f t="shared" si="47"/>
        <v/>
      </c>
      <c r="E173" s="79" t="str">
        <f t="shared" si="59"/>
        <v/>
      </c>
      <c r="F173" s="79" t="str">
        <f>IF(B172&gt;$C$18,"",IF(COUNTIF(Feriados!$A$2:$B$17,EDATE($C$38,B172))=0,EDATE($C$38,B172),EDATE($C$38,B172)+VLOOKUP(EDATE($C$38,B172),Feriados!$A$2:$B$17,2,FALSE)))</f>
        <v/>
      </c>
      <c r="G173" s="6" t="str">
        <f t="shared" si="60"/>
        <v/>
      </c>
      <c r="H173" s="6" t="str">
        <f t="shared" si="61"/>
        <v/>
      </c>
      <c r="I173" s="8" t="str">
        <f t="shared" si="62"/>
        <v/>
      </c>
      <c r="J173" s="8" t="str">
        <f t="shared" si="48"/>
        <v/>
      </c>
      <c r="K173" s="9" t="str">
        <f t="shared" si="49"/>
        <v/>
      </c>
      <c r="L173" s="9" t="str">
        <f t="shared" si="63"/>
        <v/>
      </c>
      <c r="M173" s="10" t="str">
        <f t="shared" si="50"/>
        <v/>
      </c>
      <c r="N173" s="6" t="str">
        <f t="shared" si="51"/>
        <v/>
      </c>
      <c r="O173" s="9" t="str">
        <f t="shared" si="52"/>
        <v/>
      </c>
      <c r="P173" s="9" t="str">
        <f t="shared" si="53"/>
        <v/>
      </c>
      <c r="Q173" s="9" t="str">
        <f t="shared" si="54"/>
        <v/>
      </c>
      <c r="R173" s="9" t="str">
        <f t="shared" ca="1" si="55"/>
        <v/>
      </c>
      <c r="T173" s="6" t="str">
        <f t="shared" si="64"/>
        <v/>
      </c>
      <c r="U173" s="6" t="str">
        <f t="shared" si="56"/>
        <v/>
      </c>
      <c r="V173" s="10" t="str">
        <f t="shared" si="57"/>
        <v/>
      </c>
      <c r="W173" s="8" t="str">
        <f t="shared" si="58"/>
        <v/>
      </c>
      <c r="X173" s="9">
        <f t="shared" si="65"/>
        <v>0</v>
      </c>
      <c r="Y173" s="9">
        <f t="shared" si="67"/>
        <v>0</v>
      </c>
    </row>
    <row r="174" spans="2:25" x14ac:dyDescent="0.3">
      <c r="B174" s="6">
        <v>137</v>
      </c>
      <c r="C174" s="79" t="str">
        <f t="shared" si="66"/>
        <v/>
      </c>
      <c r="D174" s="6" t="str">
        <f t="shared" si="47"/>
        <v/>
      </c>
      <c r="E174" s="79" t="str">
        <f t="shared" si="59"/>
        <v/>
      </c>
      <c r="F174" s="79" t="str">
        <f>IF(B173&gt;$C$18,"",IF(COUNTIF(Feriados!$A$2:$B$17,EDATE($C$38,B173))=0,EDATE($C$38,B173),EDATE($C$38,B173)+VLOOKUP(EDATE($C$38,B173),Feriados!$A$2:$B$17,2,FALSE)))</f>
        <v/>
      </c>
      <c r="G174" s="6" t="str">
        <f t="shared" si="60"/>
        <v/>
      </c>
      <c r="H174" s="6" t="str">
        <f t="shared" si="61"/>
        <v/>
      </c>
      <c r="I174" s="8" t="str">
        <f t="shared" si="62"/>
        <v/>
      </c>
      <c r="J174" s="8" t="str">
        <f t="shared" si="48"/>
        <v/>
      </c>
      <c r="K174" s="9" t="str">
        <f t="shared" si="49"/>
        <v/>
      </c>
      <c r="L174" s="9" t="str">
        <f t="shared" si="63"/>
        <v/>
      </c>
      <c r="M174" s="10" t="str">
        <f t="shared" si="50"/>
        <v/>
      </c>
      <c r="N174" s="6" t="str">
        <f t="shared" si="51"/>
        <v/>
      </c>
      <c r="O174" s="9" t="str">
        <f t="shared" si="52"/>
        <v/>
      </c>
      <c r="P174" s="9" t="str">
        <f t="shared" si="53"/>
        <v/>
      </c>
      <c r="Q174" s="9" t="str">
        <f t="shared" si="54"/>
        <v/>
      </c>
      <c r="R174" s="9" t="str">
        <f t="shared" ca="1" si="55"/>
        <v/>
      </c>
      <c r="T174" s="6" t="str">
        <f t="shared" si="64"/>
        <v/>
      </c>
      <c r="U174" s="6" t="str">
        <f t="shared" si="56"/>
        <v/>
      </c>
      <c r="V174" s="10" t="str">
        <f t="shared" si="57"/>
        <v/>
      </c>
      <c r="W174" s="8" t="str">
        <f t="shared" si="58"/>
        <v/>
      </c>
      <c r="X174" s="9">
        <f t="shared" si="65"/>
        <v>0</v>
      </c>
      <c r="Y174" s="9">
        <f t="shared" si="67"/>
        <v>0</v>
      </c>
    </row>
    <row r="175" spans="2:25" x14ac:dyDescent="0.3">
      <c r="B175" s="6">
        <v>138</v>
      </c>
      <c r="C175" s="79" t="str">
        <f t="shared" si="66"/>
        <v/>
      </c>
      <c r="D175" s="6" t="str">
        <f t="shared" si="47"/>
        <v/>
      </c>
      <c r="E175" s="79" t="str">
        <f t="shared" si="59"/>
        <v/>
      </c>
      <c r="F175" s="79" t="str">
        <f>IF(B174&gt;$C$18,"",IF(COUNTIF(Feriados!$A$2:$B$17,EDATE($C$38,B174))=0,EDATE($C$38,B174),EDATE($C$38,B174)+VLOOKUP(EDATE($C$38,B174),Feriados!$A$2:$B$17,2,FALSE)))</f>
        <v/>
      </c>
      <c r="G175" s="6" t="str">
        <f t="shared" si="60"/>
        <v/>
      </c>
      <c r="H175" s="6" t="str">
        <f t="shared" si="61"/>
        <v/>
      </c>
      <c r="I175" s="8" t="str">
        <f t="shared" si="62"/>
        <v/>
      </c>
      <c r="J175" s="8" t="str">
        <f t="shared" si="48"/>
        <v/>
      </c>
      <c r="K175" s="9" t="str">
        <f t="shared" si="49"/>
        <v/>
      </c>
      <c r="L175" s="9" t="str">
        <f t="shared" si="63"/>
        <v/>
      </c>
      <c r="M175" s="10" t="str">
        <f t="shared" si="50"/>
        <v/>
      </c>
      <c r="N175" s="6" t="str">
        <f t="shared" si="51"/>
        <v/>
      </c>
      <c r="O175" s="9" t="str">
        <f t="shared" si="52"/>
        <v/>
      </c>
      <c r="P175" s="9" t="str">
        <f t="shared" si="53"/>
        <v/>
      </c>
      <c r="Q175" s="9" t="str">
        <f t="shared" si="54"/>
        <v/>
      </c>
      <c r="R175" s="9" t="str">
        <f t="shared" ca="1" si="55"/>
        <v/>
      </c>
      <c r="T175" s="6" t="str">
        <f t="shared" si="64"/>
        <v/>
      </c>
      <c r="U175" s="6" t="str">
        <f t="shared" si="56"/>
        <v/>
      </c>
      <c r="V175" s="10" t="str">
        <f t="shared" si="57"/>
        <v/>
      </c>
      <c r="W175" s="8" t="str">
        <f t="shared" si="58"/>
        <v/>
      </c>
      <c r="X175" s="9">
        <f t="shared" si="65"/>
        <v>0</v>
      </c>
      <c r="Y175" s="9">
        <f t="shared" si="67"/>
        <v>0</v>
      </c>
    </row>
    <row r="176" spans="2:25" x14ac:dyDescent="0.3">
      <c r="B176" s="6">
        <v>139</v>
      </c>
      <c r="C176" s="79" t="str">
        <f t="shared" si="66"/>
        <v/>
      </c>
      <c r="D176" s="6" t="str">
        <f t="shared" si="47"/>
        <v/>
      </c>
      <c r="E176" s="79" t="str">
        <f t="shared" si="59"/>
        <v/>
      </c>
      <c r="F176" s="79" t="str">
        <f>IF(B175&gt;$C$18,"",IF(COUNTIF(Feriados!$A$2:$B$17,EDATE($C$38,B175))=0,EDATE($C$38,B175),EDATE($C$38,B175)+VLOOKUP(EDATE($C$38,B175),Feriados!$A$2:$B$17,2,FALSE)))</f>
        <v/>
      </c>
      <c r="G176" s="6" t="str">
        <f t="shared" si="60"/>
        <v/>
      </c>
      <c r="H176" s="6" t="str">
        <f t="shared" si="61"/>
        <v/>
      </c>
      <c r="I176" s="8" t="str">
        <f t="shared" si="62"/>
        <v/>
      </c>
      <c r="J176" s="8" t="str">
        <f t="shared" si="48"/>
        <v/>
      </c>
      <c r="K176" s="9" t="str">
        <f t="shared" si="49"/>
        <v/>
      </c>
      <c r="L176" s="9" t="str">
        <f t="shared" si="63"/>
        <v/>
      </c>
      <c r="M176" s="10" t="str">
        <f t="shared" si="50"/>
        <v/>
      </c>
      <c r="N176" s="6" t="str">
        <f t="shared" si="51"/>
        <v/>
      </c>
      <c r="O176" s="9" t="str">
        <f t="shared" si="52"/>
        <v/>
      </c>
      <c r="P176" s="9" t="str">
        <f t="shared" si="53"/>
        <v/>
      </c>
      <c r="Q176" s="9" t="str">
        <f t="shared" si="54"/>
        <v/>
      </c>
      <c r="R176" s="9" t="str">
        <f t="shared" ca="1" si="55"/>
        <v/>
      </c>
      <c r="T176" s="6" t="str">
        <f t="shared" si="64"/>
        <v/>
      </c>
      <c r="U176" s="6" t="str">
        <f t="shared" si="56"/>
        <v/>
      </c>
      <c r="V176" s="10" t="str">
        <f t="shared" si="57"/>
        <v/>
      </c>
      <c r="W176" s="8" t="str">
        <f t="shared" si="58"/>
        <v/>
      </c>
      <c r="X176" s="9">
        <f t="shared" si="65"/>
        <v>0</v>
      </c>
      <c r="Y176" s="9">
        <f t="shared" si="67"/>
        <v>0</v>
      </c>
    </row>
    <row r="177" spans="2:25" x14ac:dyDescent="0.3">
      <c r="B177" s="6">
        <v>140</v>
      </c>
      <c r="C177" s="79" t="str">
        <f t="shared" si="66"/>
        <v/>
      </c>
      <c r="D177" s="6" t="str">
        <f t="shared" si="47"/>
        <v/>
      </c>
      <c r="E177" s="79" t="str">
        <f t="shared" si="59"/>
        <v/>
      </c>
      <c r="F177" s="79" t="str">
        <f>IF(B176&gt;$C$18,"",IF(COUNTIF(Feriados!$A$2:$B$17,EDATE($C$38,B176))=0,EDATE($C$38,B176),EDATE($C$38,B176)+VLOOKUP(EDATE($C$38,B176),Feriados!$A$2:$B$17,2,FALSE)))</f>
        <v/>
      </c>
      <c r="G177" s="6" t="str">
        <f t="shared" si="60"/>
        <v/>
      </c>
      <c r="H177" s="6" t="str">
        <f t="shared" si="61"/>
        <v/>
      </c>
      <c r="I177" s="8" t="str">
        <f t="shared" si="62"/>
        <v/>
      </c>
      <c r="J177" s="8" t="str">
        <f t="shared" si="48"/>
        <v/>
      </c>
      <c r="K177" s="9" t="str">
        <f t="shared" si="49"/>
        <v/>
      </c>
      <c r="L177" s="9" t="str">
        <f t="shared" si="63"/>
        <v/>
      </c>
      <c r="M177" s="10" t="str">
        <f t="shared" si="50"/>
        <v/>
      </c>
      <c r="N177" s="6" t="str">
        <f t="shared" si="51"/>
        <v/>
      </c>
      <c r="O177" s="9" t="str">
        <f t="shared" si="52"/>
        <v/>
      </c>
      <c r="P177" s="9" t="str">
        <f t="shared" si="53"/>
        <v/>
      </c>
      <c r="Q177" s="9" t="str">
        <f t="shared" si="54"/>
        <v/>
      </c>
      <c r="R177" s="9" t="str">
        <f t="shared" ca="1" si="55"/>
        <v/>
      </c>
      <c r="T177" s="6" t="str">
        <f t="shared" si="64"/>
        <v/>
      </c>
      <c r="U177" s="6" t="str">
        <f t="shared" si="56"/>
        <v/>
      </c>
      <c r="V177" s="10" t="str">
        <f t="shared" si="57"/>
        <v/>
      </c>
      <c r="W177" s="8" t="str">
        <f t="shared" si="58"/>
        <v/>
      </c>
      <c r="X177" s="9">
        <f t="shared" si="65"/>
        <v>0</v>
      </c>
      <c r="Y177" s="9">
        <f t="shared" si="67"/>
        <v>0</v>
      </c>
    </row>
    <row r="178" spans="2:25" x14ac:dyDescent="0.3">
      <c r="B178" s="6">
        <v>141</v>
      </c>
      <c r="C178" s="79" t="str">
        <f t="shared" si="66"/>
        <v/>
      </c>
      <c r="D178" s="6" t="str">
        <f t="shared" si="47"/>
        <v/>
      </c>
      <c r="E178" s="79" t="str">
        <f t="shared" si="59"/>
        <v/>
      </c>
      <c r="F178" s="79" t="str">
        <f>IF(B177&gt;$C$18,"",IF(COUNTIF(Feriados!$A$2:$B$17,EDATE($C$38,B177))=0,EDATE($C$38,B177),EDATE($C$38,B177)+VLOOKUP(EDATE($C$38,B177),Feriados!$A$2:$B$17,2,FALSE)))</f>
        <v/>
      </c>
      <c r="G178" s="6" t="str">
        <f t="shared" si="60"/>
        <v/>
      </c>
      <c r="H178" s="6" t="str">
        <f t="shared" si="61"/>
        <v/>
      </c>
      <c r="I178" s="8" t="str">
        <f t="shared" si="62"/>
        <v/>
      </c>
      <c r="J178" s="8" t="str">
        <f t="shared" si="48"/>
        <v/>
      </c>
      <c r="K178" s="9" t="str">
        <f t="shared" si="49"/>
        <v/>
      </c>
      <c r="L178" s="9" t="str">
        <f t="shared" si="63"/>
        <v/>
      </c>
      <c r="M178" s="10" t="str">
        <f t="shared" si="50"/>
        <v/>
      </c>
      <c r="N178" s="6" t="str">
        <f t="shared" si="51"/>
        <v/>
      </c>
      <c r="O178" s="9" t="str">
        <f t="shared" si="52"/>
        <v/>
      </c>
      <c r="P178" s="9" t="str">
        <f t="shared" si="53"/>
        <v/>
      </c>
      <c r="Q178" s="9" t="str">
        <f t="shared" si="54"/>
        <v/>
      </c>
      <c r="R178" s="9" t="str">
        <f t="shared" ca="1" si="55"/>
        <v/>
      </c>
      <c r="T178" s="6" t="str">
        <f t="shared" si="64"/>
        <v/>
      </c>
      <c r="U178" s="6" t="str">
        <f t="shared" si="56"/>
        <v/>
      </c>
      <c r="V178" s="10" t="str">
        <f t="shared" si="57"/>
        <v/>
      </c>
      <c r="W178" s="8" t="str">
        <f t="shared" si="58"/>
        <v/>
      </c>
      <c r="X178" s="9">
        <f t="shared" si="65"/>
        <v>0</v>
      </c>
      <c r="Y178" s="9">
        <f t="shared" si="67"/>
        <v>0</v>
      </c>
    </row>
    <row r="179" spans="2:25" x14ac:dyDescent="0.3">
      <c r="B179" s="6">
        <v>142</v>
      </c>
      <c r="C179" s="79" t="str">
        <f t="shared" si="66"/>
        <v/>
      </c>
      <c r="D179" s="6" t="str">
        <f t="shared" si="47"/>
        <v/>
      </c>
      <c r="E179" s="79" t="str">
        <f t="shared" si="59"/>
        <v/>
      </c>
      <c r="F179" s="79" t="str">
        <f>IF(B178&gt;$C$18,"",IF(COUNTIF(Feriados!$A$2:$B$17,EDATE($C$38,B178))=0,EDATE($C$38,B178),EDATE($C$38,B178)+VLOOKUP(EDATE($C$38,B178),Feriados!$A$2:$B$17,2,FALSE)))</f>
        <v/>
      </c>
      <c r="G179" s="6" t="str">
        <f t="shared" si="60"/>
        <v/>
      </c>
      <c r="H179" s="6" t="str">
        <f t="shared" si="61"/>
        <v/>
      </c>
      <c r="I179" s="8" t="str">
        <f t="shared" si="62"/>
        <v/>
      </c>
      <c r="J179" s="8" t="str">
        <f t="shared" si="48"/>
        <v/>
      </c>
      <c r="K179" s="9" t="str">
        <f t="shared" si="49"/>
        <v/>
      </c>
      <c r="L179" s="9" t="str">
        <f t="shared" si="63"/>
        <v/>
      </c>
      <c r="M179" s="10" t="str">
        <f t="shared" si="50"/>
        <v/>
      </c>
      <c r="N179" s="6" t="str">
        <f t="shared" si="51"/>
        <v/>
      </c>
      <c r="O179" s="9" t="str">
        <f t="shared" si="52"/>
        <v/>
      </c>
      <c r="P179" s="9" t="str">
        <f t="shared" si="53"/>
        <v/>
      </c>
      <c r="Q179" s="9" t="str">
        <f t="shared" si="54"/>
        <v/>
      </c>
      <c r="R179" s="9" t="str">
        <f t="shared" ca="1" si="55"/>
        <v/>
      </c>
      <c r="T179" s="6" t="str">
        <f t="shared" si="64"/>
        <v/>
      </c>
      <c r="U179" s="6" t="str">
        <f t="shared" si="56"/>
        <v/>
      </c>
      <c r="V179" s="10" t="str">
        <f t="shared" si="57"/>
        <v/>
      </c>
      <c r="W179" s="8" t="str">
        <f t="shared" si="58"/>
        <v/>
      </c>
      <c r="X179" s="9">
        <f t="shared" si="65"/>
        <v>0</v>
      </c>
      <c r="Y179" s="9">
        <f t="shared" si="67"/>
        <v>0</v>
      </c>
    </row>
    <row r="180" spans="2:25" x14ac:dyDescent="0.3">
      <c r="B180" s="6">
        <v>143</v>
      </c>
      <c r="C180" s="79" t="str">
        <f t="shared" si="66"/>
        <v/>
      </c>
      <c r="D180" s="6" t="str">
        <f t="shared" si="47"/>
        <v/>
      </c>
      <c r="E180" s="79" t="str">
        <f t="shared" si="59"/>
        <v/>
      </c>
      <c r="F180" s="79" t="str">
        <f>IF(B179&gt;$C$18,"",IF(COUNTIF(Feriados!$A$2:$B$17,EDATE($C$38,B179))=0,EDATE($C$38,B179),EDATE($C$38,B179)+VLOOKUP(EDATE($C$38,B179),Feriados!$A$2:$B$17,2,FALSE)))</f>
        <v/>
      </c>
      <c r="G180" s="6" t="str">
        <f t="shared" si="60"/>
        <v/>
      </c>
      <c r="H180" s="6" t="str">
        <f t="shared" si="61"/>
        <v/>
      </c>
      <c r="I180" s="8" t="str">
        <f t="shared" si="62"/>
        <v/>
      </c>
      <c r="J180" s="8" t="str">
        <f t="shared" si="48"/>
        <v/>
      </c>
      <c r="K180" s="9" t="str">
        <f t="shared" si="49"/>
        <v/>
      </c>
      <c r="L180" s="9" t="str">
        <f t="shared" si="63"/>
        <v/>
      </c>
      <c r="M180" s="10" t="str">
        <f t="shared" si="50"/>
        <v/>
      </c>
      <c r="N180" s="6" t="str">
        <f t="shared" si="51"/>
        <v/>
      </c>
      <c r="O180" s="9" t="str">
        <f t="shared" si="52"/>
        <v/>
      </c>
      <c r="P180" s="9" t="str">
        <f t="shared" si="53"/>
        <v/>
      </c>
      <c r="Q180" s="9" t="str">
        <f t="shared" si="54"/>
        <v/>
      </c>
      <c r="R180" s="9" t="str">
        <f t="shared" ca="1" si="55"/>
        <v/>
      </c>
      <c r="T180" s="6" t="str">
        <f t="shared" si="64"/>
        <v/>
      </c>
      <c r="U180" s="6" t="str">
        <f t="shared" si="56"/>
        <v/>
      </c>
      <c r="V180" s="10" t="str">
        <f t="shared" si="57"/>
        <v/>
      </c>
      <c r="W180" s="8" t="str">
        <f t="shared" si="58"/>
        <v/>
      </c>
      <c r="X180" s="9">
        <f t="shared" si="65"/>
        <v>0</v>
      </c>
      <c r="Y180" s="9">
        <f t="shared" si="67"/>
        <v>0</v>
      </c>
    </row>
    <row r="181" spans="2:25" x14ac:dyDescent="0.3">
      <c r="B181" s="6">
        <v>144</v>
      </c>
      <c r="C181" s="79" t="str">
        <f t="shared" si="66"/>
        <v/>
      </c>
      <c r="D181" s="6" t="str">
        <f t="shared" si="47"/>
        <v/>
      </c>
      <c r="E181" s="79" t="str">
        <f t="shared" si="59"/>
        <v/>
      </c>
      <c r="F181" s="79" t="str">
        <f>IF(B180&gt;$C$18,"",IF(COUNTIF(Feriados!$A$2:$B$17,EDATE($C$38,B180))=0,EDATE($C$38,B180),EDATE($C$38,B180)+VLOOKUP(EDATE($C$38,B180),Feriados!$A$2:$B$17,2,FALSE)))</f>
        <v/>
      </c>
      <c r="G181" s="6" t="str">
        <f t="shared" si="60"/>
        <v/>
      </c>
      <c r="H181" s="6" t="str">
        <f t="shared" si="61"/>
        <v/>
      </c>
      <c r="I181" s="8" t="str">
        <f t="shared" si="62"/>
        <v/>
      </c>
      <c r="J181" s="8" t="str">
        <f t="shared" si="48"/>
        <v/>
      </c>
      <c r="K181" s="9" t="str">
        <f t="shared" si="49"/>
        <v/>
      </c>
      <c r="L181" s="9" t="str">
        <f t="shared" si="63"/>
        <v/>
      </c>
      <c r="M181" s="10" t="str">
        <f t="shared" si="50"/>
        <v/>
      </c>
      <c r="N181" s="6" t="str">
        <f t="shared" si="51"/>
        <v/>
      </c>
      <c r="O181" s="9" t="str">
        <f t="shared" si="52"/>
        <v/>
      </c>
      <c r="P181" s="9" t="str">
        <f t="shared" si="53"/>
        <v/>
      </c>
      <c r="Q181" s="9" t="str">
        <f t="shared" si="54"/>
        <v/>
      </c>
      <c r="R181" s="9" t="str">
        <f t="shared" ca="1" si="55"/>
        <v/>
      </c>
      <c r="T181" s="6" t="str">
        <f t="shared" si="64"/>
        <v/>
      </c>
      <c r="U181" s="6" t="str">
        <f t="shared" si="56"/>
        <v/>
      </c>
      <c r="V181" s="10" t="str">
        <f t="shared" si="57"/>
        <v/>
      </c>
      <c r="W181" s="8" t="str">
        <f t="shared" si="58"/>
        <v/>
      </c>
      <c r="X181" s="9">
        <f t="shared" si="65"/>
        <v>0</v>
      </c>
      <c r="Y181" s="9">
        <f t="shared" si="67"/>
        <v>0</v>
      </c>
    </row>
    <row r="182" spans="2:25" x14ac:dyDescent="0.3">
      <c r="B182" s="6">
        <v>145</v>
      </c>
      <c r="C182" s="79" t="str">
        <f t="shared" si="66"/>
        <v/>
      </c>
      <c r="D182" s="6" t="str">
        <f t="shared" si="47"/>
        <v/>
      </c>
      <c r="E182" s="79" t="str">
        <f t="shared" si="59"/>
        <v/>
      </c>
      <c r="F182" s="79" t="str">
        <f>IF(B181&gt;$C$18,"",IF(COUNTIF(Feriados!$A$2:$B$17,EDATE($C$38,B181))=0,EDATE($C$38,B181),EDATE($C$38,B181)+VLOOKUP(EDATE($C$38,B181),Feriados!$A$2:$B$17,2,FALSE)))</f>
        <v/>
      </c>
      <c r="G182" s="6" t="str">
        <f t="shared" si="60"/>
        <v/>
      </c>
      <c r="H182" s="6" t="str">
        <f t="shared" si="61"/>
        <v/>
      </c>
      <c r="I182" s="8" t="str">
        <f t="shared" si="62"/>
        <v/>
      </c>
      <c r="J182" s="8" t="str">
        <f t="shared" si="48"/>
        <v/>
      </c>
      <c r="K182" s="9" t="str">
        <f t="shared" si="49"/>
        <v/>
      </c>
      <c r="L182" s="9" t="str">
        <f t="shared" si="63"/>
        <v/>
      </c>
      <c r="M182" s="10" t="str">
        <f t="shared" si="50"/>
        <v/>
      </c>
      <c r="N182" s="6" t="str">
        <f t="shared" si="51"/>
        <v/>
      </c>
      <c r="O182" s="9" t="str">
        <f t="shared" si="52"/>
        <v/>
      </c>
      <c r="P182" s="9" t="str">
        <f t="shared" si="53"/>
        <v/>
      </c>
      <c r="Q182" s="9" t="str">
        <f t="shared" si="54"/>
        <v/>
      </c>
      <c r="R182" s="9" t="str">
        <f t="shared" ca="1" si="55"/>
        <v/>
      </c>
      <c r="T182" s="6" t="str">
        <f t="shared" si="64"/>
        <v/>
      </c>
      <c r="U182" s="6" t="str">
        <f t="shared" si="56"/>
        <v/>
      </c>
      <c r="V182" s="10" t="str">
        <f t="shared" si="57"/>
        <v/>
      </c>
      <c r="W182" s="8" t="str">
        <f t="shared" si="58"/>
        <v/>
      </c>
      <c r="X182" s="9">
        <f t="shared" si="65"/>
        <v>0</v>
      </c>
      <c r="Y182" s="9">
        <f t="shared" si="67"/>
        <v>0</v>
      </c>
    </row>
    <row r="183" spans="2:25" x14ac:dyDescent="0.3">
      <c r="B183" s="6">
        <v>146</v>
      </c>
      <c r="C183" s="79" t="str">
        <f t="shared" si="66"/>
        <v/>
      </c>
      <c r="D183" s="6" t="str">
        <f t="shared" si="47"/>
        <v/>
      </c>
      <c r="E183" s="79" t="str">
        <f t="shared" si="59"/>
        <v/>
      </c>
      <c r="F183" s="79" t="str">
        <f>IF(B182&gt;$C$18,"",IF(COUNTIF(Feriados!$A$2:$B$17,EDATE($C$38,B182))=0,EDATE($C$38,B182),EDATE($C$38,B182)+VLOOKUP(EDATE($C$38,B182),Feriados!$A$2:$B$17,2,FALSE)))</f>
        <v/>
      </c>
      <c r="G183" s="6" t="str">
        <f t="shared" si="60"/>
        <v/>
      </c>
      <c r="H183" s="6" t="str">
        <f t="shared" si="61"/>
        <v/>
      </c>
      <c r="I183" s="8" t="str">
        <f t="shared" si="62"/>
        <v/>
      </c>
      <c r="J183" s="8" t="str">
        <f t="shared" si="48"/>
        <v/>
      </c>
      <c r="K183" s="9" t="str">
        <f t="shared" si="49"/>
        <v/>
      </c>
      <c r="L183" s="9" t="str">
        <f t="shared" si="63"/>
        <v/>
      </c>
      <c r="M183" s="10" t="str">
        <f t="shared" si="50"/>
        <v/>
      </c>
      <c r="N183" s="6" t="str">
        <f t="shared" si="51"/>
        <v/>
      </c>
      <c r="O183" s="9" t="str">
        <f t="shared" si="52"/>
        <v/>
      </c>
      <c r="P183" s="9" t="str">
        <f t="shared" si="53"/>
        <v/>
      </c>
      <c r="Q183" s="9" t="str">
        <f t="shared" si="54"/>
        <v/>
      </c>
      <c r="R183" s="9" t="str">
        <f t="shared" ca="1" si="55"/>
        <v/>
      </c>
      <c r="T183" s="6" t="str">
        <f t="shared" si="64"/>
        <v/>
      </c>
      <c r="U183" s="6" t="str">
        <f t="shared" si="56"/>
        <v/>
      </c>
      <c r="V183" s="10" t="str">
        <f t="shared" si="57"/>
        <v/>
      </c>
      <c r="W183" s="8" t="str">
        <f t="shared" si="58"/>
        <v/>
      </c>
      <c r="X183" s="9">
        <f t="shared" si="65"/>
        <v>0</v>
      </c>
      <c r="Y183" s="9">
        <f t="shared" si="67"/>
        <v>0</v>
      </c>
    </row>
    <row r="184" spans="2:25" x14ac:dyDescent="0.3">
      <c r="B184" s="6">
        <v>147</v>
      </c>
      <c r="C184" s="79" t="str">
        <f t="shared" si="66"/>
        <v/>
      </c>
      <c r="D184" s="6" t="str">
        <f t="shared" si="47"/>
        <v/>
      </c>
      <c r="E184" s="79" t="str">
        <f t="shared" si="59"/>
        <v/>
      </c>
      <c r="F184" s="79" t="str">
        <f>IF(B183&gt;$C$18,"",IF(COUNTIF(Feriados!$A$2:$B$17,EDATE($C$38,B183))=0,EDATE($C$38,B183),EDATE($C$38,B183)+VLOOKUP(EDATE($C$38,B183),Feriados!$A$2:$B$17,2,FALSE)))</f>
        <v/>
      </c>
      <c r="G184" s="6" t="str">
        <f t="shared" si="60"/>
        <v/>
      </c>
      <c r="H184" s="6" t="str">
        <f t="shared" si="61"/>
        <v/>
      </c>
      <c r="I184" s="8" t="str">
        <f t="shared" si="62"/>
        <v/>
      </c>
      <c r="J184" s="8" t="str">
        <f t="shared" si="48"/>
        <v/>
      </c>
      <c r="K184" s="9" t="str">
        <f t="shared" si="49"/>
        <v/>
      </c>
      <c r="L184" s="9" t="str">
        <f t="shared" si="63"/>
        <v/>
      </c>
      <c r="M184" s="10" t="str">
        <f t="shared" si="50"/>
        <v/>
      </c>
      <c r="N184" s="6" t="str">
        <f t="shared" si="51"/>
        <v/>
      </c>
      <c r="O184" s="9" t="str">
        <f t="shared" si="52"/>
        <v/>
      </c>
      <c r="P184" s="9" t="str">
        <f t="shared" si="53"/>
        <v/>
      </c>
      <c r="Q184" s="9" t="str">
        <f t="shared" si="54"/>
        <v/>
      </c>
      <c r="R184" s="9" t="str">
        <f t="shared" ca="1" si="55"/>
        <v/>
      </c>
      <c r="T184" s="6" t="str">
        <f t="shared" si="64"/>
        <v/>
      </c>
      <c r="U184" s="6" t="str">
        <f t="shared" si="56"/>
        <v/>
      </c>
      <c r="V184" s="10" t="str">
        <f t="shared" si="57"/>
        <v/>
      </c>
      <c r="W184" s="8" t="str">
        <f t="shared" si="58"/>
        <v/>
      </c>
      <c r="X184" s="9">
        <f t="shared" si="65"/>
        <v>0</v>
      </c>
      <c r="Y184" s="9">
        <f t="shared" si="67"/>
        <v>0</v>
      </c>
    </row>
    <row r="185" spans="2:25" x14ac:dyDescent="0.3">
      <c r="B185" s="6">
        <v>148</v>
      </c>
      <c r="C185" s="79" t="str">
        <f t="shared" si="66"/>
        <v/>
      </c>
      <c r="D185" s="6" t="str">
        <f t="shared" si="47"/>
        <v/>
      </c>
      <c r="E185" s="79" t="str">
        <f t="shared" si="59"/>
        <v/>
      </c>
      <c r="F185" s="79" t="str">
        <f>IF(B184&gt;$C$18,"",IF(COUNTIF(Feriados!$A$2:$B$17,EDATE($C$38,B184))=0,EDATE($C$38,B184),EDATE($C$38,B184)+VLOOKUP(EDATE($C$38,B184),Feriados!$A$2:$B$17,2,FALSE)))</f>
        <v/>
      </c>
      <c r="G185" s="6" t="str">
        <f t="shared" si="60"/>
        <v/>
      </c>
      <c r="H185" s="6" t="str">
        <f t="shared" si="61"/>
        <v/>
      </c>
      <c r="I185" s="8" t="str">
        <f t="shared" si="62"/>
        <v/>
      </c>
      <c r="J185" s="8" t="str">
        <f t="shared" si="48"/>
        <v/>
      </c>
      <c r="K185" s="9" t="str">
        <f t="shared" si="49"/>
        <v/>
      </c>
      <c r="L185" s="9" t="str">
        <f t="shared" si="63"/>
        <v/>
      </c>
      <c r="M185" s="10" t="str">
        <f t="shared" si="50"/>
        <v/>
      </c>
      <c r="N185" s="6" t="str">
        <f t="shared" si="51"/>
        <v/>
      </c>
      <c r="O185" s="9" t="str">
        <f t="shared" si="52"/>
        <v/>
      </c>
      <c r="P185" s="9" t="str">
        <f t="shared" si="53"/>
        <v/>
      </c>
      <c r="Q185" s="9" t="str">
        <f t="shared" si="54"/>
        <v/>
      </c>
      <c r="R185" s="9" t="str">
        <f t="shared" ca="1" si="55"/>
        <v/>
      </c>
      <c r="T185" s="6" t="str">
        <f t="shared" si="64"/>
        <v/>
      </c>
      <c r="U185" s="6" t="str">
        <f t="shared" si="56"/>
        <v/>
      </c>
      <c r="V185" s="10" t="str">
        <f t="shared" si="57"/>
        <v/>
      </c>
      <c r="W185" s="8" t="str">
        <f t="shared" si="58"/>
        <v/>
      </c>
      <c r="X185" s="9">
        <f t="shared" si="65"/>
        <v>0</v>
      </c>
      <c r="Y185" s="9">
        <f t="shared" si="67"/>
        <v>0</v>
      </c>
    </row>
    <row r="186" spans="2:25" x14ac:dyDescent="0.3">
      <c r="B186" s="6">
        <v>149</v>
      </c>
      <c r="C186" s="79" t="str">
        <f t="shared" si="66"/>
        <v/>
      </c>
      <c r="D186" s="6" t="str">
        <f t="shared" si="47"/>
        <v/>
      </c>
      <c r="E186" s="79" t="str">
        <f t="shared" si="59"/>
        <v/>
      </c>
      <c r="F186" s="79" t="str">
        <f>IF(B185&gt;$C$18,"",IF(COUNTIF(Feriados!$A$2:$B$17,EDATE($C$38,B185))=0,EDATE($C$38,B185),EDATE($C$38,B185)+VLOOKUP(EDATE($C$38,B185),Feriados!$A$2:$B$17,2,FALSE)))</f>
        <v/>
      </c>
      <c r="G186" s="6" t="str">
        <f t="shared" si="60"/>
        <v/>
      </c>
      <c r="H186" s="6" t="str">
        <f t="shared" si="61"/>
        <v/>
      </c>
      <c r="I186" s="8" t="str">
        <f t="shared" si="62"/>
        <v/>
      </c>
      <c r="J186" s="8" t="str">
        <f t="shared" si="48"/>
        <v/>
      </c>
      <c r="K186" s="9" t="str">
        <f t="shared" si="49"/>
        <v/>
      </c>
      <c r="L186" s="9" t="str">
        <f t="shared" si="63"/>
        <v/>
      </c>
      <c r="M186" s="10" t="str">
        <f t="shared" si="50"/>
        <v/>
      </c>
      <c r="N186" s="6" t="str">
        <f t="shared" si="51"/>
        <v/>
      </c>
      <c r="O186" s="9" t="str">
        <f t="shared" si="52"/>
        <v/>
      </c>
      <c r="P186" s="9" t="str">
        <f t="shared" si="53"/>
        <v/>
      </c>
      <c r="Q186" s="9" t="str">
        <f t="shared" si="54"/>
        <v/>
      </c>
      <c r="R186" s="9" t="str">
        <f t="shared" ca="1" si="55"/>
        <v/>
      </c>
      <c r="T186" s="6" t="str">
        <f t="shared" si="64"/>
        <v/>
      </c>
      <c r="U186" s="6" t="str">
        <f t="shared" si="56"/>
        <v/>
      </c>
      <c r="V186" s="10" t="str">
        <f t="shared" si="57"/>
        <v/>
      </c>
      <c r="W186" s="8" t="str">
        <f t="shared" si="58"/>
        <v/>
      </c>
      <c r="X186" s="9">
        <f t="shared" si="65"/>
        <v>0</v>
      </c>
      <c r="Y186" s="9">
        <f t="shared" si="67"/>
        <v>0</v>
      </c>
    </row>
    <row r="187" spans="2:25" x14ac:dyDescent="0.3">
      <c r="B187" s="6">
        <v>150</v>
      </c>
      <c r="C187" s="79" t="str">
        <f t="shared" si="66"/>
        <v/>
      </c>
      <c r="D187" s="6" t="str">
        <f t="shared" si="47"/>
        <v/>
      </c>
      <c r="E187" s="79" t="str">
        <f t="shared" si="59"/>
        <v/>
      </c>
      <c r="F187" s="79" t="str">
        <f>IF(B186&gt;$C$18,"",IF(COUNTIF(Feriados!$A$2:$B$17,EDATE($C$38,B186))=0,EDATE($C$38,B186),EDATE($C$38,B186)+VLOOKUP(EDATE($C$38,B186),Feriados!$A$2:$B$17,2,FALSE)))</f>
        <v/>
      </c>
      <c r="G187" s="6" t="str">
        <f t="shared" si="60"/>
        <v/>
      </c>
      <c r="H187" s="6" t="str">
        <f t="shared" si="61"/>
        <v/>
      </c>
      <c r="I187" s="8" t="str">
        <f t="shared" si="62"/>
        <v/>
      </c>
      <c r="J187" s="8" t="str">
        <f t="shared" si="48"/>
        <v/>
      </c>
      <c r="K187" s="9" t="str">
        <f t="shared" si="49"/>
        <v/>
      </c>
      <c r="L187" s="9" t="str">
        <f t="shared" si="63"/>
        <v/>
      </c>
      <c r="M187" s="10" t="str">
        <f t="shared" si="50"/>
        <v/>
      </c>
      <c r="N187" s="6" t="str">
        <f t="shared" si="51"/>
        <v/>
      </c>
      <c r="O187" s="9" t="str">
        <f t="shared" si="52"/>
        <v/>
      </c>
      <c r="P187" s="9" t="str">
        <f t="shared" si="53"/>
        <v/>
      </c>
      <c r="Q187" s="9" t="str">
        <f t="shared" si="54"/>
        <v/>
      </c>
      <c r="R187" s="9" t="str">
        <f t="shared" ca="1" si="55"/>
        <v/>
      </c>
      <c r="T187" s="6" t="str">
        <f t="shared" si="64"/>
        <v/>
      </c>
      <c r="U187" s="6" t="str">
        <f t="shared" si="56"/>
        <v/>
      </c>
      <c r="V187" s="10" t="str">
        <f t="shared" si="57"/>
        <v/>
      </c>
      <c r="W187" s="8" t="str">
        <f t="shared" si="58"/>
        <v/>
      </c>
      <c r="X187" s="9">
        <f t="shared" si="65"/>
        <v>0</v>
      </c>
      <c r="Y187" s="9">
        <f t="shared" si="67"/>
        <v>0</v>
      </c>
    </row>
    <row r="188" spans="2:25" x14ac:dyDescent="0.3">
      <c r="B188" s="6">
        <v>151</v>
      </c>
      <c r="C188" s="79" t="str">
        <f t="shared" si="66"/>
        <v/>
      </c>
      <c r="D188" s="6" t="str">
        <f t="shared" si="47"/>
        <v/>
      </c>
      <c r="E188" s="79" t="str">
        <f t="shared" si="59"/>
        <v/>
      </c>
      <c r="F188" s="79" t="str">
        <f>IF(B187&gt;$C$18,"",IF(COUNTIF(Feriados!$A$2:$B$17,EDATE($C$38,B187))=0,EDATE($C$38,B187),EDATE($C$38,B187)+VLOOKUP(EDATE($C$38,B187),Feriados!$A$2:$B$17,2,FALSE)))</f>
        <v/>
      </c>
      <c r="G188" s="6" t="str">
        <f t="shared" si="60"/>
        <v/>
      </c>
      <c r="H188" s="6" t="str">
        <f t="shared" si="61"/>
        <v/>
      </c>
      <c r="I188" s="8" t="str">
        <f t="shared" si="62"/>
        <v/>
      </c>
      <c r="J188" s="8" t="str">
        <f t="shared" si="48"/>
        <v/>
      </c>
      <c r="K188" s="9" t="str">
        <f t="shared" si="49"/>
        <v/>
      </c>
      <c r="L188" s="9" t="str">
        <f t="shared" si="63"/>
        <v/>
      </c>
      <c r="M188" s="10" t="str">
        <f t="shared" si="50"/>
        <v/>
      </c>
      <c r="N188" s="6" t="str">
        <f t="shared" si="51"/>
        <v/>
      </c>
      <c r="O188" s="9" t="str">
        <f t="shared" si="52"/>
        <v/>
      </c>
      <c r="P188" s="9" t="str">
        <f t="shared" si="53"/>
        <v/>
      </c>
      <c r="Q188" s="9" t="str">
        <f t="shared" si="54"/>
        <v/>
      </c>
      <c r="R188" s="9" t="str">
        <f t="shared" ca="1" si="55"/>
        <v/>
      </c>
      <c r="T188" s="6" t="str">
        <f t="shared" si="64"/>
        <v/>
      </c>
      <c r="U188" s="6" t="str">
        <f t="shared" si="56"/>
        <v/>
      </c>
      <c r="V188" s="10" t="str">
        <f t="shared" si="57"/>
        <v/>
      </c>
      <c r="W188" s="8" t="str">
        <f t="shared" si="58"/>
        <v/>
      </c>
      <c r="X188" s="9">
        <f t="shared" si="65"/>
        <v>0</v>
      </c>
      <c r="Y188" s="9">
        <f t="shared" si="67"/>
        <v>0</v>
      </c>
    </row>
    <row r="189" spans="2:25" x14ac:dyDescent="0.3">
      <c r="B189" s="6">
        <v>152</v>
      </c>
      <c r="C189" s="79" t="str">
        <f t="shared" si="66"/>
        <v/>
      </c>
      <c r="D189" s="6" t="str">
        <f t="shared" si="47"/>
        <v/>
      </c>
      <c r="E189" s="79" t="str">
        <f t="shared" si="59"/>
        <v/>
      </c>
      <c r="F189" s="79" t="str">
        <f>IF(B188&gt;$C$18,"",IF(COUNTIF(Feriados!$A$2:$B$17,EDATE($C$38,B188))=0,EDATE($C$38,B188),EDATE($C$38,B188)+VLOOKUP(EDATE($C$38,B188),Feriados!$A$2:$B$17,2,FALSE)))</f>
        <v/>
      </c>
      <c r="G189" s="6" t="str">
        <f t="shared" si="60"/>
        <v/>
      </c>
      <c r="H189" s="6" t="str">
        <f t="shared" si="61"/>
        <v/>
      </c>
      <c r="I189" s="8" t="str">
        <f t="shared" si="62"/>
        <v/>
      </c>
      <c r="J189" s="8" t="str">
        <f t="shared" si="48"/>
        <v/>
      </c>
      <c r="K189" s="9" t="str">
        <f t="shared" si="49"/>
        <v/>
      </c>
      <c r="L189" s="9" t="str">
        <f t="shared" si="63"/>
        <v/>
      </c>
      <c r="M189" s="10" t="str">
        <f t="shared" si="50"/>
        <v/>
      </c>
      <c r="N189" s="6" t="str">
        <f t="shared" si="51"/>
        <v/>
      </c>
      <c r="O189" s="9" t="str">
        <f t="shared" si="52"/>
        <v/>
      </c>
      <c r="P189" s="9" t="str">
        <f t="shared" si="53"/>
        <v/>
      </c>
      <c r="Q189" s="9" t="str">
        <f t="shared" si="54"/>
        <v/>
      </c>
      <c r="R189" s="9" t="str">
        <f t="shared" ca="1" si="55"/>
        <v/>
      </c>
      <c r="T189" s="6" t="str">
        <f t="shared" si="64"/>
        <v/>
      </c>
      <c r="U189" s="6" t="str">
        <f t="shared" si="56"/>
        <v/>
      </c>
      <c r="V189" s="10" t="str">
        <f t="shared" si="57"/>
        <v/>
      </c>
      <c r="W189" s="8" t="str">
        <f t="shared" si="58"/>
        <v/>
      </c>
      <c r="X189" s="9">
        <f t="shared" si="65"/>
        <v>0</v>
      </c>
      <c r="Y189" s="9">
        <f t="shared" si="67"/>
        <v>0</v>
      </c>
    </row>
    <row r="190" spans="2:25" x14ac:dyDescent="0.3">
      <c r="B190" s="6">
        <v>153</v>
      </c>
      <c r="C190" s="79" t="str">
        <f t="shared" si="66"/>
        <v/>
      </c>
      <c r="D190" s="6" t="str">
        <f t="shared" si="47"/>
        <v/>
      </c>
      <c r="E190" s="79" t="str">
        <f t="shared" si="59"/>
        <v/>
      </c>
      <c r="F190" s="79" t="str">
        <f>IF(B189&gt;$C$18,"",IF(COUNTIF(Feriados!$A$2:$B$17,EDATE($C$38,B189))=0,EDATE($C$38,B189),EDATE($C$38,B189)+VLOOKUP(EDATE($C$38,B189),Feriados!$A$2:$B$17,2,FALSE)))</f>
        <v/>
      </c>
      <c r="G190" s="6" t="str">
        <f t="shared" si="60"/>
        <v/>
      </c>
      <c r="H190" s="6" t="str">
        <f t="shared" si="61"/>
        <v/>
      </c>
      <c r="I190" s="8" t="str">
        <f t="shared" si="62"/>
        <v/>
      </c>
      <c r="J190" s="8" t="str">
        <f t="shared" si="48"/>
        <v/>
      </c>
      <c r="K190" s="9" t="str">
        <f t="shared" si="49"/>
        <v/>
      </c>
      <c r="L190" s="9" t="str">
        <f t="shared" si="63"/>
        <v/>
      </c>
      <c r="M190" s="10" t="str">
        <f t="shared" si="50"/>
        <v/>
      </c>
      <c r="N190" s="6" t="str">
        <f t="shared" si="51"/>
        <v/>
      </c>
      <c r="O190" s="9" t="str">
        <f t="shared" si="52"/>
        <v/>
      </c>
      <c r="P190" s="9" t="str">
        <f t="shared" si="53"/>
        <v/>
      </c>
      <c r="Q190" s="9" t="str">
        <f t="shared" si="54"/>
        <v/>
      </c>
      <c r="R190" s="9" t="str">
        <f t="shared" ca="1" si="55"/>
        <v/>
      </c>
      <c r="T190" s="6" t="str">
        <f t="shared" si="64"/>
        <v/>
      </c>
      <c r="U190" s="6" t="str">
        <f t="shared" si="56"/>
        <v/>
      </c>
      <c r="V190" s="10" t="str">
        <f t="shared" si="57"/>
        <v/>
      </c>
      <c r="W190" s="8" t="str">
        <f t="shared" si="58"/>
        <v/>
      </c>
      <c r="X190" s="9">
        <f t="shared" si="65"/>
        <v>0</v>
      </c>
      <c r="Y190" s="9">
        <f t="shared" si="67"/>
        <v>0</v>
      </c>
    </row>
    <row r="191" spans="2:25" x14ac:dyDescent="0.3">
      <c r="B191" s="6">
        <v>154</v>
      </c>
      <c r="C191" s="79" t="str">
        <f t="shared" si="66"/>
        <v/>
      </c>
      <c r="D191" s="6" t="str">
        <f t="shared" si="47"/>
        <v/>
      </c>
      <c r="E191" s="79" t="str">
        <f t="shared" si="59"/>
        <v/>
      </c>
      <c r="F191" s="79" t="str">
        <f>IF(B190&gt;$C$18,"",IF(COUNTIF(Feriados!$A$2:$B$17,EDATE($C$38,B190))=0,EDATE($C$38,B190),EDATE($C$38,B190)+VLOOKUP(EDATE($C$38,B190),Feriados!$A$2:$B$17,2,FALSE)))</f>
        <v/>
      </c>
      <c r="G191" s="6" t="str">
        <f t="shared" si="60"/>
        <v/>
      </c>
      <c r="H191" s="6" t="str">
        <f t="shared" si="61"/>
        <v/>
      </c>
      <c r="I191" s="8" t="str">
        <f t="shared" si="62"/>
        <v/>
      </c>
      <c r="J191" s="8" t="str">
        <f t="shared" si="48"/>
        <v/>
      </c>
      <c r="K191" s="9" t="str">
        <f t="shared" si="49"/>
        <v/>
      </c>
      <c r="L191" s="9" t="str">
        <f t="shared" si="63"/>
        <v/>
      </c>
      <c r="M191" s="10" t="str">
        <f t="shared" si="50"/>
        <v/>
      </c>
      <c r="N191" s="6" t="str">
        <f t="shared" si="51"/>
        <v/>
      </c>
      <c r="O191" s="9" t="str">
        <f t="shared" si="52"/>
        <v/>
      </c>
      <c r="P191" s="9" t="str">
        <f t="shared" si="53"/>
        <v/>
      </c>
      <c r="Q191" s="9" t="str">
        <f t="shared" si="54"/>
        <v/>
      </c>
      <c r="R191" s="9" t="str">
        <f t="shared" ca="1" si="55"/>
        <v/>
      </c>
      <c r="T191" s="6" t="str">
        <f t="shared" si="64"/>
        <v/>
      </c>
      <c r="U191" s="6" t="str">
        <f t="shared" si="56"/>
        <v/>
      </c>
      <c r="V191" s="10" t="str">
        <f t="shared" si="57"/>
        <v/>
      </c>
      <c r="W191" s="8" t="str">
        <f t="shared" si="58"/>
        <v/>
      </c>
      <c r="X191" s="9">
        <f t="shared" si="65"/>
        <v>0</v>
      </c>
      <c r="Y191" s="9">
        <f t="shared" si="67"/>
        <v>0</v>
      </c>
    </row>
    <row r="192" spans="2:25" x14ac:dyDescent="0.3">
      <c r="B192" s="6">
        <v>155</v>
      </c>
      <c r="C192" s="79" t="str">
        <f t="shared" si="66"/>
        <v/>
      </c>
      <c r="D192" s="6" t="str">
        <f t="shared" si="47"/>
        <v/>
      </c>
      <c r="E192" s="79" t="str">
        <f t="shared" si="59"/>
        <v/>
      </c>
      <c r="F192" s="79" t="str">
        <f>IF(B191&gt;$C$18,"",IF(COUNTIF(Feriados!$A$2:$B$17,EDATE($C$38,B191))=0,EDATE($C$38,B191),EDATE($C$38,B191)+VLOOKUP(EDATE($C$38,B191),Feriados!$A$2:$B$17,2,FALSE)))</f>
        <v/>
      </c>
      <c r="G192" s="6" t="str">
        <f t="shared" si="60"/>
        <v/>
      </c>
      <c r="H192" s="6" t="str">
        <f t="shared" si="61"/>
        <v/>
      </c>
      <c r="I192" s="8" t="str">
        <f t="shared" si="62"/>
        <v/>
      </c>
      <c r="J192" s="8" t="str">
        <f t="shared" si="48"/>
        <v/>
      </c>
      <c r="K192" s="9" t="str">
        <f t="shared" si="49"/>
        <v/>
      </c>
      <c r="L192" s="9" t="str">
        <f t="shared" si="63"/>
        <v/>
      </c>
      <c r="M192" s="10" t="str">
        <f t="shared" si="50"/>
        <v/>
      </c>
      <c r="N192" s="6" t="str">
        <f t="shared" si="51"/>
        <v/>
      </c>
      <c r="O192" s="9" t="str">
        <f t="shared" si="52"/>
        <v/>
      </c>
      <c r="P192" s="9" t="str">
        <f t="shared" si="53"/>
        <v/>
      </c>
      <c r="Q192" s="9" t="str">
        <f t="shared" si="54"/>
        <v/>
      </c>
      <c r="R192" s="9" t="str">
        <f t="shared" ca="1" si="55"/>
        <v/>
      </c>
      <c r="T192" s="6" t="str">
        <f t="shared" si="64"/>
        <v/>
      </c>
      <c r="U192" s="6" t="str">
        <f t="shared" si="56"/>
        <v/>
      </c>
      <c r="V192" s="10" t="str">
        <f t="shared" si="57"/>
        <v/>
      </c>
      <c r="W192" s="8" t="str">
        <f t="shared" si="58"/>
        <v/>
      </c>
      <c r="X192" s="9">
        <f t="shared" si="65"/>
        <v>0</v>
      </c>
      <c r="Y192" s="9">
        <f t="shared" si="67"/>
        <v>0</v>
      </c>
    </row>
    <row r="193" spans="2:25" x14ac:dyDescent="0.3">
      <c r="B193" s="6">
        <v>156</v>
      </c>
      <c r="C193" s="79" t="str">
        <f t="shared" si="66"/>
        <v/>
      </c>
      <c r="D193" s="6" t="str">
        <f t="shared" si="47"/>
        <v/>
      </c>
      <c r="E193" s="79" t="str">
        <f t="shared" si="59"/>
        <v/>
      </c>
      <c r="F193" s="79" t="str">
        <f>IF(B192&gt;$C$18,"",IF(COUNTIF(Feriados!$A$2:$B$17,EDATE($C$38,B192))=0,EDATE($C$38,B192),EDATE($C$38,B192)+VLOOKUP(EDATE($C$38,B192),Feriados!$A$2:$B$17,2,FALSE)))</f>
        <v/>
      </c>
      <c r="G193" s="6" t="str">
        <f t="shared" si="60"/>
        <v/>
      </c>
      <c r="H193" s="6" t="str">
        <f t="shared" si="61"/>
        <v/>
      </c>
      <c r="I193" s="8" t="str">
        <f t="shared" si="62"/>
        <v/>
      </c>
      <c r="J193" s="8" t="str">
        <f t="shared" si="48"/>
        <v/>
      </c>
      <c r="K193" s="9" t="str">
        <f t="shared" si="49"/>
        <v/>
      </c>
      <c r="L193" s="9" t="str">
        <f t="shared" si="63"/>
        <v/>
      </c>
      <c r="M193" s="10" t="str">
        <f t="shared" si="50"/>
        <v/>
      </c>
      <c r="N193" s="6" t="str">
        <f t="shared" si="51"/>
        <v/>
      </c>
      <c r="O193" s="9" t="str">
        <f t="shared" si="52"/>
        <v/>
      </c>
      <c r="P193" s="9" t="str">
        <f t="shared" si="53"/>
        <v/>
      </c>
      <c r="Q193" s="9" t="str">
        <f t="shared" si="54"/>
        <v/>
      </c>
      <c r="R193" s="9" t="str">
        <f t="shared" ca="1" si="55"/>
        <v/>
      </c>
      <c r="T193" s="6" t="str">
        <f t="shared" si="64"/>
        <v/>
      </c>
      <c r="U193" s="6" t="str">
        <f t="shared" si="56"/>
        <v/>
      </c>
      <c r="V193" s="10" t="str">
        <f t="shared" si="57"/>
        <v/>
      </c>
      <c r="W193" s="8" t="str">
        <f t="shared" si="58"/>
        <v/>
      </c>
      <c r="X193" s="9">
        <f t="shared" si="65"/>
        <v>0</v>
      </c>
      <c r="Y193" s="9">
        <f t="shared" si="67"/>
        <v>0</v>
      </c>
    </row>
    <row r="194" spans="2:25" x14ac:dyDescent="0.3">
      <c r="B194" s="6">
        <v>157</v>
      </c>
      <c r="C194" s="79" t="str">
        <f t="shared" si="66"/>
        <v/>
      </c>
      <c r="D194" s="6" t="str">
        <f t="shared" si="47"/>
        <v/>
      </c>
      <c r="E194" s="79" t="str">
        <f t="shared" si="59"/>
        <v/>
      </c>
      <c r="F194" s="79" t="str">
        <f>IF(B193&gt;$C$18,"",IF(COUNTIF(Feriados!$A$2:$B$17,EDATE($C$38,B193))=0,EDATE($C$38,B193),EDATE($C$38,B193)+VLOOKUP(EDATE($C$38,B193),Feriados!$A$2:$B$17,2,FALSE)))</f>
        <v/>
      </c>
      <c r="G194" s="6" t="str">
        <f t="shared" si="60"/>
        <v/>
      </c>
      <c r="H194" s="6" t="str">
        <f t="shared" si="61"/>
        <v/>
      </c>
      <c r="I194" s="8" t="str">
        <f t="shared" si="62"/>
        <v/>
      </c>
      <c r="J194" s="8" t="str">
        <f t="shared" si="48"/>
        <v/>
      </c>
      <c r="K194" s="9" t="str">
        <f t="shared" si="49"/>
        <v/>
      </c>
      <c r="L194" s="9" t="str">
        <f t="shared" si="63"/>
        <v/>
      </c>
      <c r="M194" s="10" t="str">
        <f t="shared" si="50"/>
        <v/>
      </c>
      <c r="N194" s="6" t="str">
        <f t="shared" si="51"/>
        <v/>
      </c>
      <c r="O194" s="9" t="str">
        <f t="shared" si="52"/>
        <v/>
      </c>
      <c r="P194" s="9" t="str">
        <f t="shared" si="53"/>
        <v/>
      </c>
      <c r="Q194" s="9" t="str">
        <f t="shared" si="54"/>
        <v/>
      </c>
      <c r="R194" s="9" t="str">
        <f t="shared" ca="1" si="55"/>
        <v/>
      </c>
      <c r="T194" s="6" t="str">
        <f t="shared" si="64"/>
        <v/>
      </c>
      <c r="U194" s="6" t="str">
        <f t="shared" si="56"/>
        <v/>
      </c>
      <c r="V194" s="10" t="str">
        <f t="shared" si="57"/>
        <v/>
      </c>
      <c r="W194" s="8" t="str">
        <f t="shared" si="58"/>
        <v/>
      </c>
      <c r="X194" s="9">
        <f t="shared" si="65"/>
        <v>0</v>
      </c>
      <c r="Y194" s="9">
        <f t="shared" si="67"/>
        <v>0</v>
      </c>
    </row>
    <row r="195" spans="2:25" x14ac:dyDescent="0.3">
      <c r="B195" s="6">
        <v>158</v>
      </c>
      <c r="C195" s="79" t="str">
        <f t="shared" si="66"/>
        <v/>
      </c>
      <c r="D195" s="6" t="str">
        <f t="shared" si="47"/>
        <v/>
      </c>
      <c r="E195" s="79" t="str">
        <f t="shared" si="59"/>
        <v/>
      </c>
      <c r="F195" s="79" t="str">
        <f>IF(B194&gt;$C$18,"",IF(COUNTIF(Feriados!$A$2:$B$17,EDATE($C$38,B194))=0,EDATE($C$38,B194),EDATE($C$38,B194)+VLOOKUP(EDATE($C$38,B194),Feriados!$A$2:$B$17,2,FALSE)))</f>
        <v/>
      </c>
      <c r="G195" s="6" t="str">
        <f t="shared" si="60"/>
        <v/>
      </c>
      <c r="H195" s="6" t="str">
        <f t="shared" si="61"/>
        <v/>
      </c>
      <c r="I195" s="8" t="str">
        <f t="shared" si="62"/>
        <v/>
      </c>
      <c r="J195" s="8" t="str">
        <f t="shared" si="48"/>
        <v/>
      </c>
      <c r="K195" s="9" t="str">
        <f t="shared" si="49"/>
        <v/>
      </c>
      <c r="L195" s="9" t="str">
        <f t="shared" si="63"/>
        <v/>
      </c>
      <c r="M195" s="10" t="str">
        <f t="shared" si="50"/>
        <v/>
      </c>
      <c r="N195" s="6" t="str">
        <f t="shared" si="51"/>
        <v/>
      </c>
      <c r="O195" s="9" t="str">
        <f t="shared" si="52"/>
        <v/>
      </c>
      <c r="P195" s="9" t="str">
        <f t="shared" si="53"/>
        <v/>
      </c>
      <c r="Q195" s="9" t="str">
        <f t="shared" si="54"/>
        <v/>
      </c>
      <c r="R195" s="9" t="str">
        <f t="shared" ca="1" si="55"/>
        <v/>
      </c>
      <c r="T195" s="6" t="str">
        <f t="shared" si="64"/>
        <v/>
      </c>
      <c r="U195" s="6" t="str">
        <f t="shared" si="56"/>
        <v/>
      </c>
      <c r="V195" s="10" t="str">
        <f t="shared" si="57"/>
        <v/>
      </c>
      <c r="W195" s="8" t="str">
        <f t="shared" si="58"/>
        <v/>
      </c>
      <c r="X195" s="9">
        <f t="shared" si="65"/>
        <v>0</v>
      </c>
      <c r="Y195" s="9">
        <f t="shared" si="67"/>
        <v>0</v>
      </c>
    </row>
    <row r="196" spans="2:25" x14ac:dyDescent="0.3">
      <c r="B196" s="6">
        <v>159</v>
      </c>
      <c r="C196" s="79" t="str">
        <f t="shared" si="66"/>
        <v/>
      </c>
      <c r="D196" s="6" t="str">
        <f t="shared" si="47"/>
        <v/>
      </c>
      <c r="E196" s="79" t="str">
        <f t="shared" si="59"/>
        <v/>
      </c>
      <c r="F196" s="79" t="str">
        <f>IF(B195&gt;$C$18,"",IF(COUNTIF(Feriados!$A$2:$B$17,EDATE($C$38,B195))=0,EDATE($C$38,B195),EDATE($C$38,B195)+VLOOKUP(EDATE($C$38,B195),Feriados!$A$2:$B$17,2,FALSE)))</f>
        <v/>
      </c>
      <c r="G196" s="6" t="str">
        <f t="shared" si="60"/>
        <v/>
      </c>
      <c r="H196" s="6" t="str">
        <f t="shared" si="61"/>
        <v/>
      </c>
      <c r="I196" s="8" t="str">
        <f t="shared" si="62"/>
        <v/>
      </c>
      <c r="J196" s="8" t="str">
        <f t="shared" si="48"/>
        <v/>
      </c>
      <c r="K196" s="9" t="str">
        <f t="shared" si="49"/>
        <v/>
      </c>
      <c r="L196" s="9" t="str">
        <f t="shared" si="63"/>
        <v/>
      </c>
      <c r="M196" s="10" t="str">
        <f t="shared" si="50"/>
        <v/>
      </c>
      <c r="N196" s="6" t="str">
        <f t="shared" si="51"/>
        <v/>
      </c>
      <c r="O196" s="9" t="str">
        <f t="shared" si="52"/>
        <v/>
      </c>
      <c r="P196" s="9" t="str">
        <f t="shared" si="53"/>
        <v/>
      </c>
      <c r="Q196" s="9" t="str">
        <f t="shared" si="54"/>
        <v/>
      </c>
      <c r="R196" s="9" t="str">
        <f t="shared" ca="1" si="55"/>
        <v/>
      </c>
      <c r="T196" s="6" t="str">
        <f t="shared" si="64"/>
        <v/>
      </c>
      <c r="U196" s="6" t="str">
        <f t="shared" si="56"/>
        <v/>
      </c>
      <c r="V196" s="10" t="str">
        <f t="shared" si="57"/>
        <v/>
      </c>
      <c r="W196" s="8" t="str">
        <f t="shared" si="58"/>
        <v/>
      </c>
      <c r="X196" s="9">
        <f t="shared" si="65"/>
        <v>0</v>
      </c>
      <c r="Y196" s="9">
        <f t="shared" si="67"/>
        <v>0</v>
      </c>
    </row>
    <row r="197" spans="2:25" x14ac:dyDescent="0.3">
      <c r="B197" s="6">
        <v>160</v>
      </c>
      <c r="C197" s="79" t="str">
        <f t="shared" si="66"/>
        <v/>
      </c>
      <c r="D197" s="6" t="str">
        <f t="shared" si="47"/>
        <v/>
      </c>
      <c r="E197" s="79" t="str">
        <f t="shared" si="59"/>
        <v/>
      </c>
      <c r="F197" s="79" t="str">
        <f>IF(B196&gt;$C$18,"",IF(COUNTIF(Feriados!$A$2:$B$17,EDATE($C$38,B196))=0,EDATE($C$38,B196),EDATE($C$38,B196)+VLOOKUP(EDATE($C$38,B196),Feriados!$A$2:$B$17,2,FALSE)))</f>
        <v/>
      </c>
      <c r="G197" s="6" t="str">
        <f t="shared" si="60"/>
        <v/>
      </c>
      <c r="H197" s="6" t="str">
        <f t="shared" si="61"/>
        <v/>
      </c>
      <c r="I197" s="8" t="str">
        <f t="shared" si="62"/>
        <v/>
      </c>
      <c r="J197" s="8" t="str">
        <f t="shared" si="48"/>
        <v/>
      </c>
      <c r="K197" s="9" t="str">
        <f t="shared" si="49"/>
        <v/>
      </c>
      <c r="L197" s="9" t="str">
        <f t="shared" si="63"/>
        <v/>
      </c>
      <c r="M197" s="10" t="str">
        <f t="shared" si="50"/>
        <v/>
      </c>
      <c r="N197" s="6" t="str">
        <f t="shared" si="51"/>
        <v/>
      </c>
      <c r="O197" s="9" t="str">
        <f t="shared" si="52"/>
        <v/>
      </c>
      <c r="P197" s="9" t="str">
        <f t="shared" si="53"/>
        <v/>
      </c>
      <c r="Q197" s="9" t="str">
        <f t="shared" si="54"/>
        <v/>
      </c>
      <c r="R197" s="9" t="str">
        <f t="shared" ca="1" si="55"/>
        <v/>
      </c>
      <c r="T197" s="6" t="str">
        <f t="shared" si="64"/>
        <v/>
      </c>
      <c r="U197" s="6" t="str">
        <f t="shared" si="56"/>
        <v/>
      </c>
      <c r="V197" s="10" t="str">
        <f t="shared" si="57"/>
        <v/>
      </c>
      <c r="W197" s="8" t="str">
        <f t="shared" si="58"/>
        <v/>
      </c>
      <c r="X197" s="9">
        <f t="shared" si="65"/>
        <v>0</v>
      </c>
      <c r="Y197" s="9">
        <f t="shared" si="67"/>
        <v>0</v>
      </c>
    </row>
    <row r="198" spans="2:25" x14ac:dyDescent="0.3">
      <c r="B198" s="6">
        <v>161</v>
      </c>
      <c r="C198" s="79" t="str">
        <f t="shared" si="66"/>
        <v/>
      </c>
      <c r="D198" s="6" t="str">
        <f t="shared" si="47"/>
        <v/>
      </c>
      <c r="E198" s="79" t="str">
        <f t="shared" si="59"/>
        <v/>
      </c>
      <c r="F198" s="79" t="str">
        <f>IF(B197&gt;$C$18,"",IF(COUNTIF(Feriados!$A$2:$B$17,EDATE($C$38,B197))=0,EDATE($C$38,B197),EDATE($C$38,B197)+VLOOKUP(EDATE($C$38,B197),Feriados!$A$2:$B$17,2,FALSE)))</f>
        <v/>
      </c>
      <c r="G198" s="6" t="str">
        <f t="shared" si="60"/>
        <v/>
      </c>
      <c r="H198" s="6" t="str">
        <f t="shared" si="61"/>
        <v/>
      </c>
      <c r="I198" s="8" t="str">
        <f t="shared" si="62"/>
        <v/>
      </c>
      <c r="J198" s="8" t="str">
        <f t="shared" si="48"/>
        <v/>
      </c>
      <c r="K198" s="9" t="str">
        <f t="shared" si="49"/>
        <v/>
      </c>
      <c r="L198" s="9" t="str">
        <f t="shared" si="63"/>
        <v/>
      </c>
      <c r="M198" s="10" t="str">
        <f t="shared" si="50"/>
        <v/>
      </c>
      <c r="N198" s="6" t="str">
        <f t="shared" si="51"/>
        <v/>
      </c>
      <c r="O198" s="9" t="str">
        <f t="shared" si="52"/>
        <v/>
      </c>
      <c r="P198" s="9" t="str">
        <f t="shared" si="53"/>
        <v/>
      </c>
      <c r="Q198" s="9" t="str">
        <f t="shared" si="54"/>
        <v/>
      </c>
      <c r="R198" s="9" t="str">
        <f t="shared" ca="1" si="55"/>
        <v/>
      </c>
      <c r="T198" s="6" t="str">
        <f t="shared" si="64"/>
        <v/>
      </c>
      <c r="U198" s="6" t="str">
        <f t="shared" si="56"/>
        <v/>
      </c>
      <c r="V198" s="10" t="str">
        <f t="shared" si="57"/>
        <v/>
      </c>
      <c r="W198" s="8" t="str">
        <f t="shared" si="58"/>
        <v/>
      </c>
      <c r="X198" s="9">
        <f t="shared" si="65"/>
        <v>0</v>
      </c>
      <c r="Y198" s="9">
        <f t="shared" si="67"/>
        <v>0</v>
      </c>
    </row>
    <row r="199" spans="2:25" x14ac:dyDescent="0.3">
      <c r="B199" s="6">
        <v>162</v>
      </c>
      <c r="C199" s="79" t="str">
        <f t="shared" si="66"/>
        <v/>
      </c>
      <c r="D199" s="6" t="str">
        <f t="shared" si="47"/>
        <v/>
      </c>
      <c r="E199" s="79" t="str">
        <f t="shared" si="59"/>
        <v/>
      </c>
      <c r="F199" s="79" t="str">
        <f>IF(B198&gt;$C$18,"",IF(COUNTIF(Feriados!$A$2:$B$17,EDATE($C$38,B198))=0,EDATE($C$38,B198),EDATE($C$38,B198)+VLOOKUP(EDATE($C$38,B198),Feriados!$A$2:$B$17,2,FALSE)))</f>
        <v/>
      </c>
      <c r="G199" s="6" t="str">
        <f t="shared" si="60"/>
        <v/>
      </c>
      <c r="H199" s="6" t="str">
        <f t="shared" si="61"/>
        <v/>
      </c>
      <c r="I199" s="8" t="str">
        <f t="shared" si="62"/>
        <v/>
      </c>
      <c r="J199" s="8" t="str">
        <f t="shared" si="48"/>
        <v/>
      </c>
      <c r="K199" s="9" t="str">
        <f t="shared" si="49"/>
        <v/>
      </c>
      <c r="L199" s="9" t="str">
        <f t="shared" si="63"/>
        <v/>
      </c>
      <c r="M199" s="10" t="str">
        <f t="shared" si="50"/>
        <v/>
      </c>
      <c r="N199" s="6" t="str">
        <f t="shared" si="51"/>
        <v/>
      </c>
      <c r="O199" s="9" t="str">
        <f t="shared" si="52"/>
        <v/>
      </c>
      <c r="P199" s="9" t="str">
        <f t="shared" si="53"/>
        <v/>
      </c>
      <c r="Q199" s="9" t="str">
        <f t="shared" si="54"/>
        <v/>
      </c>
      <c r="R199" s="9" t="str">
        <f t="shared" ca="1" si="55"/>
        <v/>
      </c>
      <c r="T199" s="6" t="str">
        <f t="shared" si="64"/>
        <v/>
      </c>
      <c r="U199" s="6" t="str">
        <f t="shared" si="56"/>
        <v/>
      </c>
      <c r="V199" s="10" t="str">
        <f t="shared" si="57"/>
        <v/>
      </c>
      <c r="W199" s="8" t="str">
        <f t="shared" si="58"/>
        <v/>
      </c>
      <c r="X199" s="9">
        <f t="shared" si="65"/>
        <v>0</v>
      </c>
      <c r="Y199" s="9">
        <f t="shared" si="67"/>
        <v>0</v>
      </c>
    </row>
    <row r="200" spans="2:25" x14ac:dyDescent="0.3">
      <c r="B200" s="6">
        <v>163</v>
      </c>
      <c r="C200" s="79" t="str">
        <f t="shared" si="66"/>
        <v/>
      </c>
      <c r="D200" s="6" t="str">
        <f t="shared" si="47"/>
        <v/>
      </c>
      <c r="E200" s="79" t="str">
        <f t="shared" si="59"/>
        <v/>
      </c>
      <c r="F200" s="79" t="str">
        <f>IF(B199&gt;$C$18,"",IF(COUNTIF(Feriados!$A$2:$B$17,EDATE($C$38,B199))=0,EDATE($C$38,B199),EDATE($C$38,B199)+VLOOKUP(EDATE($C$38,B199),Feriados!$A$2:$B$17,2,FALSE)))</f>
        <v/>
      </c>
      <c r="G200" s="6" t="str">
        <f t="shared" si="60"/>
        <v/>
      </c>
      <c r="H200" s="6" t="str">
        <f t="shared" si="61"/>
        <v/>
      </c>
      <c r="I200" s="8" t="str">
        <f t="shared" si="62"/>
        <v/>
      </c>
      <c r="J200" s="8" t="str">
        <f t="shared" si="48"/>
        <v/>
      </c>
      <c r="K200" s="9" t="str">
        <f t="shared" si="49"/>
        <v/>
      </c>
      <c r="L200" s="9" t="str">
        <f t="shared" si="63"/>
        <v/>
      </c>
      <c r="M200" s="10" t="str">
        <f t="shared" si="50"/>
        <v/>
      </c>
      <c r="N200" s="6" t="str">
        <f t="shared" si="51"/>
        <v/>
      </c>
      <c r="O200" s="9" t="str">
        <f t="shared" si="52"/>
        <v/>
      </c>
      <c r="P200" s="9" t="str">
        <f t="shared" si="53"/>
        <v/>
      </c>
      <c r="Q200" s="9" t="str">
        <f t="shared" si="54"/>
        <v/>
      </c>
      <c r="R200" s="9" t="str">
        <f t="shared" ca="1" si="55"/>
        <v/>
      </c>
      <c r="T200" s="6" t="str">
        <f t="shared" si="64"/>
        <v/>
      </c>
      <c r="U200" s="6" t="str">
        <f t="shared" si="56"/>
        <v/>
      </c>
      <c r="V200" s="10" t="str">
        <f t="shared" si="57"/>
        <v/>
      </c>
      <c r="W200" s="8" t="str">
        <f t="shared" si="58"/>
        <v/>
      </c>
      <c r="X200" s="9">
        <f t="shared" si="65"/>
        <v>0</v>
      </c>
      <c r="Y200" s="9">
        <f t="shared" si="67"/>
        <v>0</v>
      </c>
    </row>
    <row r="201" spans="2:25" x14ac:dyDescent="0.3">
      <c r="B201" s="6">
        <v>164</v>
      </c>
      <c r="C201" s="79" t="str">
        <f t="shared" si="66"/>
        <v/>
      </c>
      <c r="D201" s="6" t="str">
        <f t="shared" si="47"/>
        <v/>
      </c>
      <c r="E201" s="79" t="str">
        <f t="shared" si="59"/>
        <v/>
      </c>
      <c r="F201" s="79" t="str">
        <f>IF(B200&gt;$C$18,"",IF(COUNTIF(Feriados!$A$2:$B$17,EDATE($C$38,B200))=0,EDATE($C$38,B200),EDATE($C$38,B200)+VLOOKUP(EDATE($C$38,B200),Feriados!$A$2:$B$17,2,FALSE)))</f>
        <v/>
      </c>
      <c r="G201" s="6" t="str">
        <f t="shared" si="60"/>
        <v/>
      </c>
      <c r="H201" s="6" t="str">
        <f t="shared" si="61"/>
        <v/>
      </c>
      <c r="I201" s="8" t="str">
        <f t="shared" si="62"/>
        <v/>
      </c>
      <c r="J201" s="8" t="str">
        <f t="shared" si="48"/>
        <v/>
      </c>
      <c r="K201" s="9" t="str">
        <f t="shared" si="49"/>
        <v/>
      </c>
      <c r="L201" s="9" t="str">
        <f t="shared" si="63"/>
        <v/>
      </c>
      <c r="M201" s="10" t="str">
        <f t="shared" si="50"/>
        <v/>
      </c>
      <c r="N201" s="6" t="str">
        <f t="shared" si="51"/>
        <v/>
      </c>
      <c r="O201" s="9" t="str">
        <f t="shared" si="52"/>
        <v/>
      </c>
      <c r="P201" s="9" t="str">
        <f t="shared" si="53"/>
        <v/>
      </c>
      <c r="Q201" s="9" t="str">
        <f t="shared" si="54"/>
        <v/>
      </c>
      <c r="R201" s="9" t="str">
        <f t="shared" ca="1" si="55"/>
        <v/>
      </c>
      <c r="T201" s="6" t="str">
        <f t="shared" si="64"/>
        <v/>
      </c>
      <c r="U201" s="6" t="str">
        <f t="shared" si="56"/>
        <v/>
      </c>
      <c r="V201" s="10" t="str">
        <f t="shared" si="57"/>
        <v/>
      </c>
      <c r="W201" s="8" t="str">
        <f t="shared" si="58"/>
        <v/>
      </c>
      <c r="X201" s="9">
        <f t="shared" si="65"/>
        <v>0</v>
      </c>
      <c r="Y201" s="9">
        <f t="shared" si="67"/>
        <v>0</v>
      </c>
    </row>
    <row r="202" spans="2:25" x14ac:dyDescent="0.3">
      <c r="B202" s="6">
        <v>165</v>
      </c>
      <c r="C202" s="79" t="str">
        <f t="shared" si="66"/>
        <v/>
      </c>
      <c r="D202" s="6" t="str">
        <f t="shared" si="47"/>
        <v/>
      </c>
      <c r="E202" s="79" t="str">
        <f t="shared" si="59"/>
        <v/>
      </c>
      <c r="F202" s="79" t="str">
        <f>IF(B201&gt;$C$18,"",IF(COUNTIF(Feriados!$A$2:$B$17,EDATE($C$38,B201))=0,EDATE($C$38,B201),EDATE($C$38,B201)+VLOOKUP(EDATE($C$38,B201),Feriados!$A$2:$B$17,2,FALSE)))</f>
        <v/>
      </c>
      <c r="G202" s="6" t="str">
        <f t="shared" si="60"/>
        <v/>
      </c>
      <c r="H202" s="6" t="str">
        <f t="shared" si="61"/>
        <v/>
      </c>
      <c r="I202" s="8" t="str">
        <f t="shared" si="62"/>
        <v/>
      </c>
      <c r="J202" s="8" t="str">
        <f t="shared" si="48"/>
        <v/>
      </c>
      <c r="K202" s="9" t="str">
        <f t="shared" si="49"/>
        <v/>
      </c>
      <c r="L202" s="9" t="str">
        <f t="shared" si="63"/>
        <v/>
      </c>
      <c r="M202" s="10" t="str">
        <f t="shared" si="50"/>
        <v/>
      </c>
      <c r="N202" s="6" t="str">
        <f t="shared" si="51"/>
        <v/>
      </c>
      <c r="O202" s="9" t="str">
        <f t="shared" si="52"/>
        <v/>
      </c>
      <c r="P202" s="9" t="str">
        <f t="shared" si="53"/>
        <v/>
      </c>
      <c r="Q202" s="9" t="str">
        <f t="shared" si="54"/>
        <v/>
      </c>
      <c r="R202" s="9" t="str">
        <f t="shared" ca="1" si="55"/>
        <v/>
      </c>
      <c r="T202" s="6" t="str">
        <f t="shared" si="64"/>
        <v/>
      </c>
      <c r="U202" s="6" t="str">
        <f t="shared" si="56"/>
        <v/>
      </c>
      <c r="V202" s="10" t="str">
        <f t="shared" si="57"/>
        <v/>
      </c>
      <c r="W202" s="8" t="str">
        <f t="shared" si="58"/>
        <v/>
      </c>
      <c r="X202" s="9">
        <f t="shared" si="65"/>
        <v>0</v>
      </c>
      <c r="Y202" s="9">
        <f t="shared" si="67"/>
        <v>0</v>
      </c>
    </row>
    <row r="203" spans="2:25" x14ac:dyDescent="0.3">
      <c r="B203" s="6">
        <v>166</v>
      </c>
      <c r="C203" s="79" t="str">
        <f t="shared" si="66"/>
        <v/>
      </c>
      <c r="D203" s="6" t="str">
        <f t="shared" si="47"/>
        <v/>
      </c>
      <c r="E203" s="79" t="str">
        <f t="shared" si="59"/>
        <v/>
      </c>
      <c r="F203" s="79" t="str">
        <f>IF(B202&gt;$C$18,"",IF(COUNTIF(Feriados!$A$2:$B$17,EDATE($C$38,B202))=0,EDATE($C$38,B202),EDATE($C$38,B202)+VLOOKUP(EDATE($C$38,B202),Feriados!$A$2:$B$17,2,FALSE)))</f>
        <v/>
      </c>
      <c r="G203" s="6" t="str">
        <f t="shared" si="60"/>
        <v/>
      </c>
      <c r="H203" s="6" t="str">
        <f t="shared" si="61"/>
        <v/>
      </c>
      <c r="I203" s="8" t="str">
        <f t="shared" si="62"/>
        <v/>
      </c>
      <c r="J203" s="8" t="str">
        <f t="shared" si="48"/>
        <v/>
      </c>
      <c r="K203" s="9" t="str">
        <f t="shared" si="49"/>
        <v/>
      </c>
      <c r="L203" s="9" t="str">
        <f t="shared" si="63"/>
        <v/>
      </c>
      <c r="M203" s="10" t="str">
        <f t="shared" si="50"/>
        <v/>
      </c>
      <c r="N203" s="6" t="str">
        <f t="shared" si="51"/>
        <v/>
      </c>
      <c r="O203" s="9" t="str">
        <f t="shared" si="52"/>
        <v/>
      </c>
      <c r="P203" s="9" t="str">
        <f t="shared" si="53"/>
        <v/>
      </c>
      <c r="Q203" s="9" t="str">
        <f t="shared" si="54"/>
        <v/>
      </c>
      <c r="R203" s="9" t="str">
        <f t="shared" ca="1" si="55"/>
        <v/>
      </c>
      <c r="T203" s="6" t="str">
        <f t="shared" si="64"/>
        <v/>
      </c>
      <c r="U203" s="6" t="str">
        <f t="shared" si="56"/>
        <v/>
      </c>
      <c r="V203" s="10" t="str">
        <f t="shared" si="57"/>
        <v/>
      </c>
      <c r="W203" s="8" t="str">
        <f t="shared" si="58"/>
        <v/>
      </c>
      <c r="X203" s="9">
        <f t="shared" si="65"/>
        <v>0</v>
      </c>
      <c r="Y203" s="9">
        <f t="shared" si="67"/>
        <v>0</v>
      </c>
    </row>
    <row r="204" spans="2:25" x14ac:dyDescent="0.3">
      <c r="B204" s="6">
        <v>167</v>
      </c>
      <c r="C204" s="79" t="str">
        <f t="shared" si="66"/>
        <v/>
      </c>
      <c r="D204" s="6" t="str">
        <f t="shared" si="47"/>
        <v/>
      </c>
      <c r="E204" s="79" t="str">
        <f t="shared" si="59"/>
        <v/>
      </c>
      <c r="F204" s="79" t="str">
        <f>IF(B203&gt;$C$18,"",IF(COUNTIF(Feriados!$A$2:$B$17,EDATE($C$38,B203))=0,EDATE($C$38,B203),EDATE($C$38,B203)+VLOOKUP(EDATE($C$38,B203),Feriados!$A$2:$B$17,2,FALSE)))</f>
        <v/>
      </c>
      <c r="G204" s="6" t="str">
        <f t="shared" si="60"/>
        <v/>
      </c>
      <c r="H204" s="6" t="str">
        <f t="shared" si="61"/>
        <v/>
      </c>
      <c r="I204" s="8" t="str">
        <f t="shared" si="62"/>
        <v/>
      </c>
      <c r="J204" s="8" t="str">
        <f t="shared" si="48"/>
        <v/>
      </c>
      <c r="K204" s="9" t="str">
        <f t="shared" si="49"/>
        <v/>
      </c>
      <c r="L204" s="9" t="str">
        <f t="shared" si="63"/>
        <v/>
      </c>
      <c r="M204" s="10" t="str">
        <f t="shared" si="50"/>
        <v/>
      </c>
      <c r="N204" s="6" t="str">
        <f t="shared" si="51"/>
        <v/>
      </c>
      <c r="O204" s="9" t="str">
        <f t="shared" si="52"/>
        <v/>
      </c>
      <c r="P204" s="9" t="str">
        <f t="shared" si="53"/>
        <v/>
      </c>
      <c r="Q204" s="9" t="str">
        <f t="shared" si="54"/>
        <v/>
      </c>
      <c r="R204" s="9" t="str">
        <f t="shared" ca="1" si="55"/>
        <v/>
      </c>
      <c r="T204" s="6" t="str">
        <f t="shared" si="64"/>
        <v/>
      </c>
      <c r="U204" s="6" t="str">
        <f t="shared" si="56"/>
        <v/>
      </c>
      <c r="V204" s="10" t="str">
        <f t="shared" si="57"/>
        <v/>
      </c>
      <c r="W204" s="8" t="str">
        <f t="shared" si="58"/>
        <v/>
      </c>
      <c r="X204" s="9">
        <f t="shared" si="65"/>
        <v>0</v>
      </c>
      <c r="Y204" s="9">
        <f t="shared" si="67"/>
        <v>0</v>
      </c>
    </row>
    <row r="205" spans="2:25" x14ac:dyDescent="0.3">
      <c r="B205" s="6">
        <v>168</v>
      </c>
      <c r="C205" s="79" t="str">
        <f t="shared" si="66"/>
        <v/>
      </c>
      <c r="D205" s="6" t="str">
        <f t="shared" si="47"/>
        <v/>
      </c>
      <c r="E205" s="79" t="str">
        <f t="shared" si="59"/>
        <v/>
      </c>
      <c r="F205" s="79" t="str">
        <f>IF(B204&gt;$C$18,"",IF(COUNTIF(Feriados!$A$2:$B$17,EDATE($C$38,B204))=0,EDATE($C$38,B204),EDATE($C$38,B204)+VLOOKUP(EDATE($C$38,B204),Feriados!$A$2:$B$17,2,FALSE)))</f>
        <v/>
      </c>
      <c r="G205" s="6" t="str">
        <f t="shared" si="60"/>
        <v/>
      </c>
      <c r="H205" s="6" t="str">
        <f t="shared" si="61"/>
        <v/>
      </c>
      <c r="I205" s="8" t="str">
        <f t="shared" si="62"/>
        <v/>
      </c>
      <c r="J205" s="8" t="str">
        <f t="shared" si="48"/>
        <v/>
      </c>
      <c r="K205" s="9" t="str">
        <f t="shared" si="49"/>
        <v/>
      </c>
      <c r="L205" s="9" t="str">
        <f t="shared" si="63"/>
        <v/>
      </c>
      <c r="M205" s="10" t="str">
        <f t="shared" si="50"/>
        <v/>
      </c>
      <c r="N205" s="6" t="str">
        <f t="shared" si="51"/>
        <v/>
      </c>
      <c r="O205" s="9" t="str">
        <f t="shared" si="52"/>
        <v/>
      </c>
      <c r="P205" s="9" t="str">
        <f t="shared" si="53"/>
        <v/>
      </c>
      <c r="Q205" s="9" t="str">
        <f t="shared" si="54"/>
        <v/>
      </c>
      <c r="R205" s="9" t="str">
        <f t="shared" ca="1" si="55"/>
        <v/>
      </c>
      <c r="T205" s="6" t="str">
        <f t="shared" si="64"/>
        <v/>
      </c>
      <c r="U205" s="6" t="str">
        <f t="shared" si="56"/>
        <v/>
      </c>
      <c r="V205" s="10" t="str">
        <f t="shared" si="57"/>
        <v/>
      </c>
      <c r="W205" s="8" t="str">
        <f t="shared" si="58"/>
        <v/>
      </c>
      <c r="X205" s="9">
        <f t="shared" si="65"/>
        <v>0</v>
      </c>
      <c r="Y205" s="9">
        <f t="shared" si="67"/>
        <v>0</v>
      </c>
    </row>
    <row r="206" spans="2:25" x14ac:dyDescent="0.3">
      <c r="B206" s="6">
        <v>169</v>
      </c>
      <c r="C206" s="79" t="str">
        <f t="shared" si="66"/>
        <v/>
      </c>
      <c r="D206" s="6" t="str">
        <f t="shared" si="47"/>
        <v/>
      </c>
      <c r="E206" s="79" t="str">
        <f t="shared" si="59"/>
        <v/>
      </c>
      <c r="F206" s="79" t="str">
        <f>IF(B205&gt;$C$18,"",IF(COUNTIF(Feriados!$A$2:$B$17,EDATE($C$38,B205))=0,EDATE($C$38,B205),EDATE($C$38,B205)+VLOOKUP(EDATE($C$38,B205),Feriados!$A$2:$B$17,2,FALSE)))</f>
        <v/>
      </c>
      <c r="G206" s="6" t="str">
        <f t="shared" si="60"/>
        <v/>
      </c>
      <c r="H206" s="6" t="str">
        <f t="shared" si="61"/>
        <v/>
      </c>
      <c r="I206" s="8" t="str">
        <f t="shared" si="62"/>
        <v/>
      </c>
      <c r="J206" s="8" t="str">
        <f t="shared" si="48"/>
        <v/>
      </c>
      <c r="K206" s="9" t="str">
        <f t="shared" si="49"/>
        <v/>
      </c>
      <c r="L206" s="9" t="str">
        <f t="shared" si="63"/>
        <v/>
      </c>
      <c r="M206" s="10" t="str">
        <f t="shared" si="50"/>
        <v/>
      </c>
      <c r="N206" s="6" t="str">
        <f t="shared" si="51"/>
        <v/>
      </c>
      <c r="O206" s="9" t="str">
        <f t="shared" si="52"/>
        <v/>
      </c>
      <c r="P206" s="9" t="str">
        <f t="shared" si="53"/>
        <v/>
      </c>
      <c r="Q206" s="9" t="str">
        <f t="shared" si="54"/>
        <v/>
      </c>
      <c r="R206" s="9" t="str">
        <f t="shared" ca="1" si="55"/>
        <v/>
      </c>
      <c r="T206" s="6" t="str">
        <f t="shared" si="64"/>
        <v/>
      </c>
      <c r="U206" s="6" t="str">
        <f t="shared" si="56"/>
        <v/>
      </c>
      <c r="V206" s="10" t="str">
        <f t="shared" si="57"/>
        <v/>
      </c>
      <c r="W206" s="8" t="str">
        <f t="shared" si="58"/>
        <v/>
      </c>
      <c r="X206" s="9">
        <f t="shared" si="65"/>
        <v>0</v>
      </c>
      <c r="Y206" s="9">
        <f t="shared" si="67"/>
        <v>0</v>
      </c>
    </row>
    <row r="207" spans="2:25" x14ac:dyDescent="0.3">
      <c r="B207" s="6">
        <v>170</v>
      </c>
      <c r="C207" s="79" t="str">
        <f t="shared" si="66"/>
        <v/>
      </c>
      <c r="D207" s="6" t="str">
        <f t="shared" si="47"/>
        <v/>
      </c>
      <c r="E207" s="79" t="str">
        <f t="shared" si="59"/>
        <v/>
      </c>
      <c r="F207" s="79" t="str">
        <f>IF(B206&gt;$C$18,"",IF(COUNTIF(Feriados!$A$2:$B$17,EDATE($C$38,B206))=0,EDATE($C$38,B206),EDATE($C$38,B206)+VLOOKUP(EDATE($C$38,B206),Feriados!$A$2:$B$17,2,FALSE)))</f>
        <v/>
      </c>
      <c r="G207" s="6" t="str">
        <f t="shared" si="60"/>
        <v/>
      </c>
      <c r="H207" s="6" t="str">
        <f t="shared" si="61"/>
        <v/>
      </c>
      <c r="I207" s="8" t="str">
        <f t="shared" si="62"/>
        <v/>
      </c>
      <c r="J207" s="8" t="str">
        <f t="shared" si="48"/>
        <v/>
      </c>
      <c r="K207" s="9" t="str">
        <f t="shared" si="49"/>
        <v/>
      </c>
      <c r="L207" s="9" t="str">
        <f t="shared" si="63"/>
        <v/>
      </c>
      <c r="M207" s="10" t="str">
        <f t="shared" si="50"/>
        <v/>
      </c>
      <c r="N207" s="6" t="str">
        <f t="shared" si="51"/>
        <v/>
      </c>
      <c r="O207" s="9" t="str">
        <f t="shared" si="52"/>
        <v/>
      </c>
      <c r="P207" s="9" t="str">
        <f t="shared" si="53"/>
        <v/>
      </c>
      <c r="Q207" s="9" t="str">
        <f t="shared" si="54"/>
        <v/>
      </c>
      <c r="R207" s="9" t="str">
        <f t="shared" ca="1" si="55"/>
        <v/>
      </c>
      <c r="T207" s="6" t="str">
        <f t="shared" si="64"/>
        <v/>
      </c>
      <c r="U207" s="6" t="str">
        <f t="shared" si="56"/>
        <v/>
      </c>
      <c r="V207" s="10" t="str">
        <f t="shared" si="57"/>
        <v/>
      </c>
      <c r="W207" s="8" t="str">
        <f t="shared" si="58"/>
        <v/>
      </c>
      <c r="X207" s="9">
        <f t="shared" si="65"/>
        <v>0</v>
      </c>
      <c r="Y207" s="9">
        <f t="shared" si="67"/>
        <v>0</v>
      </c>
    </row>
    <row r="208" spans="2:25" x14ac:dyDescent="0.3">
      <c r="B208" s="6">
        <v>171</v>
      </c>
      <c r="C208" s="79" t="str">
        <f t="shared" si="66"/>
        <v/>
      </c>
      <c r="D208" s="6" t="str">
        <f t="shared" si="47"/>
        <v/>
      </c>
      <c r="E208" s="79" t="str">
        <f t="shared" si="59"/>
        <v/>
      </c>
      <c r="F208" s="79" t="str">
        <f>IF(B207&gt;$C$18,"",IF(COUNTIF(Feriados!$A$2:$B$17,EDATE($C$38,B207))=0,EDATE($C$38,B207),EDATE($C$38,B207)+VLOOKUP(EDATE($C$38,B207),Feriados!$A$2:$B$17,2,FALSE)))</f>
        <v/>
      </c>
      <c r="G208" s="6" t="str">
        <f t="shared" si="60"/>
        <v/>
      </c>
      <c r="H208" s="6" t="str">
        <f t="shared" si="61"/>
        <v/>
      </c>
      <c r="I208" s="8" t="str">
        <f t="shared" si="62"/>
        <v/>
      </c>
      <c r="J208" s="8" t="str">
        <f t="shared" si="48"/>
        <v/>
      </c>
      <c r="K208" s="9" t="str">
        <f t="shared" si="49"/>
        <v/>
      </c>
      <c r="L208" s="9" t="str">
        <f t="shared" si="63"/>
        <v/>
      </c>
      <c r="M208" s="10" t="str">
        <f t="shared" si="50"/>
        <v/>
      </c>
      <c r="N208" s="6" t="str">
        <f t="shared" si="51"/>
        <v/>
      </c>
      <c r="O208" s="9" t="str">
        <f t="shared" si="52"/>
        <v/>
      </c>
      <c r="P208" s="9" t="str">
        <f t="shared" si="53"/>
        <v/>
      </c>
      <c r="Q208" s="9" t="str">
        <f t="shared" si="54"/>
        <v/>
      </c>
      <c r="R208" s="9" t="str">
        <f t="shared" ca="1" si="55"/>
        <v/>
      </c>
      <c r="T208" s="6" t="str">
        <f t="shared" si="64"/>
        <v/>
      </c>
      <c r="U208" s="6" t="str">
        <f t="shared" si="56"/>
        <v/>
      </c>
      <c r="V208" s="10" t="str">
        <f t="shared" si="57"/>
        <v/>
      </c>
      <c r="W208" s="8" t="str">
        <f t="shared" si="58"/>
        <v/>
      </c>
      <c r="X208" s="9">
        <f t="shared" si="65"/>
        <v>0</v>
      </c>
      <c r="Y208" s="9">
        <f t="shared" si="67"/>
        <v>0</v>
      </c>
    </row>
    <row r="209" spans="2:25" x14ac:dyDescent="0.3">
      <c r="B209" s="6">
        <v>172</v>
      </c>
      <c r="C209" s="79" t="str">
        <f t="shared" si="66"/>
        <v/>
      </c>
      <c r="D209" s="6" t="str">
        <f t="shared" si="47"/>
        <v/>
      </c>
      <c r="E209" s="79" t="str">
        <f t="shared" si="59"/>
        <v/>
      </c>
      <c r="F209" s="79" t="str">
        <f>IF(B208&gt;$C$18,"",IF(COUNTIF(Feriados!$A$2:$B$17,EDATE($C$38,B208))=0,EDATE($C$38,B208),EDATE($C$38,B208)+VLOOKUP(EDATE($C$38,B208),Feriados!$A$2:$B$17,2,FALSE)))</f>
        <v/>
      </c>
      <c r="G209" s="6" t="str">
        <f t="shared" si="60"/>
        <v/>
      </c>
      <c r="H209" s="6" t="str">
        <f t="shared" si="61"/>
        <v/>
      </c>
      <c r="I209" s="8" t="str">
        <f t="shared" si="62"/>
        <v/>
      </c>
      <c r="J209" s="8" t="str">
        <f t="shared" si="48"/>
        <v/>
      </c>
      <c r="K209" s="9" t="str">
        <f t="shared" si="49"/>
        <v/>
      </c>
      <c r="L209" s="9" t="str">
        <f t="shared" si="63"/>
        <v/>
      </c>
      <c r="M209" s="10" t="str">
        <f t="shared" si="50"/>
        <v/>
      </c>
      <c r="N209" s="6" t="str">
        <f t="shared" si="51"/>
        <v/>
      </c>
      <c r="O209" s="9" t="str">
        <f t="shared" si="52"/>
        <v/>
      </c>
      <c r="P209" s="9" t="str">
        <f t="shared" si="53"/>
        <v/>
      </c>
      <c r="Q209" s="9" t="str">
        <f t="shared" si="54"/>
        <v/>
      </c>
      <c r="R209" s="9" t="str">
        <f t="shared" ca="1" si="55"/>
        <v/>
      </c>
      <c r="T209" s="6" t="str">
        <f t="shared" si="64"/>
        <v/>
      </c>
      <c r="U209" s="6" t="str">
        <f t="shared" si="56"/>
        <v/>
      </c>
      <c r="V209" s="10" t="str">
        <f t="shared" si="57"/>
        <v/>
      </c>
      <c r="W209" s="8" t="str">
        <f t="shared" si="58"/>
        <v/>
      </c>
      <c r="X209" s="9">
        <f t="shared" si="65"/>
        <v>0</v>
      </c>
      <c r="Y209" s="9">
        <f t="shared" si="67"/>
        <v>0</v>
      </c>
    </row>
    <row r="210" spans="2:25" x14ac:dyDescent="0.3">
      <c r="B210" s="6">
        <v>173</v>
      </c>
      <c r="C210" s="79" t="str">
        <f t="shared" si="66"/>
        <v/>
      </c>
      <c r="D210" s="6" t="str">
        <f t="shared" si="47"/>
        <v/>
      </c>
      <c r="E210" s="79" t="str">
        <f t="shared" si="59"/>
        <v/>
      </c>
      <c r="F210" s="79" t="str">
        <f>IF(B209&gt;$C$18,"",IF(COUNTIF(Feriados!$A$2:$B$17,EDATE($C$38,B209))=0,EDATE($C$38,B209),EDATE($C$38,B209)+VLOOKUP(EDATE($C$38,B209),Feriados!$A$2:$B$17,2,FALSE)))</f>
        <v/>
      </c>
      <c r="G210" s="6" t="str">
        <f t="shared" si="60"/>
        <v/>
      </c>
      <c r="H210" s="6" t="str">
        <f t="shared" si="61"/>
        <v/>
      </c>
      <c r="I210" s="8" t="str">
        <f t="shared" si="62"/>
        <v/>
      </c>
      <c r="J210" s="8" t="str">
        <f t="shared" si="48"/>
        <v/>
      </c>
      <c r="K210" s="9" t="str">
        <f t="shared" si="49"/>
        <v/>
      </c>
      <c r="L210" s="9" t="str">
        <f t="shared" si="63"/>
        <v/>
      </c>
      <c r="M210" s="10" t="str">
        <f t="shared" si="50"/>
        <v/>
      </c>
      <c r="N210" s="6" t="str">
        <f t="shared" si="51"/>
        <v/>
      </c>
      <c r="O210" s="9" t="str">
        <f t="shared" si="52"/>
        <v/>
      </c>
      <c r="P210" s="9" t="str">
        <f t="shared" si="53"/>
        <v/>
      </c>
      <c r="Q210" s="9" t="str">
        <f t="shared" si="54"/>
        <v/>
      </c>
      <c r="R210" s="9" t="str">
        <f t="shared" ca="1" si="55"/>
        <v/>
      </c>
      <c r="T210" s="6" t="str">
        <f t="shared" si="64"/>
        <v/>
      </c>
      <c r="U210" s="6" t="str">
        <f t="shared" si="56"/>
        <v/>
      </c>
      <c r="V210" s="10" t="str">
        <f t="shared" si="57"/>
        <v/>
      </c>
      <c r="W210" s="8" t="str">
        <f t="shared" si="58"/>
        <v/>
      </c>
      <c r="X210" s="9">
        <f t="shared" si="65"/>
        <v>0</v>
      </c>
      <c r="Y210" s="9">
        <f t="shared" si="67"/>
        <v>0</v>
      </c>
    </row>
    <row r="211" spans="2:25" x14ac:dyDescent="0.3">
      <c r="B211" s="6">
        <v>174</v>
      </c>
      <c r="C211" s="79" t="str">
        <f t="shared" si="66"/>
        <v/>
      </c>
      <c r="D211" s="6" t="str">
        <f t="shared" si="47"/>
        <v/>
      </c>
      <c r="E211" s="79" t="str">
        <f t="shared" si="59"/>
        <v/>
      </c>
      <c r="F211" s="79" t="str">
        <f>IF(B210&gt;$C$18,"",IF(COUNTIF(Feriados!$A$2:$B$17,EDATE($C$38,B210))=0,EDATE($C$38,B210),EDATE($C$38,B210)+VLOOKUP(EDATE($C$38,B210),Feriados!$A$2:$B$17,2,FALSE)))</f>
        <v/>
      </c>
      <c r="G211" s="6" t="str">
        <f t="shared" si="60"/>
        <v/>
      </c>
      <c r="H211" s="6" t="str">
        <f t="shared" si="61"/>
        <v/>
      </c>
      <c r="I211" s="8" t="str">
        <f t="shared" si="62"/>
        <v/>
      </c>
      <c r="J211" s="8" t="str">
        <f t="shared" si="48"/>
        <v/>
      </c>
      <c r="K211" s="9" t="str">
        <f t="shared" si="49"/>
        <v/>
      </c>
      <c r="L211" s="9" t="str">
        <f t="shared" si="63"/>
        <v/>
      </c>
      <c r="M211" s="10" t="str">
        <f t="shared" si="50"/>
        <v/>
      </c>
      <c r="N211" s="6" t="str">
        <f t="shared" si="51"/>
        <v/>
      </c>
      <c r="O211" s="9" t="str">
        <f t="shared" si="52"/>
        <v/>
      </c>
      <c r="P211" s="9" t="str">
        <f t="shared" si="53"/>
        <v/>
      </c>
      <c r="Q211" s="9" t="str">
        <f t="shared" si="54"/>
        <v/>
      </c>
      <c r="R211" s="9" t="str">
        <f t="shared" ca="1" si="55"/>
        <v/>
      </c>
      <c r="T211" s="6" t="str">
        <f t="shared" si="64"/>
        <v/>
      </c>
      <c r="U211" s="6" t="str">
        <f t="shared" si="56"/>
        <v/>
      </c>
      <c r="V211" s="10" t="str">
        <f t="shared" si="57"/>
        <v/>
      </c>
      <c r="W211" s="8" t="str">
        <f t="shared" si="58"/>
        <v/>
      </c>
      <c r="X211" s="9">
        <f t="shared" si="65"/>
        <v>0</v>
      </c>
      <c r="Y211" s="9">
        <f t="shared" si="67"/>
        <v>0</v>
      </c>
    </row>
    <row r="212" spans="2:25" x14ac:dyDescent="0.3">
      <c r="B212" s="6">
        <v>175</v>
      </c>
      <c r="C212" s="79" t="str">
        <f t="shared" si="66"/>
        <v/>
      </c>
      <c r="D212" s="6" t="str">
        <f t="shared" si="47"/>
        <v/>
      </c>
      <c r="E212" s="79" t="str">
        <f t="shared" si="59"/>
        <v/>
      </c>
      <c r="F212" s="79" t="str">
        <f>IF(B211&gt;$C$18,"",IF(COUNTIF(Feriados!$A$2:$B$17,EDATE($C$38,B211))=0,EDATE($C$38,B211),EDATE($C$38,B211)+VLOOKUP(EDATE($C$38,B211),Feriados!$A$2:$B$17,2,FALSE)))</f>
        <v/>
      </c>
      <c r="G212" s="6" t="str">
        <f t="shared" si="60"/>
        <v/>
      </c>
      <c r="H212" s="6" t="str">
        <f t="shared" si="61"/>
        <v/>
      </c>
      <c r="I212" s="8" t="str">
        <f t="shared" si="62"/>
        <v/>
      </c>
      <c r="J212" s="8" t="str">
        <f t="shared" si="48"/>
        <v/>
      </c>
      <c r="K212" s="9" t="str">
        <f t="shared" si="49"/>
        <v/>
      </c>
      <c r="L212" s="9" t="str">
        <f t="shared" si="63"/>
        <v/>
      </c>
      <c r="M212" s="10" t="str">
        <f t="shared" si="50"/>
        <v/>
      </c>
      <c r="N212" s="6" t="str">
        <f t="shared" si="51"/>
        <v/>
      </c>
      <c r="O212" s="9" t="str">
        <f t="shared" si="52"/>
        <v/>
      </c>
      <c r="P212" s="9" t="str">
        <f t="shared" si="53"/>
        <v/>
      </c>
      <c r="Q212" s="9" t="str">
        <f t="shared" si="54"/>
        <v/>
      </c>
      <c r="R212" s="9" t="str">
        <f t="shared" ca="1" si="55"/>
        <v/>
      </c>
      <c r="T212" s="6" t="str">
        <f t="shared" si="64"/>
        <v/>
      </c>
      <c r="U212" s="6" t="str">
        <f t="shared" si="56"/>
        <v/>
      </c>
      <c r="V212" s="10" t="str">
        <f t="shared" si="57"/>
        <v/>
      </c>
      <c r="W212" s="8" t="str">
        <f t="shared" si="58"/>
        <v/>
      </c>
      <c r="X212" s="9">
        <f t="shared" si="65"/>
        <v>0</v>
      </c>
      <c r="Y212" s="9">
        <f t="shared" si="67"/>
        <v>0</v>
      </c>
    </row>
    <row r="213" spans="2:25" x14ac:dyDescent="0.3">
      <c r="B213" s="6">
        <v>176</v>
      </c>
      <c r="C213" s="79" t="str">
        <f t="shared" si="66"/>
        <v/>
      </c>
      <c r="D213" s="6" t="str">
        <f t="shared" si="47"/>
        <v/>
      </c>
      <c r="E213" s="79" t="str">
        <f t="shared" si="59"/>
        <v/>
      </c>
      <c r="F213" s="79" t="str">
        <f>IF(B212&gt;$C$18,"",IF(COUNTIF(Feriados!$A$2:$B$17,EDATE($C$38,B212))=0,EDATE($C$38,B212),EDATE($C$38,B212)+VLOOKUP(EDATE($C$38,B212),Feriados!$A$2:$B$17,2,FALSE)))</f>
        <v/>
      </c>
      <c r="G213" s="6" t="str">
        <f t="shared" si="60"/>
        <v/>
      </c>
      <c r="H213" s="6" t="str">
        <f t="shared" si="61"/>
        <v/>
      </c>
      <c r="I213" s="8" t="str">
        <f t="shared" si="62"/>
        <v/>
      </c>
      <c r="J213" s="8" t="str">
        <f t="shared" si="48"/>
        <v/>
      </c>
      <c r="K213" s="9" t="str">
        <f t="shared" si="49"/>
        <v/>
      </c>
      <c r="L213" s="9" t="str">
        <f t="shared" si="63"/>
        <v/>
      </c>
      <c r="M213" s="10" t="str">
        <f t="shared" si="50"/>
        <v/>
      </c>
      <c r="N213" s="6" t="str">
        <f t="shared" si="51"/>
        <v/>
      </c>
      <c r="O213" s="9" t="str">
        <f t="shared" si="52"/>
        <v/>
      </c>
      <c r="P213" s="9" t="str">
        <f t="shared" si="53"/>
        <v/>
      </c>
      <c r="Q213" s="9" t="str">
        <f t="shared" si="54"/>
        <v/>
      </c>
      <c r="R213" s="9" t="str">
        <f t="shared" ca="1" si="55"/>
        <v/>
      </c>
      <c r="T213" s="6" t="str">
        <f t="shared" si="64"/>
        <v/>
      </c>
      <c r="U213" s="6" t="str">
        <f t="shared" si="56"/>
        <v/>
      </c>
      <c r="V213" s="10" t="str">
        <f t="shared" si="57"/>
        <v/>
      </c>
      <c r="W213" s="8" t="str">
        <f t="shared" si="58"/>
        <v/>
      </c>
      <c r="X213" s="9">
        <f t="shared" si="65"/>
        <v>0</v>
      </c>
      <c r="Y213" s="9">
        <f t="shared" si="67"/>
        <v>0</v>
      </c>
    </row>
    <row r="214" spans="2:25" x14ac:dyDescent="0.3">
      <c r="B214" s="6">
        <v>177</v>
      </c>
      <c r="C214" s="79" t="str">
        <f t="shared" si="66"/>
        <v/>
      </c>
      <c r="D214" s="6" t="str">
        <f t="shared" si="47"/>
        <v/>
      </c>
      <c r="E214" s="79" t="str">
        <f t="shared" si="59"/>
        <v/>
      </c>
      <c r="F214" s="79" t="str">
        <f>IF(B213&gt;$C$18,"",IF(COUNTIF(Feriados!$A$2:$B$17,EDATE($C$38,B213))=0,EDATE($C$38,B213),EDATE($C$38,B213)+VLOOKUP(EDATE($C$38,B213),Feriados!$A$2:$B$17,2,FALSE)))</f>
        <v/>
      </c>
      <c r="G214" s="6" t="str">
        <f t="shared" si="60"/>
        <v/>
      </c>
      <c r="H214" s="6" t="str">
        <f t="shared" si="61"/>
        <v/>
      </c>
      <c r="I214" s="8" t="str">
        <f t="shared" si="62"/>
        <v/>
      </c>
      <c r="J214" s="8" t="str">
        <f t="shared" si="48"/>
        <v/>
      </c>
      <c r="K214" s="9" t="str">
        <f t="shared" si="49"/>
        <v/>
      </c>
      <c r="L214" s="9" t="str">
        <f t="shared" si="63"/>
        <v/>
      </c>
      <c r="M214" s="10" t="str">
        <f t="shared" si="50"/>
        <v/>
      </c>
      <c r="N214" s="6" t="str">
        <f t="shared" si="51"/>
        <v/>
      </c>
      <c r="O214" s="9" t="str">
        <f t="shared" si="52"/>
        <v/>
      </c>
      <c r="P214" s="9" t="str">
        <f t="shared" si="53"/>
        <v/>
      </c>
      <c r="Q214" s="9" t="str">
        <f t="shared" si="54"/>
        <v/>
      </c>
      <c r="R214" s="9" t="str">
        <f t="shared" ca="1" si="55"/>
        <v/>
      </c>
      <c r="T214" s="6" t="str">
        <f t="shared" si="64"/>
        <v/>
      </c>
      <c r="U214" s="6" t="str">
        <f t="shared" si="56"/>
        <v/>
      </c>
      <c r="V214" s="10" t="str">
        <f t="shared" si="57"/>
        <v/>
      </c>
      <c r="W214" s="8" t="str">
        <f t="shared" si="58"/>
        <v/>
      </c>
      <c r="X214" s="9">
        <f t="shared" si="65"/>
        <v>0</v>
      </c>
      <c r="Y214" s="9">
        <f t="shared" si="67"/>
        <v>0</v>
      </c>
    </row>
    <row r="215" spans="2:25" x14ac:dyDescent="0.3">
      <c r="B215" s="6">
        <v>178</v>
      </c>
      <c r="C215" s="79" t="str">
        <f t="shared" si="66"/>
        <v/>
      </c>
      <c r="D215" s="6" t="str">
        <f t="shared" si="47"/>
        <v/>
      </c>
      <c r="E215" s="79" t="str">
        <f t="shared" si="59"/>
        <v/>
      </c>
      <c r="F215" s="79" t="str">
        <f>IF(B214&gt;$C$18,"",IF(COUNTIF(Feriados!$A$2:$B$17,EDATE($C$38,B214))=0,EDATE($C$38,B214),EDATE($C$38,B214)+VLOOKUP(EDATE($C$38,B214),Feriados!$A$2:$B$17,2,FALSE)))</f>
        <v/>
      </c>
      <c r="G215" s="6" t="str">
        <f t="shared" si="60"/>
        <v/>
      </c>
      <c r="H215" s="6" t="str">
        <f t="shared" si="61"/>
        <v/>
      </c>
      <c r="I215" s="8" t="str">
        <f t="shared" si="62"/>
        <v/>
      </c>
      <c r="J215" s="8" t="str">
        <f t="shared" si="48"/>
        <v/>
      </c>
      <c r="K215" s="9" t="str">
        <f t="shared" si="49"/>
        <v/>
      </c>
      <c r="L215" s="9" t="str">
        <f t="shared" si="63"/>
        <v/>
      </c>
      <c r="M215" s="10" t="str">
        <f t="shared" si="50"/>
        <v/>
      </c>
      <c r="N215" s="6" t="str">
        <f t="shared" si="51"/>
        <v/>
      </c>
      <c r="O215" s="9" t="str">
        <f t="shared" si="52"/>
        <v/>
      </c>
      <c r="P215" s="9" t="str">
        <f t="shared" si="53"/>
        <v/>
      </c>
      <c r="Q215" s="9" t="str">
        <f t="shared" si="54"/>
        <v/>
      </c>
      <c r="R215" s="9" t="str">
        <f t="shared" ca="1" si="55"/>
        <v/>
      </c>
      <c r="T215" s="6" t="str">
        <f t="shared" si="64"/>
        <v/>
      </c>
      <c r="U215" s="6" t="str">
        <f t="shared" si="56"/>
        <v/>
      </c>
      <c r="V215" s="10" t="str">
        <f t="shared" si="57"/>
        <v/>
      </c>
      <c r="W215" s="8" t="str">
        <f t="shared" si="58"/>
        <v/>
      </c>
      <c r="X215" s="9">
        <f t="shared" si="65"/>
        <v>0</v>
      </c>
      <c r="Y215" s="9">
        <f t="shared" si="67"/>
        <v>0</v>
      </c>
    </row>
    <row r="216" spans="2:25" x14ac:dyDescent="0.3">
      <c r="B216" s="6">
        <v>179</v>
      </c>
      <c r="C216" s="79" t="str">
        <f t="shared" si="66"/>
        <v/>
      </c>
      <c r="D216" s="6" t="str">
        <f t="shared" si="47"/>
        <v/>
      </c>
      <c r="E216" s="79" t="str">
        <f t="shared" si="59"/>
        <v/>
      </c>
      <c r="F216" s="79" t="str">
        <f>IF(B215&gt;$C$18,"",IF(COUNTIF(Feriados!$A$2:$B$17,EDATE($C$38,B215))=0,EDATE($C$38,B215),EDATE($C$38,B215)+VLOOKUP(EDATE($C$38,B215),Feriados!$A$2:$B$17,2,FALSE)))</f>
        <v/>
      </c>
      <c r="G216" s="6" t="str">
        <f t="shared" si="60"/>
        <v/>
      </c>
      <c r="H216" s="6" t="str">
        <f t="shared" si="61"/>
        <v/>
      </c>
      <c r="I216" s="8" t="str">
        <f t="shared" si="62"/>
        <v/>
      </c>
      <c r="J216" s="8" t="str">
        <f t="shared" si="48"/>
        <v/>
      </c>
      <c r="K216" s="9" t="str">
        <f t="shared" si="49"/>
        <v/>
      </c>
      <c r="L216" s="9" t="str">
        <f t="shared" si="63"/>
        <v/>
      </c>
      <c r="M216" s="10" t="str">
        <f t="shared" si="50"/>
        <v/>
      </c>
      <c r="N216" s="6" t="str">
        <f t="shared" si="51"/>
        <v/>
      </c>
      <c r="O216" s="9" t="str">
        <f t="shared" si="52"/>
        <v/>
      </c>
      <c r="P216" s="9" t="str">
        <f t="shared" si="53"/>
        <v/>
      </c>
      <c r="Q216" s="9" t="str">
        <f t="shared" si="54"/>
        <v/>
      </c>
      <c r="R216" s="9" t="str">
        <f t="shared" ca="1" si="55"/>
        <v/>
      </c>
      <c r="T216" s="6" t="str">
        <f t="shared" si="64"/>
        <v/>
      </c>
      <c r="U216" s="6" t="str">
        <f t="shared" si="56"/>
        <v/>
      </c>
      <c r="V216" s="10" t="str">
        <f t="shared" si="57"/>
        <v/>
      </c>
      <c r="W216" s="8" t="str">
        <f t="shared" si="58"/>
        <v/>
      </c>
      <c r="X216" s="9">
        <f t="shared" si="65"/>
        <v>0</v>
      </c>
      <c r="Y216" s="9">
        <f t="shared" si="67"/>
        <v>0</v>
      </c>
    </row>
    <row r="217" spans="2:25" x14ac:dyDescent="0.3">
      <c r="B217" s="6">
        <v>180</v>
      </c>
      <c r="C217" s="79" t="str">
        <f t="shared" si="66"/>
        <v/>
      </c>
      <c r="D217" s="6" t="str">
        <f t="shared" si="47"/>
        <v/>
      </c>
      <c r="E217" s="79" t="str">
        <f t="shared" si="59"/>
        <v/>
      </c>
      <c r="F217" s="79" t="str">
        <f>IF(B216&gt;$C$18,"",IF(COUNTIF(Feriados!$A$2:$B$17,EDATE($C$38,B216))=0,EDATE($C$38,B216),EDATE($C$38,B216)+VLOOKUP(EDATE($C$38,B216),Feriados!$A$2:$B$17,2,FALSE)))</f>
        <v/>
      </c>
      <c r="G217" s="6" t="str">
        <f t="shared" si="60"/>
        <v/>
      </c>
      <c r="H217" s="6" t="str">
        <f t="shared" si="61"/>
        <v/>
      </c>
      <c r="I217" s="8" t="str">
        <f t="shared" si="62"/>
        <v/>
      </c>
      <c r="J217" s="8" t="str">
        <f t="shared" si="48"/>
        <v/>
      </c>
      <c r="K217" s="9" t="str">
        <f t="shared" si="49"/>
        <v/>
      </c>
      <c r="L217" s="9" t="str">
        <f t="shared" si="63"/>
        <v/>
      </c>
      <c r="M217" s="10" t="str">
        <f t="shared" si="50"/>
        <v/>
      </c>
      <c r="N217" s="6" t="str">
        <f t="shared" si="51"/>
        <v/>
      </c>
      <c r="O217" s="9" t="str">
        <f t="shared" si="52"/>
        <v/>
      </c>
      <c r="P217" s="9" t="str">
        <f t="shared" si="53"/>
        <v/>
      </c>
      <c r="Q217" s="9" t="str">
        <f t="shared" si="54"/>
        <v/>
      </c>
      <c r="R217" s="9" t="str">
        <f t="shared" ca="1" si="55"/>
        <v/>
      </c>
      <c r="T217" s="6" t="str">
        <f t="shared" si="64"/>
        <v/>
      </c>
      <c r="U217" s="6" t="str">
        <f t="shared" si="56"/>
        <v/>
      </c>
      <c r="V217" s="10" t="str">
        <f t="shared" si="57"/>
        <v/>
      </c>
      <c r="W217" s="8" t="str">
        <f t="shared" si="58"/>
        <v/>
      </c>
      <c r="X217" s="9">
        <f t="shared" si="65"/>
        <v>0</v>
      </c>
      <c r="Y217" s="9">
        <f t="shared" si="67"/>
        <v>0</v>
      </c>
    </row>
    <row r="218" spans="2:25" x14ac:dyDescent="0.3">
      <c r="B218" s="6">
        <v>181</v>
      </c>
      <c r="C218" s="79" t="str">
        <f t="shared" si="66"/>
        <v/>
      </c>
      <c r="D218" s="6" t="str">
        <f t="shared" si="47"/>
        <v/>
      </c>
      <c r="E218" s="79" t="str">
        <f t="shared" si="59"/>
        <v/>
      </c>
      <c r="F218" s="79" t="str">
        <f>IF(B217&gt;$C$18,"",IF(COUNTIF(Feriados!$A$2:$B$17,EDATE($C$38,B217))=0,EDATE($C$38,B217),EDATE($C$38,B217)+VLOOKUP(EDATE($C$38,B217),Feriados!$A$2:$B$17,2,FALSE)))</f>
        <v/>
      </c>
      <c r="G218" s="6" t="str">
        <f t="shared" si="60"/>
        <v/>
      </c>
      <c r="H218" s="6" t="str">
        <f t="shared" si="61"/>
        <v/>
      </c>
      <c r="I218" s="8" t="str">
        <f t="shared" si="62"/>
        <v/>
      </c>
      <c r="J218" s="8" t="str">
        <f t="shared" si="48"/>
        <v/>
      </c>
      <c r="K218" s="9" t="str">
        <f t="shared" si="49"/>
        <v/>
      </c>
      <c r="L218" s="9" t="str">
        <f t="shared" si="63"/>
        <v/>
      </c>
      <c r="M218" s="10" t="str">
        <f t="shared" si="50"/>
        <v/>
      </c>
      <c r="N218" s="6" t="str">
        <f t="shared" si="51"/>
        <v/>
      </c>
      <c r="O218" s="9" t="str">
        <f t="shared" si="52"/>
        <v/>
      </c>
      <c r="P218" s="9" t="str">
        <f t="shared" si="53"/>
        <v/>
      </c>
      <c r="Q218" s="9" t="str">
        <f t="shared" si="54"/>
        <v/>
      </c>
      <c r="R218" s="9" t="str">
        <f t="shared" ca="1" si="55"/>
        <v/>
      </c>
      <c r="T218" s="6" t="str">
        <f t="shared" si="64"/>
        <v/>
      </c>
      <c r="U218" s="6" t="str">
        <f t="shared" si="56"/>
        <v/>
      </c>
      <c r="V218" s="10" t="str">
        <f t="shared" si="57"/>
        <v/>
      </c>
      <c r="W218" s="8" t="str">
        <f t="shared" si="58"/>
        <v/>
      </c>
      <c r="X218" s="9">
        <f t="shared" si="65"/>
        <v>0</v>
      </c>
      <c r="Y218" s="9">
        <f t="shared" si="67"/>
        <v>0</v>
      </c>
    </row>
    <row r="219" spans="2:25" x14ac:dyDescent="0.3">
      <c r="B219" s="6">
        <v>182</v>
      </c>
      <c r="C219" s="79" t="str">
        <f t="shared" si="66"/>
        <v/>
      </c>
      <c r="D219" s="6" t="str">
        <f t="shared" si="47"/>
        <v/>
      </c>
      <c r="E219" s="79" t="str">
        <f t="shared" si="59"/>
        <v/>
      </c>
      <c r="F219" s="79" t="str">
        <f>IF(B218&gt;$C$18,"",IF(COUNTIF(Feriados!$A$2:$B$17,EDATE($C$38,B218))=0,EDATE($C$38,B218),EDATE($C$38,B218)+VLOOKUP(EDATE($C$38,B218),Feriados!$A$2:$B$17,2,FALSE)))</f>
        <v/>
      </c>
      <c r="G219" s="6" t="str">
        <f t="shared" si="60"/>
        <v/>
      </c>
      <c r="H219" s="6" t="str">
        <f t="shared" si="61"/>
        <v/>
      </c>
      <c r="I219" s="8" t="str">
        <f t="shared" si="62"/>
        <v/>
      </c>
      <c r="J219" s="8" t="str">
        <f t="shared" si="48"/>
        <v/>
      </c>
      <c r="K219" s="9" t="str">
        <f t="shared" si="49"/>
        <v/>
      </c>
      <c r="L219" s="9" t="str">
        <f t="shared" si="63"/>
        <v/>
      </c>
      <c r="M219" s="10" t="str">
        <f t="shared" si="50"/>
        <v/>
      </c>
      <c r="N219" s="6" t="str">
        <f t="shared" si="51"/>
        <v/>
      </c>
      <c r="O219" s="9" t="str">
        <f t="shared" si="52"/>
        <v/>
      </c>
      <c r="P219" s="9" t="str">
        <f t="shared" si="53"/>
        <v/>
      </c>
      <c r="Q219" s="9" t="str">
        <f t="shared" si="54"/>
        <v/>
      </c>
      <c r="R219" s="9" t="str">
        <f t="shared" ca="1" si="55"/>
        <v/>
      </c>
      <c r="T219" s="6" t="str">
        <f t="shared" si="64"/>
        <v/>
      </c>
      <c r="U219" s="6" t="str">
        <f t="shared" si="56"/>
        <v/>
      </c>
      <c r="V219" s="10" t="str">
        <f t="shared" si="57"/>
        <v/>
      </c>
      <c r="W219" s="8" t="str">
        <f t="shared" si="58"/>
        <v/>
      </c>
      <c r="X219" s="9">
        <f t="shared" si="65"/>
        <v>0</v>
      </c>
      <c r="Y219" s="9">
        <f t="shared" si="67"/>
        <v>0</v>
      </c>
    </row>
    <row r="220" spans="2:25" x14ac:dyDescent="0.3">
      <c r="B220" s="6">
        <v>183</v>
      </c>
      <c r="C220" s="79" t="str">
        <f t="shared" si="66"/>
        <v/>
      </c>
      <c r="D220" s="6" t="str">
        <f t="shared" si="47"/>
        <v/>
      </c>
      <c r="E220" s="79" t="str">
        <f t="shared" si="59"/>
        <v/>
      </c>
      <c r="F220" s="79" t="str">
        <f>IF(B219&gt;$C$18,"",IF(COUNTIF(Feriados!$A$2:$B$17,EDATE($C$38,B219))=0,EDATE($C$38,B219),EDATE($C$38,B219)+VLOOKUP(EDATE($C$38,B219),Feriados!$A$2:$B$17,2,FALSE)))</f>
        <v/>
      </c>
      <c r="G220" s="6" t="str">
        <f t="shared" si="60"/>
        <v/>
      </c>
      <c r="H220" s="6" t="str">
        <f t="shared" si="61"/>
        <v/>
      </c>
      <c r="I220" s="8" t="str">
        <f t="shared" si="62"/>
        <v/>
      </c>
      <c r="J220" s="8" t="str">
        <f t="shared" si="48"/>
        <v/>
      </c>
      <c r="K220" s="9" t="str">
        <f t="shared" si="49"/>
        <v/>
      </c>
      <c r="L220" s="9" t="str">
        <f t="shared" si="63"/>
        <v/>
      </c>
      <c r="M220" s="10" t="str">
        <f t="shared" si="50"/>
        <v/>
      </c>
      <c r="N220" s="6" t="str">
        <f t="shared" si="51"/>
        <v/>
      </c>
      <c r="O220" s="9" t="str">
        <f t="shared" si="52"/>
        <v/>
      </c>
      <c r="P220" s="9" t="str">
        <f t="shared" si="53"/>
        <v/>
      </c>
      <c r="Q220" s="9" t="str">
        <f t="shared" si="54"/>
        <v/>
      </c>
      <c r="R220" s="9" t="str">
        <f t="shared" ca="1" si="55"/>
        <v/>
      </c>
      <c r="T220" s="6" t="str">
        <f t="shared" si="64"/>
        <v/>
      </c>
      <c r="U220" s="6" t="str">
        <f t="shared" si="56"/>
        <v/>
      </c>
      <c r="V220" s="10" t="str">
        <f t="shared" si="57"/>
        <v/>
      </c>
      <c r="W220" s="8" t="str">
        <f t="shared" si="58"/>
        <v/>
      </c>
      <c r="X220" s="9">
        <f t="shared" si="65"/>
        <v>0</v>
      </c>
      <c r="Y220" s="9">
        <f t="shared" si="67"/>
        <v>0</v>
      </c>
    </row>
    <row r="221" spans="2:25" x14ac:dyDescent="0.3">
      <c r="B221" s="6">
        <v>184</v>
      </c>
      <c r="C221" s="79" t="str">
        <f t="shared" si="66"/>
        <v/>
      </c>
      <c r="D221" s="6" t="str">
        <f t="shared" si="47"/>
        <v/>
      </c>
      <c r="E221" s="79" t="str">
        <f t="shared" si="59"/>
        <v/>
      </c>
      <c r="F221" s="79" t="str">
        <f>IF(B220&gt;$C$18,"",IF(COUNTIF(Feriados!$A$2:$B$17,EDATE($C$38,B220))=0,EDATE($C$38,B220),EDATE($C$38,B220)+VLOOKUP(EDATE($C$38,B220),Feriados!$A$2:$B$17,2,FALSE)))</f>
        <v/>
      </c>
      <c r="G221" s="6" t="str">
        <f t="shared" si="60"/>
        <v/>
      </c>
      <c r="H221" s="6" t="str">
        <f t="shared" si="61"/>
        <v/>
      </c>
      <c r="I221" s="8" t="str">
        <f t="shared" si="62"/>
        <v/>
      </c>
      <c r="J221" s="8" t="str">
        <f t="shared" si="48"/>
        <v/>
      </c>
      <c r="K221" s="9" t="str">
        <f t="shared" si="49"/>
        <v/>
      </c>
      <c r="L221" s="9" t="str">
        <f t="shared" si="63"/>
        <v/>
      </c>
      <c r="M221" s="10" t="str">
        <f t="shared" si="50"/>
        <v/>
      </c>
      <c r="N221" s="6" t="str">
        <f t="shared" si="51"/>
        <v/>
      </c>
      <c r="O221" s="9" t="str">
        <f t="shared" si="52"/>
        <v/>
      </c>
      <c r="P221" s="9" t="str">
        <f t="shared" si="53"/>
        <v/>
      </c>
      <c r="Q221" s="9" t="str">
        <f t="shared" si="54"/>
        <v/>
      </c>
      <c r="R221" s="9" t="str">
        <f t="shared" ca="1" si="55"/>
        <v/>
      </c>
      <c r="T221" s="6" t="str">
        <f t="shared" si="64"/>
        <v/>
      </c>
      <c r="U221" s="6" t="str">
        <f t="shared" si="56"/>
        <v/>
      </c>
      <c r="V221" s="10" t="str">
        <f t="shared" si="57"/>
        <v/>
      </c>
      <c r="W221" s="8" t="str">
        <f t="shared" si="58"/>
        <v/>
      </c>
      <c r="X221" s="9">
        <f t="shared" si="65"/>
        <v>0</v>
      </c>
      <c r="Y221" s="9">
        <f t="shared" si="67"/>
        <v>0</v>
      </c>
    </row>
    <row r="222" spans="2:25" x14ac:dyDescent="0.3">
      <c r="B222" s="6">
        <v>185</v>
      </c>
      <c r="C222" s="79" t="str">
        <f t="shared" si="66"/>
        <v/>
      </c>
      <c r="D222" s="6" t="str">
        <f t="shared" si="47"/>
        <v/>
      </c>
      <c r="E222" s="79" t="str">
        <f t="shared" si="59"/>
        <v/>
      </c>
      <c r="F222" s="79" t="str">
        <f>IF(B221&gt;$C$18,"",IF(COUNTIF(Feriados!$A$2:$B$17,EDATE($C$38,B221))=0,EDATE($C$38,B221),EDATE($C$38,B221)+VLOOKUP(EDATE($C$38,B221),Feriados!$A$2:$B$17,2,FALSE)))</f>
        <v/>
      </c>
      <c r="G222" s="6" t="str">
        <f t="shared" si="60"/>
        <v/>
      </c>
      <c r="H222" s="6" t="str">
        <f t="shared" si="61"/>
        <v/>
      </c>
      <c r="I222" s="8" t="str">
        <f t="shared" si="62"/>
        <v/>
      </c>
      <c r="J222" s="8" t="str">
        <f t="shared" si="48"/>
        <v/>
      </c>
      <c r="K222" s="9" t="str">
        <f t="shared" si="49"/>
        <v/>
      </c>
      <c r="L222" s="9" t="str">
        <f t="shared" si="63"/>
        <v/>
      </c>
      <c r="M222" s="10" t="str">
        <f t="shared" si="50"/>
        <v/>
      </c>
      <c r="N222" s="6" t="str">
        <f t="shared" si="51"/>
        <v/>
      </c>
      <c r="O222" s="9" t="str">
        <f t="shared" si="52"/>
        <v/>
      </c>
      <c r="P222" s="9" t="str">
        <f t="shared" si="53"/>
        <v/>
      </c>
      <c r="Q222" s="9" t="str">
        <f t="shared" si="54"/>
        <v/>
      </c>
      <c r="R222" s="9" t="str">
        <f t="shared" ca="1" si="55"/>
        <v/>
      </c>
      <c r="T222" s="6" t="str">
        <f t="shared" si="64"/>
        <v/>
      </c>
      <c r="U222" s="6" t="str">
        <f t="shared" si="56"/>
        <v/>
      </c>
      <c r="V222" s="10" t="str">
        <f t="shared" si="57"/>
        <v/>
      </c>
      <c r="W222" s="8" t="str">
        <f t="shared" si="58"/>
        <v/>
      </c>
      <c r="X222" s="9">
        <f t="shared" si="65"/>
        <v>0</v>
      </c>
      <c r="Y222" s="9">
        <f t="shared" si="67"/>
        <v>0</v>
      </c>
    </row>
    <row r="223" spans="2:25" x14ac:dyDescent="0.3">
      <c r="B223" s="6">
        <v>186</v>
      </c>
      <c r="C223" s="79" t="str">
        <f t="shared" si="66"/>
        <v/>
      </c>
      <c r="D223" s="6" t="str">
        <f t="shared" si="47"/>
        <v/>
      </c>
      <c r="E223" s="79" t="str">
        <f t="shared" si="59"/>
        <v/>
      </c>
      <c r="F223" s="79" t="str">
        <f>IF(B222&gt;$C$18,"",IF(COUNTIF(Feriados!$A$2:$B$17,EDATE($C$38,B222))=0,EDATE($C$38,B222),EDATE($C$38,B222)+VLOOKUP(EDATE($C$38,B222),Feriados!$A$2:$B$17,2,FALSE)))</f>
        <v/>
      </c>
      <c r="G223" s="6" t="str">
        <f t="shared" si="60"/>
        <v/>
      </c>
      <c r="H223" s="6" t="str">
        <f t="shared" si="61"/>
        <v/>
      </c>
      <c r="I223" s="8" t="str">
        <f t="shared" si="62"/>
        <v/>
      </c>
      <c r="J223" s="8" t="str">
        <f t="shared" si="48"/>
        <v/>
      </c>
      <c r="K223" s="9" t="str">
        <f t="shared" si="49"/>
        <v/>
      </c>
      <c r="L223" s="9" t="str">
        <f t="shared" si="63"/>
        <v/>
      </c>
      <c r="M223" s="10" t="str">
        <f t="shared" si="50"/>
        <v/>
      </c>
      <c r="N223" s="6" t="str">
        <f t="shared" si="51"/>
        <v/>
      </c>
      <c r="O223" s="9" t="str">
        <f t="shared" si="52"/>
        <v/>
      </c>
      <c r="P223" s="9" t="str">
        <f t="shared" si="53"/>
        <v/>
      </c>
      <c r="Q223" s="9" t="str">
        <f t="shared" si="54"/>
        <v/>
      </c>
      <c r="R223" s="9" t="str">
        <f t="shared" ca="1" si="55"/>
        <v/>
      </c>
      <c r="T223" s="6" t="str">
        <f t="shared" si="64"/>
        <v/>
      </c>
      <c r="U223" s="6" t="str">
        <f t="shared" si="56"/>
        <v/>
      </c>
      <c r="V223" s="10" t="str">
        <f t="shared" si="57"/>
        <v/>
      </c>
      <c r="W223" s="8" t="str">
        <f t="shared" si="58"/>
        <v/>
      </c>
      <c r="X223" s="9">
        <f t="shared" si="65"/>
        <v>0</v>
      </c>
      <c r="Y223" s="9">
        <f t="shared" si="67"/>
        <v>0</v>
      </c>
    </row>
    <row r="224" spans="2:25" x14ac:dyDescent="0.3">
      <c r="B224" s="6">
        <v>187</v>
      </c>
      <c r="C224" s="79" t="str">
        <f t="shared" si="66"/>
        <v/>
      </c>
      <c r="D224" s="6" t="str">
        <f t="shared" si="47"/>
        <v/>
      </c>
      <c r="E224" s="79" t="str">
        <f t="shared" si="59"/>
        <v/>
      </c>
      <c r="F224" s="79" t="str">
        <f>IF(B223&gt;$C$18,"",IF(COUNTIF(Feriados!$A$2:$B$17,EDATE($C$38,B223))=0,EDATE($C$38,B223),EDATE($C$38,B223)+VLOOKUP(EDATE($C$38,B223),Feriados!$A$2:$B$17,2,FALSE)))</f>
        <v/>
      </c>
      <c r="G224" s="6" t="str">
        <f t="shared" si="60"/>
        <v/>
      </c>
      <c r="H224" s="6" t="str">
        <f t="shared" si="61"/>
        <v/>
      </c>
      <c r="I224" s="8" t="str">
        <f t="shared" si="62"/>
        <v/>
      </c>
      <c r="J224" s="8" t="str">
        <f t="shared" si="48"/>
        <v/>
      </c>
      <c r="K224" s="9" t="str">
        <f t="shared" si="49"/>
        <v/>
      </c>
      <c r="L224" s="9" t="str">
        <f t="shared" si="63"/>
        <v/>
      </c>
      <c r="M224" s="10" t="str">
        <f t="shared" si="50"/>
        <v/>
      </c>
      <c r="N224" s="6" t="str">
        <f t="shared" si="51"/>
        <v/>
      </c>
      <c r="O224" s="9" t="str">
        <f t="shared" si="52"/>
        <v/>
      </c>
      <c r="P224" s="9" t="str">
        <f t="shared" si="53"/>
        <v/>
      </c>
      <c r="Q224" s="9" t="str">
        <f t="shared" si="54"/>
        <v/>
      </c>
      <c r="R224" s="9" t="str">
        <f t="shared" ca="1" si="55"/>
        <v/>
      </c>
      <c r="T224" s="6" t="str">
        <f t="shared" si="64"/>
        <v/>
      </c>
      <c r="U224" s="6" t="str">
        <f t="shared" si="56"/>
        <v/>
      </c>
      <c r="V224" s="10" t="str">
        <f t="shared" si="57"/>
        <v/>
      </c>
      <c r="W224" s="8" t="str">
        <f t="shared" si="58"/>
        <v/>
      </c>
      <c r="X224" s="9">
        <f t="shared" si="65"/>
        <v>0</v>
      </c>
      <c r="Y224" s="9">
        <f t="shared" si="67"/>
        <v>0</v>
      </c>
    </row>
    <row r="225" spans="2:25" x14ac:dyDescent="0.3">
      <c r="B225" s="6">
        <v>188</v>
      </c>
      <c r="C225" s="79" t="str">
        <f t="shared" si="66"/>
        <v/>
      </c>
      <c r="D225" s="6" t="str">
        <f t="shared" si="47"/>
        <v/>
      </c>
      <c r="E225" s="79" t="str">
        <f t="shared" si="59"/>
        <v/>
      </c>
      <c r="F225" s="79" t="str">
        <f>IF(B224&gt;$C$18,"",IF(COUNTIF(Feriados!$A$2:$B$17,EDATE($C$38,B224))=0,EDATE($C$38,B224),EDATE($C$38,B224)+VLOOKUP(EDATE($C$38,B224),Feriados!$A$2:$B$17,2,FALSE)))</f>
        <v/>
      </c>
      <c r="G225" s="6" t="str">
        <f t="shared" si="60"/>
        <v/>
      </c>
      <c r="H225" s="6" t="str">
        <f t="shared" si="61"/>
        <v/>
      </c>
      <c r="I225" s="8" t="str">
        <f t="shared" si="62"/>
        <v/>
      </c>
      <c r="J225" s="8" t="str">
        <f t="shared" si="48"/>
        <v/>
      </c>
      <c r="K225" s="9" t="str">
        <f t="shared" si="49"/>
        <v/>
      </c>
      <c r="L225" s="9" t="str">
        <f t="shared" si="63"/>
        <v/>
      </c>
      <c r="M225" s="10" t="str">
        <f t="shared" si="50"/>
        <v/>
      </c>
      <c r="N225" s="6" t="str">
        <f t="shared" si="51"/>
        <v/>
      </c>
      <c r="O225" s="9" t="str">
        <f t="shared" si="52"/>
        <v/>
      </c>
      <c r="P225" s="9" t="str">
        <f t="shared" si="53"/>
        <v/>
      </c>
      <c r="Q225" s="9" t="str">
        <f t="shared" si="54"/>
        <v/>
      </c>
      <c r="R225" s="9" t="str">
        <f t="shared" ca="1" si="55"/>
        <v/>
      </c>
      <c r="T225" s="6" t="str">
        <f t="shared" si="64"/>
        <v/>
      </c>
      <c r="U225" s="6" t="str">
        <f t="shared" si="56"/>
        <v/>
      </c>
      <c r="V225" s="10" t="str">
        <f t="shared" si="57"/>
        <v/>
      </c>
      <c r="W225" s="8" t="str">
        <f t="shared" si="58"/>
        <v/>
      </c>
      <c r="X225" s="9">
        <f t="shared" si="65"/>
        <v>0</v>
      </c>
      <c r="Y225" s="9">
        <f t="shared" si="67"/>
        <v>0</v>
      </c>
    </row>
    <row r="226" spans="2:25" x14ac:dyDescent="0.3">
      <c r="B226" s="6">
        <v>189</v>
      </c>
      <c r="C226" s="79" t="str">
        <f t="shared" si="66"/>
        <v/>
      </c>
      <c r="D226" s="6" t="str">
        <f t="shared" si="47"/>
        <v/>
      </c>
      <c r="E226" s="79" t="str">
        <f t="shared" si="59"/>
        <v/>
      </c>
      <c r="F226" s="79" t="str">
        <f>IF(B225&gt;$C$18,"",IF(COUNTIF(Feriados!$A$2:$B$17,EDATE($C$38,B225))=0,EDATE($C$38,B225),EDATE($C$38,B225)+VLOOKUP(EDATE($C$38,B225),Feriados!$A$2:$B$17,2,FALSE)))</f>
        <v/>
      </c>
      <c r="G226" s="6" t="str">
        <f t="shared" si="60"/>
        <v/>
      </c>
      <c r="H226" s="6" t="str">
        <f t="shared" si="61"/>
        <v/>
      </c>
      <c r="I226" s="8" t="str">
        <f t="shared" si="62"/>
        <v/>
      </c>
      <c r="J226" s="8" t="str">
        <f t="shared" si="48"/>
        <v/>
      </c>
      <c r="K226" s="9" t="str">
        <f t="shared" si="49"/>
        <v/>
      </c>
      <c r="L226" s="9" t="str">
        <f t="shared" si="63"/>
        <v/>
      </c>
      <c r="M226" s="10" t="str">
        <f t="shared" si="50"/>
        <v/>
      </c>
      <c r="N226" s="6" t="str">
        <f t="shared" si="51"/>
        <v/>
      </c>
      <c r="O226" s="9" t="str">
        <f t="shared" si="52"/>
        <v/>
      </c>
      <c r="P226" s="9" t="str">
        <f t="shared" si="53"/>
        <v/>
      </c>
      <c r="Q226" s="9" t="str">
        <f t="shared" si="54"/>
        <v/>
      </c>
      <c r="R226" s="9" t="str">
        <f t="shared" ca="1" si="55"/>
        <v/>
      </c>
      <c r="T226" s="6" t="str">
        <f t="shared" si="64"/>
        <v/>
      </c>
      <c r="U226" s="6" t="str">
        <f t="shared" si="56"/>
        <v/>
      </c>
      <c r="V226" s="10" t="str">
        <f t="shared" si="57"/>
        <v/>
      </c>
      <c r="W226" s="8" t="str">
        <f t="shared" si="58"/>
        <v/>
      </c>
      <c r="X226" s="9">
        <f t="shared" si="65"/>
        <v>0</v>
      </c>
      <c r="Y226" s="9">
        <f t="shared" si="67"/>
        <v>0</v>
      </c>
    </row>
    <row r="227" spans="2:25" x14ac:dyDescent="0.3">
      <c r="B227" s="6">
        <v>190</v>
      </c>
      <c r="C227" s="79" t="str">
        <f t="shared" si="66"/>
        <v/>
      </c>
      <c r="D227" s="6" t="str">
        <f t="shared" si="47"/>
        <v/>
      </c>
      <c r="E227" s="79" t="str">
        <f t="shared" si="59"/>
        <v/>
      </c>
      <c r="F227" s="79" t="str">
        <f>IF(B226&gt;$C$18,"",IF(COUNTIF(Feriados!$A$2:$B$17,EDATE($C$38,B226))=0,EDATE($C$38,B226),EDATE($C$38,B226)+VLOOKUP(EDATE($C$38,B226),Feriados!$A$2:$B$17,2,FALSE)))</f>
        <v/>
      </c>
      <c r="G227" s="6" t="str">
        <f t="shared" si="60"/>
        <v/>
      </c>
      <c r="H227" s="6" t="str">
        <f t="shared" si="61"/>
        <v/>
      </c>
      <c r="I227" s="8" t="str">
        <f t="shared" si="62"/>
        <v/>
      </c>
      <c r="J227" s="8" t="str">
        <f t="shared" si="48"/>
        <v/>
      </c>
      <c r="K227" s="9" t="str">
        <f t="shared" si="49"/>
        <v/>
      </c>
      <c r="L227" s="9" t="str">
        <f t="shared" si="63"/>
        <v/>
      </c>
      <c r="M227" s="10" t="str">
        <f t="shared" si="50"/>
        <v/>
      </c>
      <c r="N227" s="6" t="str">
        <f t="shared" si="51"/>
        <v/>
      </c>
      <c r="O227" s="9" t="str">
        <f t="shared" si="52"/>
        <v/>
      </c>
      <c r="P227" s="9" t="str">
        <f t="shared" si="53"/>
        <v/>
      </c>
      <c r="Q227" s="9" t="str">
        <f t="shared" si="54"/>
        <v/>
      </c>
      <c r="R227" s="9" t="str">
        <f t="shared" ca="1" si="55"/>
        <v/>
      </c>
      <c r="T227" s="6" t="str">
        <f t="shared" si="64"/>
        <v/>
      </c>
      <c r="U227" s="6" t="str">
        <f t="shared" si="56"/>
        <v/>
      </c>
      <c r="V227" s="10" t="str">
        <f t="shared" si="57"/>
        <v/>
      </c>
      <c r="W227" s="8" t="str">
        <f t="shared" si="58"/>
        <v/>
      </c>
      <c r="X227" s="9">
        <f t="shared" si="65"/>
        <v>0</v>
      </c>
      <c r="Y227" s="9">
        <f t="shared" si="67"/>
        <v>0</v>
      </c>
    </row>
    <row r="228" spans="2:25" x14ac:dyDescent="0.3">
      <c r="B228" s="6">
        <v>191</v>
      </c>
      <c r="C228" s="79" t="str">
        <f t="shared" si="66"/>
        <v/>
      </c>
      <c r="D228" s="6" t="str">
        <f t="shared" si="47"/>
        <v/>
      </c>
      <c r="E228" s="79" t="str">
        <f t="shared" si="59"/>
        <v/>
      </c>
      <c r="F228" s="79" t="str">
        <f>IF(B227&gt;$C$18,"",IF(COUNTIF(Feriados!$A$2:$B$17,EDATE($C$38,B227))=0,EDATE($C$38,B227),EDATE($C$38,B227)+VLOOKUP(EDATE($C$38,B227),Feriados!$A$2:$B$17,2,FALSE)))</f>
        <v/>
      </c>
      <c r="G228" s="6" t="str">
        <f t="shared" si="60"/>
        <v/>
      </c>
      <c r="H228" s="6" t="str">
        <f t="shared" si="61"/>
        <v/>
      </c>
      <c r="I228" s="8" t="str">
        <f t="shared" si="62"/>
        <v/>
      </c>
      <c r="J228" s="8" t="str">
        <f t="shared" si="48"/>
        <v/>
      </c>
      <c r="K228" s="9" t="str">
        <f t="shared" si="49"/>
        <v/>
      </c>
      <c r="L228" s="9" t="str">
        <f t="shared" si="63"/>
        <v/>
      </c>
      <c r="M228" s="10" t="str">
        <f t="shared" si="50"/>
        <v/>
      </c>
      <c r="N228" s="6" t="str">
        <f t="shared" si="51"/>
        <v/>
      </c>
      <c r="O228" s="9" t="str">
        <f t="shared" si="52"/>
        <v/>
      </c>
      <c r="P228" s="9" t="str">
        <f t="shared" si="53"/>
        <v/>
      </c>
      <c r="Q228" s="9" t="str">
        <f t="shared" si="54"/>
        <v/>
      </c>
      <c r="R228" s="9" t="str">
        <f t="shared" ca="1" si="55"/>
        <v/>
      </c>
      <c r="T228" s="6" t="str">
        <f t="shared" si="64"/>
        <v/>
      </c>
      <c r="U228" s="6" t="str">
        <f t="shared" si="56"/>
        <v/>
      </c>
      <c r="V228" s="10" t="str">
        <f t="shared" si="57"/>
        <v/>
      </c>
      <c r="W228" s="8" t="str">
        <f t="shared" si="58"/>
        <v/>
      </c>
      <c r="X228" s="9">
        <f t="shared" si="65"/>
        <v>0</v>
      </c>
      <c r="Y228" s="9">
        <f t="shared" si="67"/>
        <v>0</v>
      </c>
    </row>
    <row r="229" spans="2:25" x14ac:dyDescent="0.3">
      <c r="B229" s="6">
        <v>192</v>
      </c>
      <c r="C229" s="79" t="str">
        <f t="shared" si="66"/>
        <v/>
      </c>
      <c r="D229" s="6" t="str">
        <f t="shared" si="47"/>
        <v/>
      </c>
      <c r="E229" s="79" t="str">
        <f t="shared" si="59"/>
        <v/>
      </c>
      <c r="F229" s="79" t="str">
        <f>IF(B228&gt;$C$18,"",IF(COUNTIF(Feriados!$A$2:$B$17,EDATE($C$38,B228))=0,EDATE($C$38,B228),EDATE($C$38,B228)+VLOOKUP(EDATE($C$38,B228),Feriados!$A$2:$B$17,2,FALSE)))</f>
        <v/>
      </c>
      <c r="G229" s="6" t="str">
        <f t="shared" si="60"/>
        <v/>
      </c>
      <c r="H229" s="6" t="str">
        <f t="shared" si="61"/>
        <v/>
      </c>
      <c r="I229" s="8" t="str">
        <f t="shared" si="62"/>
        <v/>
      </c>
      <c r="J229" s="8" t="str">
        <f t="shared" si="48"/>
        <v/>
      </c>
      <c r="K229" s="9" t="str">
        <f t="shared" si="49"/>
        <v/>
      </c>
      <c r="L229" s="9" t="str">
        <f t="shared" si="63"/>
        <v/>
      </c>
      <c r="M229" s="10" t="str">
        <f t="shared" si="50"/>
        <v/>
      </c>
      <c r="N229" s="6" t="str">
        <f t="shared" si="51"/>
        <v/>
      </c>
      <c r="O229" s="9" t="str">
        <f t="shared" si="52"/>
        <v/>
      </c>
      <c r="P229" s="9" t="str">
        <f t="shared" si="53"/>
        <v/>
      </c>
      <c r="Q229" s="9" t="str">
        <f t="shared" si="54"/>
        <v/>
      </c>
      <c r="R229" s="9" t="str">
        <f t="shared" ca="1" si="55"/>
        <v/>
      </c>
      <c r="T229" s="6" t="str">
        <f t="shared" si="64"/>
        <v/>
      </c>
      <c r="U229" s="6" t="str">
        <f t="shared" si="56"/>
        <v/>
      </c>
      <c r="V229" s="10" t="str">
        <f t="shared" si="57"/>
        <v/>
      </c>
      <c r="W229" s="8" t="str">
        <f t="shared" si="58"/>
        <v/>
      </c>
      <c r="X229" s="9">
        <f t="shared" si="65"/>
        <v>0</v>
      </c>
      <c r="Y229" s="9">
        <f t="shared" si="67"/>
        <v>0</v>
      </c>
    </row>
    <row r="230" spans="2:25" x14ac:dyDescent="0.3">
      <c r="B230" s="6">
        <v>193</v>
      </c>
      <c r="C230" s="79" t="str">
        <f t="shared" si="66"/>
        <v/>
      </c>
      <c r="D230" s="6" t="str">
        <f t="shared" ref="D230:D293" si="68">IF(B230&lt;=$C$18,WEEKDAY(C230,2),"")</f>
        <v/>
      </c>
      <c r="E230" s="79" t="str">
        <f t="shared" si="59"/>
        <v/>
      </c>
      <c r="F230" s="79" t="str">
        <f>IF(B229&gt;$C$18,"",IF(COUNTIF(Feriados!$A$2:$B$17,EDATE($C$38,B229))=0,EDATE($C$38,B229),EDATE($C$38,B229)+VLOOKUP(EDATE($C$38,B229),Feriados!$A$2:$B$17,2,FALSE)))</f>
        <v/>
      </c>
      <c r="G230" s="6" t="str">
        <f t="shared" si="60"/>
        <v/>
      </c>
      <c r="H230" s="6" t="str">
        <f t="shared" si="61"/>
        <v/>
      </c>
      <c r="I230" s="8" t="str">
        <f t="shared" si="62"/>
        <v/>
      </c>
      <c r="J230" s="8" t="str">
        <f t="shared" ref="J230:J293" si="69">IF(B230&gt;C$18,"",O230-N230-M230-L230-K230)</f>
        <v/>
      </c>
      <c r="K230" s="9" t="str">
        <f t="shared" ref="K230:K293" si="70">IF(B230&gt;C$18,"",((1+C$25)^(G230/360)-1)*I230)</f>
        <v/>
      </c>
      <c r="L230" s="9" t="str">
        <f t="shared" si="63"/>
        <v/>
      </c>
      <c r="M230" s="10" t="str">
        <f t="shared" ref="M230:M293" si="71">IF(B230&gt;C$18,"",C$27*C$28)</f>
        <v/>
      </c>
      <c r="N230" s="6" t="str">
        <f t="shared" ref="N230:N293" si="72">IF(B230&gt;C$18,"",C$29)</f>
        <v/>
      </c>
      <c r="O230" s="9" t="str">
        <f t="shared" ref="O230:O293" si="73">IF(B230&gt;C$18,"",IF(B230=C$18,I230+K230+L230+M230+N230,IF(AND(C$23=2,MONTH(E230)=7),2*C$30,IF(AND(C$24=2,MONTH(E230)=12),2*C$30,C$30))))</f>
        <v/>
      </c>
      <c r="P230" s="9" t="str">
        <f t="shared" ref="P230:P293" si="74">IF(B230&gt;C$18,"",I230-J230)</f>
        <v/>
      </c>
      <c r="Q230" s="9" t="str">
        <f t="shared" ref="Q230:Q293" si="75">IFERROR(IF(AND(MONTH(E230)=7,C$23=2),2/(1+C$26)^(H230/360),IF(AND(MONTH(E230)=12,C$24=2),2/(1+C$26)^(H230/360),1/(1+C$26)^(H230/360))),"")</f>
        <v/>
      </c>
      <c r="R230" s="9" t="str">
        <f t="shared" ref="R230:R293" ca="1" si="76">IFERROR(1/(1+C$26)^(H230/360),"")</f>
        <v/>
      </c>
      <c r="T230" s="6" t="str">
        <f t="shared" si="64"/>
        <v/>
      </c>
      <c r="U230" s="6" t="str">
        <f t="shared" ref="U230:U293" si="77">H230</f>
        <v/>
      </c>
      <c r="V230" s="10" t="str">
        <f t="shared" ref="V230:V293" si="78">IFERROR((1+C$32)^(U230/360),"")</f>
        <v/>
      </c>
      <c r="W230" s="8" t="str">
        <f t="shared" ref="W230:W293" si="79">IFERROR(ROUND(T230/V230,2),"")</f>
        <v/>
      </c>
      <c r="X230" s="9">
        <f t="shared" si="65"/>
        <v>0</v>
      </c>
      <c r="Y230" s="9">
        <f t="shared" si="67"/>
        <v>0</v>
      </c>
    </row>
    <row r="231" spans="2:25" x14ac:dyDescent="0.3">
      <c r="B231" s="6">
        <v>194</v>
      </c>
      <c r="C231" s="79" t="str">
        <f t="shared" si="66"/>
        <v/>
      </c>
      <c r="D231" s="6" t="str">
        <f t="shared" si="68"/>
        <v/>
      </c>
      <c r="E231" s="79" t="str">
        <f t="shared" ref="E231:E294" si="80">IF(D231=7,C231+1,C231)</f>
        <v/>
      </c>
      <c r="F231" s="79" t="str">
        <f>IF(B230&gt;$C$18,"",IF(COUNTIF(Feriados!$A$2:$B$17,EDATE($C$38,B230))=0,EDATE($C$38,B230),EDATE($C$38,B230)+VLOOKUP(EDATE($C$38,B230),Feriados!$A$2:$B$17,2,FALSE)))</f>
        <v/>
      </c>
      <c r="G231" s="6" t="str">
        <f t="shared" ref="G231:G294" si="81">IF(B231&gt;C$18,"",E231-E230)</f>
        <v/>
      </c>
      <c r="H231" s="6" t="str">
        <f t="shared" ref="H231:H294" si="82">IFERROR(G231+H230,"")</f>
        <v/>
      </c>
      <c r="I231" s="8" t="str">
        <f t="shared" ref="I231:I294" si="83">IF(B231&gt;C$18,"",P230)</f>
        <v/>
      </c>
      <c r="J231" s="8" t="str">
        <f t="shared" si="69"/>
        <v/>
      </c>
      <c r="K231" s="9" t="str">
        <f t="shared" si="70"/>
        <v/>
      </c>
      <c r="L231" s="9" t="str">
        <f t="shared" ref="L231:L294" si="84">IF(B231&gt;C$18,"",((1+C$13)^(G231/30)-1)*I231)</f>
        <v/>
      </c>
      <c r="M231" s="10" t="str">
        <f t="shared" si="71"/>
        <v/>
      </c>
      <c r="N231" s="6" t="str">
        <f t="shared" si="72"/>
        <v/>
      </c>
      <c r="O231" s="9" t="str">
        <f t="shared" si="73"/>
        <v/>
      </c>
      <c r="P231" s="9" t="str">
        <f t="shared" si="74"/>
        <v/>
      </c>
      <c r="Q231" s="9" t="str">
        <f t="shared" si="75"/>
        <v/>
      </c>
      <c r="R231" s="9" t="str">
        <f t="shared" ca="1" si="76"/>
        <v/>
      </c>
      <c r="T231" s="6" t="str">
        <f t="shared" ref="T231:T294" si="85">IFERROR(J231+K231+L231+M231+N231,"")</f>
        <v/>
      </c>
      <c r="U231" s="6" t="str">
        <f t="shared" si="77"/>
        <v/>
      </c>
      <c r="V231" s="10" t="str">
        <f t="shared" si="78"/>
        <v/>
      </c>
      <c r="W231" s="8" t="str">
        <f t="shared" si="79"/>
        <v/>
      </c>
      <c r="X231" s="9">
        <f t="shared" ref="X231:X294" si="86">IF(O231="",0,L231/((1+$I$9)^B231))</f>
        <v>0</v>
      </c>
      <c r="Y231" s="9">
        <f t="shared" si="67"/>
        <v>0</v>
      </c>
    </row>
    <row r="232" spans="2:25" x14ac:dyDescent="0.3">
      <c r="B232" s="6">
        <v>195</v>
      </c>
      <c r="C232" s="79" t="str">
        <f t="shared" ref="C232:C295" si="87">IF(B232&gt;$C$18,"",IF(WEEKDAY(F232,2)=7,F232+1,F232))</f>
        <v/>
      </c>
      <c r="D232" s="6" t="str">
        <f t="shared" si="68"/>
        <v/>
      </c>
      <c r="E232" s="79" t="str">
        <f t="shared" si="80"/>
        <v/>
      </c>
      <c r="F232" s="79" t="str">
        <f>IF(B231&gt;$C$18,"",IF(COUNTIF(Feriados!$A$2:$B$17,EDATE($C$38,B231))=0,EDATE($C$38,B231),EDATE($C$38,B231)+VLOOKUP(EDATE($C$38,B231),Feriados!$A$2:$B$17,2,FALSE)))</f>
        <v/>
      </c>
      <c r="G232" s="6" t="str">
        <f t="shared" si="81"/>
        <v/>
      </c>
      <c r="H232" s="6" t="str">
        <f t="shared" si="82"/>
        <v/>
      </c>
      <c r="I232" s="8" t="str">
        <f t="shared" si="83"/>
        <v/>
      </c>
      <c r="J232" s="8" t="str">
        <f t="shared" si="69"/>
        <v/>
      </c>
      <c r="K232" s="9" t="str">
        <f t="shared" si="70"/>
        <v/>
      </c>
      <c r="L232" s="9" t="str">
        <f t="shared" si="84"/>
        <v/>
      </c>
      <c r="M232" s="10" t="str">
        <f t="shared" si="71"/>
        <v/>
      </c>
      <c r="N232" s="6" t="str">
        <f t="shared" si="72"/>
        <v/>
      </c>
      <c r="O232" s="9" t="str">
        <f t="shared" si="73"/>
        <v/>
      </c>
      <c r="P232" s="9" t="str">
        <f t="shared" si="74"/>
        <v/>
      </c>
      <c r="Q232" s="9" t="str">
        <f t="shared" si="75"/>
        <v/>
      </c>
      <c r="R232" s="9" t="str">
        <f t="shared" ca="1" si="76"/>
        <v/>
      </c>
      <c r="T232" s="6" t="str">
        <f t="shared" si="85"/>
        <v/>
      </c>
      <c r="U232" s="6" t="str">
        <f t="shared" si="77"/>
        <v/>
      </c>
      <c r="V232" s="10" t="str">
        <f t="shared" si="78"/>
        <v/>
      </c>
      <c r="W232" s="8" t="str">
        <f t="shared" si="79"/>
        <v/>
      </c>
      <c r="X232" s="9">
        <f t="shared" si="86"/>
        <v>0</v>
      </c>
      <c r="Y232" s="9">
        <f t="shared" ref="Y232:Y295" si="88">IF(O232="",0,L232/((1+$Q$30)^B232))</f>
        <v>0</v>
      </c>
    </row>
    <row r="233" spans="2:25" x14ac:dyDescent="0.3">
      <c r="B233" s="6">
        <v>196</v>
      </c>
      <c r="C233" s="79" t="str">
        <f t="shared" si="87"/>
        <v/>
      </c>
      <c r="D233" s="6" t="str">
        <f t="shared" si="68"/>
        <v/>
      </c>
      <c r="E233" s="79" t="str">
        <f t="shared" si="80"/>
        <v/>
      </c>
      <c r="F233" s="79" t="str">
        <f>IF(B232&gt;$C$18,"",IF(COUNTIF(Feriados!$A$2:$B$17,EDATE($C$38,B232))=0,EDATE($C$38,B232),EDATE($C$38,B232)+VLOOKUP(EDATE($C$38,B232),Feriados!$A$2:$B$17,2,FALSE)))</f>
        <v/>
      </c>
      <c r="G233" s="6" t="str">
        <f t="shared" si="81"/>
        <v/>
      </c>
      <c r="H233" s="6" t="str">
        <f t="shared" si="82"/>
        <v/>
      </c>
      <c r="I233" s="8" t="str">
        <f t="shared" si="83"/>
        <v/>
      </c>
      <c r="J233" s="8" t="str">
        <f t="shared" si="69"/>
        <v/>
      </c>
      <c r="K233" s="9" t="str">
        <f t="shared" si="70"/>
        <v/>
      </c>
      <c r="L233" s="9" t="str">
        <f t="shared" si="84"/>
        <v/>
      </c>
      <c r="M233" s="10" t="str">
        <f t="shared" si="71"/>
        <v/>
      </c>
      <c r="N233" s="6" t="str">
        <f t="shared" si="72"/>
        <v/>
      </c>
      <c r="O233" s="9" t="str">
        <f t="shared" si="73"/>
        <v/>
      </c>
      <c r="P233" s="9" t="str">
        <f t="shared" si="74"/>
        <v/>
      </c>
      <c r="Q233" s="9" t="str">
        <f t="shared" si="75"/>
        <v/>
      </c>
      <c r="R233" s="9" t="str">
        <f t="shared" ca="1" si="76"/>
        <v/>
      </c>
      <c r="T233" s="6" t="str">
        <f t="shared" si="85"/>
        <v/>
      </c>
      <c r="U233" s="6" t="str">
        <f t="shared" si="77"/>
        <v/>
      </c>
      <c r="V233" s="10" t="str">
        <f t="shared" si="78"/>
        <v/>
      </c>
      <c r="W233" s="8" t="str">
        <f t="shared" si="79"/>
        <v/>
      </c>
      <c r="X233" s="9">
        <f t="shared" si="86"/>
        <v>0</v>
      </c>
      <c r="Y233" s="9">
        <f t="shared" si="88"/>
        <v>0</v>
      </c>
    </row>
    <row r="234" spans="2:25" x14ac:dyDescent="0.3">
      <c r="B234" s="6">
        <v>197</v>
      </c>
      <c r="C234" s="79" t="str">
        <f t="shared" si="87"/>
        <v/>
      </c>
      <c r="D234" s="6" t="str">
        <f t="shared" si="68"/>
        <v/>
      </c>
      <c r="E234" s="79" t="str">
        <f t="shared" si="80"/>
        <v/>
      </c>
      <c r="F234" s="79" t="str">
        <f>IF(B233&gt;$C$18,"",IF(COUNTIF(Feriados!$A$2:$B$17,EDATE($C$38,B233))=0,EDATE($C$38,B233),EDATE($C$38,B233)+VLOOKUP(EDATE($C$38,B233),Feriados!$A$2:$B$17,2,FALSE)))</f>
        <v/>
      </c>
      <c r="G234" s="6" t="str">
        <f t="shared" si="81"/>
        <v/>
      </c>
      <c r="H234" s="6" t="str">
        <f t="shared" si="82"/>
        <v/>
      </c>
      <c r="I234" s="8" t="str">
        <f t="shared" si="83"/>
        <v/>
      </c>
      <c r="J234" s="8" t="str">
        <f t="shared" si="69"/>
        <v/>
      </c>
      <c r="K234" s="9" t="str">
        <f t="shared" si="70"/>
        <v/>
      </c>
      <c r="L234" s="9" t="str">
        <f t="shared" si="84"/>
        <v/>
      </c>
      <c r="M234" s="10" t="str">
        <f t="shared" si="71"/>
        <v/>
      </c>
      <c r="N234" s="6" t="str">
        <f t="shared" si="72"/>
        <v/>
      </c>
      <c r="O234" s="9" t="str">
        <f t="shared" si="73"/>
        <v/>
      </c>
      <c r="P234" s="9" t="str">
        <f t="shared" si="74"/>
        <v/>
      </c>
      <c r="Q234" s="9" t="str">
        <f t="shared" si="75"/>
        <v/>
      </c>
      <c r="R234" s="9" t="str">
        <f t="shared" ca="1" si="76"/>
        <v/>
      </c>
      <c r="T234" s="6" t="str">
        <f t="shared" si="85"/>
        <v/>
      </c>
      <c r="U234" s="6" t="str">
        <f t="shared" si="77"/>
        <v/>
      </c>
      <c r="V234" s="10" t="str">
        <f t="shared" si="78"/>
        <v/>
      </c>
      <c r="W234" s="8" t="str">
        <f t="shared" si="79"/>
        <v/>
      </c>
      <c r="X234" s="9">
        <f t="shared" si="86"/>
        <v>0</v>
      </c>
      <c r="Y234" s="9">
        <f t="shared" si="88"/>
        <v>0</v>
      </c>
    </row>
    <row r="235" spans="2:25" x14ac:dyDescent="0.3">
      <c r="B235" s="6">
        <v>198</v>
      </c>
      <c r="C235" s="79" t="str">
        <f t="shared" si="87"/>
        <v/>
      </c>
      <c r="D235" s="6" t="str">
        <f t="shared" si="68"/>
        <v/>
      </c>
      <c r="E235" s="79" t="str">
        <f t="shared" si="80"/>
        <v/>
      </c>
      <c r="F235" s="79" t="str">
        <f>IF(B234&gt;$C$18,"",IF(COUNTIF(Feriados!$A$2:$B$17,EDATE($C$38,B234))=0,EDATE($C$38,B234),EDATE($C$38,B234)+VLOOKUP(EDATE($C$38,B234),Feriados!$A$2:$B$17,2,FALSE)))</f>
        <v/>
      </c>
      <c r="G235" s="6" t="str">
        <f t="shared" si="81"/>
        <v/>
      </c>
      <c r="H235" s="6" t="str">
        <f t="shared" si="82"/>
        <v/>
      </c>
      <c r="I235" s="8" t="str">
        <f t="shared" si="83"/>
        <v/>
      </c>
      <c r="J235" s="8" t="str">
        <f t="shared" si="69"/>
        <v/>
      </c>
      <c r="K235" s="9" t="str">
        <f t="shared" si="70"/>
        <v/>
      </c>
      <c r="L235" s="9" t="str">
        <f t="shared" si="84"/>
        <v/>
      </c>
      <c r="M235" s="10" t="str">
        <f t="shared" si="71"/>
        <v/>
      </c>
      <c r="N235" s="6" t="str">
        <f t="shared" si="72"/>
        <v/>
      </c>
      <c r="O235" s="9" t="str">
        <f t="shared" si="73"/>
        <v/>
      </c>
      <c r="P235" s="9" t="str">
        <f t="shared" si="74"/>
        <v/>
      </c>
      <c r="Q235" s="9" t="str">
        <f t="shared" si="75"/>
        <v/>
      </c>
      <c r="R235" s="9" t="str">
        <f t="shared" ca="1" si="76"/>
        <v/>
      </c>
      <c r="T235" s="6" t="str">
        <f t="shared" si="85"/>
        <v/>
      </c>
      <c r="U235" s="6" t="str">
        <f t="shared" si="77"/>
        <v/>
      </c>
      <c r="V235" s="10" t="str">
        <f t="shared" si="78"/>
        <v/>
      </c>
      <c r="W235" s="8" t="str">
        <f t="shared" si="79"/>
        <v/>
      </c>
      <c r="X235" s="9">
        <f t="shared" si="86"/>
        <v>0</v>
      </c>
      <c r="Y235" s="9">
        <f t="shared" si="88"/>
        <v>0</v>
      </c>
    </row>
    <row r="236" spans="2:25" x14ac:dyDescent="0.3">
      <c r="B236" s="6">
        <v>199</v>
      </c>
      <c r="C236" s="79" t="str">
        <f t="shared" si="87"/>
        <v/>
      </c>
      <c r="D236" s="6" t="str">
        <f t="shared" si="68"/>
        <v/>
      </c>
      <c r="E236" s="79" t="str">
        <f t="shared" si="80"/>
        <v/>
      </c>
      <c r="F236" s="79" t="str">
        <f>IF(B235&gt;$C$18,"",IF(COUNTIF(Feriados!$A$2:$B$17,EDATE($C$38,B235))=0,EDATE($C$38,B235),EDATE($C$38,B235)+VLOOKUP(EDATE($C$38,B235),Feriados!$A$2:$B$17,2,FALSE)))</f>
        <v/>
      </c>
      <c r="G236" s="6" t="str">
        <f t="shared" si="81"/>
        <v/>
      </c>
      <c r="H236" s="6" t="str">
        <f t="shared" si="82"/>
        <v/>
      </c>
      <c r="I236" s="8" t="str">
        <f t="shared" si="83"/>
        <v/>
      </c>
      <c r="J236" s="8" t="str">
        <f t="shared" si="69"/>
        <v/>
      </c>
      <c r="K236" s="9" t="str">
        <f t="shared" si="70"/>
        <v/>
      </c>
      <c r="L236" s="9" t="str">
        <f t="shared" si="84"/>
        <v/>
      </c>
      <c r="M236" s="10" t="str">
        <f t="shared" si="71"/>
        <v/>
      </c>
      <c r="N236" s="6" t="str">
        <f t="shared" si="72"/>
        <v/>
      </c>
      <c r="O236" s="9" t="str">
        <f t="shared" si="73"/>
        <v/>
      </c>
      <c r="P236" s="9" t="str">
        <f t="shared" si="74"/>
        <v/>
      </c>
      <c r="Q236" s="9" t="str">
        <f t="shared" si="75"/>
        <v/>
      </c>
      <c r="R236" s="9" t="str">
        <f t="shared" ca="1" si="76"/>
        <v/>
      </c>
      <c r="T236" s="6" t="str">
        <f t="shared" si="85"/>
        <v/>
      </c>
      <c r="U236" s="6" t="str">
        <f t="shared" si="77"/>
        <v/>
      </c>
      <c r="V236" s="10" t="str">
        <f t="shared" si="78"/>
        <v/>
      </c>
      <c r="W236" s="8" t="str">
        <f t="shared" si="79"/>
        <v/>
      </c>
      <c r="X236" s="9">
        <f t="shared" si="86"/>
        <v>0</v>
      </c>
      <c r="Y236" s="9">
        <f t="shared" si="88"/>
        <v>0</v>
      </c>
    </row>
    <row r="237" spans="2:25" x14ac:dyDescent="0.3">
      <c r="B237" s="6">
        <v>200</v>
      </c>
      <c r="C237" s="79" t="str">
        <f t="shared" si="87"/>
        <v/>
      </c>
      <c r="D237" s="6" t="str">
        <f t="shared" si="68"/>
        <v/>
      </c>
      <c r="E237" s="79" t="str">
        <f t="shared" si="80"/>
        <v/>
      </c>
      <c r="F237" s="79" t="str">
        <f>IF(B236&gt;$C$18,"",IF(COUNTIF(Feriados!$A$2:$B$17,EDATE($C$38,B236))=0,EDATE($C$38,B236),EDATE($C$38,B236)+VLOOKUP(EDATE($C$38,B236),Feriados!$A$2:$B$17,2,FALSE)))</f>
        <v/>
      </c>
      <c r="G237" s="6" t="str">
        <f t="shared" si="81"/>
        <v/>
      </c>
      <c r="H237" s="6" t="str">
        <f t="shared" si="82"/>
        <v/>
      </c>
      <c r="I237" s="8" t="str">
        <f t="shared" si="83"/>
        <v/>
      </c>
      <c r="J237" s="8" t="str">
        <f t="shared" si="69"/>
        <v/>
      </c>
      <c r="K237" s="9" t="str">
        <f t="shared" si="70"/>
        <v/>
      </c>
      <c r="L237" s="9" t="str">
        <f t="shared" si="84"/>
        <v/>
      </c>
      <c r="M237" s="10" t="str">
        <f t="shared" si="71"/>
        <v/>
      </c>
      <c r="N237" s="6" t="str">
        <f t="shared" si="72"/>
        <v/>
      </c>
      <c r="O237" s="9" t="str">
        <f t="shared" si="73"/>
        <v/>
      </c>
      <c r="P237" s="9" t="str">
        <f t="shared" si="74"/>
        <v/>
      </c>
      <c r="Q237" s="9" t="str">
        <f t="shared" si="75"/>
        <v/>
      </c>
      <c r="R237" s="9" t="str">
        <f t="shared" ca="1" si="76"/>
        <v/>
      </c>
      <c r="T237" s="6" t="str">
        <f t="shared" si="85"/>
        <v/>
      </c>
      <c r="U237" s="6" t="str">
        <f t="shared" si="77"/>
        <v/>
      </c>
      <c r="V237" s="10" t="str">
        <f t="shared" si="78"/>
        <v/>
      </c>
      <c r="W237" s="8" t="str">
        <f t="shared" si="79"/>
        <v/>
      </c>
      <c r="X237" s="9">
        <f t="shared" si="86"/>
        <v>0</v>
      </c>
      <c r="Y237" s="9">
        <f t="shared" si="88"/>
        <v>0</v>
      </c>
    </row>
    <row r="238" spans="2:25" x14ac:dyDescent="0.3">
      <c r="B238" s="6">
        <v>201</v>
      </c>
      <c r="C238" s="79" t="str">
        <f t="shared" si="87"/>
        <v/>
      </c>
      <c r="D238" s="6" t="str">
        <f t="shared" si="68"/>
        <v/>
      </c>
      <c r="E238" s="79" t="str">
        <f t="shared" si="80"/>
        <v/>
      </c>
      <c r="F238" s="79" t="str">
        <f>IF(B237&gt;$C$18,"",IF(COUNTIF(Feriados!$A$2:$B$17,EDATE($C$38,B237))=0,EDATE($C$38,B237),EDATE($C$38,B237)+VLOOKUP(EDATE($C$38,B237),Feriados!$A$2:$B$17,2,FALSE)))</f>
        <v/>
      </c>
      <c r="G238" s="6" t="str">
        <f t="shared" si="81"/>
        <v/>
      </c>
      <c r="H238" s="6" t="str">
        <f t="shared" si="82"/>
        <v/>
      </c>
      <c r="I238" s="8" t="str">
        <f t="shared" si="83"/>
        <v/>
      </c>
      <c r="J238" s="8" t="str">
        <f t="shared" si="69"/>
        <v/>
      </c>
      <c r="K238" s="9" t="str">
        <f t="shared" si="70"/>
        <v/>
      </c>
      <c r="L238" s="9" t="str">
        <f t="shared" si="84"/>
        <v/>
      </c>
      <c r="M238" s="10" t="str">
        <f t="shared" si="71"/>
        <v/>
      </c>
      <c r="N238" s="6" t="str">
        <f t="shared" si="72"/>
        <v/>
      </c>
      <c r="O238" s="9" t="str">
        <f t="shared" si="73"/>
        <v/>
      </c>
      <c r="P238" s="9" t="str">
        <f t="shared" si="74"/>
        <v/>
      </c>
      <c r="Q238" s="9" t="str">
        <f t="shared" si="75"/>
        <v/>
      </c>
      <c r="R238" s="9" t="str">
        <f t="shared" ca="1" si="76"/>
        <v/>
      </c>
      <c r="T238" s="6" t="str">
        <f t="shared" si="85"/>
        <v/>
      </c>
      <c r="U238" s="6" t="str">
        <f t="shared" si="77"/>
        <v/>
      </c>
      <c r="V238" s="10" t="str">
        <f t="shared" si="78"/>
        <v/>
      </c>
      <c r="W238" s="8" t="str">
        <f t="shared" si="79"/>
        <v/>
      </c>
      <c r="X238" s="9">
        <f t="shared" si="86"/>
        <v>0</v>
      </c>
      <c r="Y238" s="9">
        <f t="shared" si="88"/>
        <v>0</v>
      </c>
    </row>
    <row r="239" spans="2:25" x14ac:dyDescent="0.3">
      <c r="B239" s="6">
        <v>202</v>
      </c>
      <c r="C239" s="79" t="str">
        <f t="shared" si="87"/>
        <v/>
      </c>
      <c r="D239" s="6" t="str">
        <f t="shared" si="68"/>
        <v/>
      </c>
      <c r="E239" s="79" t="str">
        <f t="shared" si="80"/>
        <v/>
      </c>
      <c r="F239" s="79" t="str">
        <f>IF(B238&gt;$C$18,"",IF(COUNTIF(Feriados!$A$2:$B$17,EDATE($C$38,B238))=0,EDATE($C$38,B238),EDATE($C$38,B238)+VLOOKUP(EDATE($C$38,B238),Feriados!$A$2:$B$17,2,FALSE)))</f>
        <v/>
      </c>
      <c r="G239" s="6" t="str">
        <f t="shared" si="81"/>
        <v/>
      </c>
      <c r="H239" s="6" t="str">
        <f t="shared" si="82"/>
        <v/>
      </c>
      <c r="I239" s="8" t="str">
        <f t="shared" si="83"/>
        <v/>
      </c>
      <c r="J239" s="8" t="str">
        <f t="shared" si="69"/>
        <v/>
      </c>
      <c r="K239" s="9" t="str">
        <f t="shared" si="70"/>
        <v/>
      </c>
      <c r="L239" s="9" t="str">
        <f t="shared" si="84"/>
        <v/>
      </c>
      <c r="M239" s="10" t="str">
        <f t="shared" si="71"/>
        <v/>
      </c>
      <c r="N239" s="6" t="str">
        <f t="shared" si="72"/>
        <v/>
      </c>
      <c r="O239" s="9" t="str">
        <f t="shared" si="73"/>
        <v/>
      </c>
      <c r="P239" s="9" t="str">
        <f t="shared" si="74"/>
        <v/>
      </c>
      <c r="Q239" s="9" t="str">
        <f t="shared" si="75"/>
        <v/>
      </c>
      <c r="R239" s="9" t="str">
        <f t="shared" ca="1" si="76"/>
        <v/>
      </c>
      <c r="T239" s="6" t="str">
        <f t="shared" si="85"/>
        <v/>
      </c>
      <c r="U239" s="6" t="str">
        <f t="shared" si="77"/>
        <v/>
      </c>
      <c r="V239" s="10" t="str">
        <f t="shared" si="78"/>
        <v/>
      </c>
      <c r="W239" s="8" t="str">
        <f t="shared" si="79"/>
        <v/>
      </c>
      <c r="X239" s="9">
        <f t="shared" si="86"/>
        <v>0</v>
      </c>
      <c r="Y239" s="9">
        <f t="shared" si="88"/>
        <v>0</v>
      </c>
    </row>
    <row r="240" spans="2:25" x14ac:dyDescent="0.3">
      <c r="B240" s="6">
        <v>203</v>
      </c>
      <c r="C240" s="79" t="str">
        <f t="shared" si="87"/>
        <v/>
      </c>
      <c r="D240" s="6" t="str">
        <f t="shared" si="68"/>
        <v/>
      </c>
      <c r="E240" s="79" t="str">
        <f t="shared" si="80"/>
        <v/>
      </c>
      <c r="F240" s="79" t="str">
        <f>IF(B239&gt;$C$18,"",IF(COUNTIF(Feriados!$A$2:$B$17,EDATE($C$38,B239))=0,EDATE($C$38,B239),EDATE($C$38,B239)+VLOOKUP(EDATE($C$38,B239),Feriados!$A$2:$B$17,2,FALSE)))</f>
        <v/>
      </c>
      <c r="G240" s="6" t="str">
        <f t="shared" si="81"/>
        <v/>
      </c>
      <c r="H240" s="6" t="str">
        <f t="shared" si="82"/>
        <v/>
      </c>
      <c r="I240" s="8" t="str">
        <f t="shared" si="83"/>
        <v/>
      </c>
      <c r="J240" s="8" t="str">
        <f t="shared" si="69"/>
        <v/>
      </c>
      <c r="K240" s="9" t="str">
        <f t="shared" si="70"/>
        <v/>
      </c>
      <c r="L240" s="9" t="str">
        <f t="shared" si="84"/>
        <v/>
      </c>
      <c r="M240" s="10" t="str">
        <f t="shared" si="71"/>
        <v/>
      </c>
      <c r="N240" s="6" t="str">
        <f t="shared" si="72"/>
        <v/>
      </c>
      <c r="O240" s="9" t="str">
        <f t="shared" si="73"/>
        <v/>
      </c>
      <c r="P240" s="9" t="str">
        <f t="shared" si="74"/>
        <v/>
      </c>
      <c r="Q240" s="9" t="str">
        <f t="shared" si="75"/>
        <v/>
      </c>
      <c r="R240" s="9" t="str">
        <f t="shared" ca="1" si="76"/>
        <v/>
      </c>
      <c r="T240" s="6" t="str">
        <f t="shared" si="85"/>
        <v/>
      </c>
      <c r="U240" s="6" t="str">
        <f t="shared" si="77"/>
        <v/>
      </c>
      <c r="V240" s="10" t="str">
        <f t="shared" si="78"/>
        <v/>
      </c>
      <c r="W240" s="8" t="str">
        <f t="shared" si="79"/>
        <v/>
      </c>
      <c r="X240" s="9">
        <f t="shared" si="86"/>
        <v>0</v>
      </c>
      <c r="Y240" s="9">
        <f t="shared" si="88"/>
        <v>0</v>
      </c>
    </row>
    <row r="241" spans="2:25" x14ac:dyDescent="0.3">
      <c r="B241" s="6">
        <v>204</v>
      </c>
      <c r="C241" s="79" t="str">
        <f t="shared" si="87"/>
        <v/>
      </c>
      <c r="D241" s="6" t="str">
        <f t="shared" si="68"/>
        <v/>
      </c>
      <c r="E241" s="79" t="str">
        <f t="shared" si="80"/>
        <v/>
      </c>
      <c r="F241" s="79" t="str">
        <f>IF(B240&gt;$C$18,"",IF(COUNTIF(Feriados!$A$2:$B$17,EDATE($C$38,B240))=0,EDATE($C$38,B240),EDATE($C$38,B240)+VLOOKUP(EDATE($C$38,B240),Feriados!$A$2:$B$17,2,FALSE)))</f>
        <v/>
      </c>
      <c r="G241" s="6" t="str">
        <f t="shared" si="81"/>
        <v/>
      </c>
      <c r="H241" s="6" t="str">
        <f t="shared" si="82"/>
        <v/>
      </c>
      <c r="I241" s="8" t="str">
        <f t="shared" si="83"/>
        <v/>
      </c>
      <c r="J241" s="8" t="str">
        <f t="shared" si="69"/>
        <v/>
      </c>
      <c r="K241" s="9" t="str">
        <f t="shared" si="70"/>
        <v/>
      </c>
      <c r="L241" s="9" t="str">
        <f t="shared" si="84"/>
        <v/>
      </c>
      <c r="M241" s="10" t="str">
        <f t="shared" si="71"/>
        <v/>
      </c>
      <c r="N241" s="6" t="str">
        <f t="shared" si="72"/>
        <v/>
      </c>
      <c r="O241" s="9" t="str">
        <f t="shared" si="73"/>
        <v/>
      </c>
      <c r="P241" s="9" t="str">
        <f t="shared" si="74"/>
        <v/>
      </c>
      <c r="Q241" s="9" t="str">
        <f t="shared" si="75"/>
        <v/>
      </c>
      <c r="R241" s="9" t="str">
        <f t="shared" ca="1" si="76"/>
        <v/>
      </c>
      <c r="T241" s="6" t="str">
        <f t="shared" si="85"/>
        <v/>
      </c>
      <c r="U241" s="6" t="str">
        <f t="shared" si="77"/>
        <v/>
      </c>
      <c r="V241" s="10" t="str">
        <f t="shared" si="78"/>
        <v/>
      </c>
      <c r="W241" s="8" t="str">
        <f t="shared" si="79"/>
        <v/>
      </c>
      <c r="X241" s="9">
        <f t="shared" si="86"/>
        <v>0</v>
      </c>
      <c r="Y241" s="9">
        <f t="shared" si="88"/>
        <v>0</v>
      </c>
    </row>
    <row r="242" spans="2:25" x14ac:dyDescent="0.3">
      <c r="B242" s="6">
        <v>205</v>
      </c>
      <c r="C242" s="79" t="str">
        <f t="shared" si="87"/>
        <v/>
      </c>
      <c r="D242" s="6" t="str">
        <f t="shared" si="68"/>
        <v/>
      </c>
      <c r="E242" s="79" t="str">
        <f t="shared" si="80"/>
        <v/>
      </c>
      <c r="F242" s="79" t="str">
        <f>IF(B241&gt;$C$18,"",IF(COUNTIF(Feriados!$A$2:$B$17,EDATE($C$38,B241))=0,EDATE($C$38,B241),EDATE($C$38,B241)+VLOOKUP(EDATE($C$38,B241),Feriados!$A$2:$B$17,2,FALSE)))</f>
        <v/>
      </c>
      <c r="G242" s="6" t="str">
        <f t="shared" si="81"/>
        <v/>
      </c>
      <c r="H242" s="6" t="str">
        <f t="shared" si="82"/>
        <v/>
      </c>
      <c r="I242" s="8" t="str">
        <f t="shared" si="83"/>
        <v/>
      </c>
      <c r="J242" s="8" t="str">
        <f t="shared" si="69"/>
        <v/>
      </c>
      <c r="K242" s="9" t="str">
        <f t="shared" si="70"/>
        <v/>
      </c>
      <c r="L242" s="9" t="str">
        <f t="shared" si="84"/>
        <v/>
      </c>
      <c r="M242" s="10" t="str">
        <f t="shared" si="71"/>
        <v/>
      </c>
      <c r="N242" s="6" t="str">
        <f t="shared" si="72"/>
        <v/>
      </c>
      <c r="O242" s="9" t="str">
        <f t="shared" si="73"/>
        <v/>
      </c>
      <c r="P242" s="9" t="str">
        <f t="shared" si="74"/>
        <v/>
      </c>
      <c r="Q242" s="9" t="str">
        <f t="shared" si="75"/>
        <v/>
      </c>
      <c r="R242" s="9" t="str">
        <f t="shared" ca="1" si="76"/>
        <v/>
      </c>
      <c r="T242" s="6" t="str">
        <f t="shared" si="85"/>
        <v/>
      </c>
      <c r="U242" s="6" t="str">
        <f t="shared" si="77"/>
        <v/>
      </c>
      <c r="V242" s="10" t="str">
        <f t="shared" si="78"/>
        <v/>
      </c>
      <c r="W242" s="8" t="str">
        <f t="shared" si="79"/>
        <v/>
      </c>
      <c r="X242" s="9">
        <f t="shared" si="86"/>
        <v>0</v>
      </c>
      <c r="Y242" s="9">
        <f t="shared" si="88"/>
        <v>0</v>
      </c>
    </row>
    <row r="243" spans="2:25" x14ac:dyDescent="0.3">
      <c r="B243" s="6">
        <v>206</v>
      </c>
      <c r="C243" s="79" t="str">
        <f t="shared" si="87"/>
        <v/>
      </c>
      <c r="D243" s="6" t="str">
        <f t="shared" si="68"/>
        <v/>
      </c>
      <c r="E243" s="79" t="str">
        <f t="shared" si="80"/>
        <v/>
      </c>
      <c r="F243" s="79" t="str">
        <f>IF(B242&gt;$C$18,"",IF(COUNTIF(Feriados!$A$2:$B$17,EDATE($C$38,B242))=0,EDATE($C$38,B242),EDATE($C$38,B242)+VLOOKUP(EDATE($C$38,B242),Feriados!$A$2:$B$17,2,FALSE)))</f>
        <v/>
      </c>
      <c r="G243" s="6" t="str">
        <f t="shared" si="81"/>
        <v/>
      </c>
      <c r="H243" s="6" t="str">
        <f t="shared" si="82"/>
        <v/>
      </c>
      <c r="I243" s="8" t="str">
        <f t="shared" si="83"/>
        <v/>
      </c>
      <c r="J243" s="8" t="str">
        <f t="shared" si="69"/>
        <v/>
      </c>
      <c r="K243" s="9" t="str">
        <f t="shared" si="70"/>
        <v/>
      </c>
      <c r="L243" s="9" t="str">
        <f t="shared" si="84"/>
        <v/>
      </c>
      <c r="M243" s="10" t="str">
        <f t="shared" si="71"/>
        <v/>
      </c>
      <c r="N243" s="6" t="str">
        <f t="shared" si="72"/>
        <v/>
      </c>
      <c r="O243" s="9" t="str">
        <f t="shared" si="73"/>
        <v/>
      </c>
      <c r="P243" s="9" t="str">
        <f t="shared" si="74"/>
        <v/>
      </c>
      <c r="Q243" s="9" t="str">
        <f t="shared" si="75"/>
        <v/>
      </c>
      <c r="R243" s="9" t="str">
        <f t="shared" ca="1" si="76"/>
        <v/>
      </c>
      <c r="T243" s="6" t="str">
        <f t="shared" si="85"/>
        <v/>
      </c>
      <c r="U243" s="6" t="str">
        <f t="shared" si="77"/>
        <v/>
      </c>
      <c r="V243" s="10" t="str">
        <f t="shared" si="78"/>
        <v/>
      </c>
      <c r="W243" s="8" t="str">
        <f t="shared" si="79"/>
        <v/>
      </c>
      <c r="X243" s="9">
        <f t="shared" si="86"/>
        <v>0</v>
      </c>
      <c r="Y243" s="9">
        <f t="shared" si="88"/>
        <v>0</v>
      </c>
    </row>
    <row r="244" spans="2:25" x14ac:dyDescent="0.3">
      <c r="B244" s="6">
        <v>207</v>
      </c>
      <c r="C244" s="79" t="str">
        <f t="shared" si="87"/>
        <v/>
      </c>
      <c r="D244" s="6" t="str">
        <f t="shared" si="68"/>
        <v/>
      </c>
      <c r="E244" s="79" t="str">
        <f t="shared" si="80"/>
        <v/>
      </c>
      <c r="F244" s="79" t="str">
        <f>IF(B243&gt;$C$18,"",IF(COUNTIF(Feriados!$A$2:$B$17,EDATE($C$38,B243))=0,EDATE($C$38,B243),EDATE($C$38,B243)+VLOOKUP(EDATE($C$38,B243),Feriados!$A$2:$B$17,2,FALSE)))</f>
        <v/>
      </c>
      <c r="G244" s="6" t="str">
        <f t="shared" si="81"/>
        <v/>
      </c>
      <c r="H244" s="6" t="str">
        <f t="shared" si="82"/>
        <v/>
      </c>
      <c r="I244" s="8" t="str">
        <f t="shared" si="83"/>
        <v/>
      </c>
      <c r="J244" s="8" t="str">
        <f t="shared" si="69"/>
        <v/>
      </c>
      <c r="K244" s="9" t="str">
        <f t="shared" si="70"/>
        <v/>
      </c>
      <c r="L244" s="9" t="str">
        <f t="shared" si="84"/>
        <v/>
      </c>
      <c r="M244" s="10" t="str">
        <f t="shared" si="71"/>
        <v/>
      </c>
      <c r="N244" s="6" t="str">
        <f t="shared" si="72"/>
        <v/>
      </c>
      <c r="O244" s="9" t="str">
        <f t="shared" si="73"/>
        <v/>
      </c>
      <c r="P244" s="9" t="str">
        <f t="shared" si="74"/>
        <v/>
      </c>
      <c r="Q244" s="9" t="str">
        <f t="shared" si="75"/>
        <v/>
      </c>
      <c r="R244" s="9" t="str">
        <f t="shared" ca="1" si="76"/>
        <v/>
      </c>
      <c r="T244" s="6" t="str">
        <f t="shared" si="85"/>
        <v/>
      </c>
      <c r="U244" s="6" t="str">
        <f t="shared" si="77"/>
        <v/>
      </c>
      <c r="V244" s="10" t="str">
        <f t="shared" si="78"/>
        <v/>
      </c>
      <c r="W244" s="8" t="str">
        <f t="shared" si="79"/>
        <v/>
      </c>
      <c r="X244" s="9">
        <f t="shared" si="86"/>
        <v>0</v>
      </c>
      <c r="Y244" s="9">
        <f t="shared" si="88"/>
        <v>0</v>
      </c>
    </row>
    <row r="245" spans="2:25" x14ac:dyDescent="0.3">
      <c r="B245" s="6">
        <v>208</v>
      </c>
      <c r="C245" s="79" t="str">
        <f t="shared" si="87"/>
        <v/>
      </c>
      <c r="D245" s="6" t="str">
        <f t="shared" si="68"/>
        <v/>
      </c>
      <c r="E245" s="79" t="str">
        <f t="shared" si="80"/>
        <v/>
      </c>
      <c r="F245" s="79" t="str">
        <f>IF(B244&gt;$C$18,"",IF(COUNTIF(Feriados!$A$2:$B$17,EDATE($C$38,B244))=0,EDATE($C$38,B244),EDATE($C$38,B244)+VLOOKUP(EDATE($C$38,B244),Feriados!$A$2:$B$17,2,FALSE)))</f>
        <v/>
      </c>
      <c r="G245" s="6" t="str">
        <f t="shared" si="81"/>
        <v/>
      </c>
      <c r="H245" s="6" t="str">
        <f t="shared" si="82"/>
        <v/>
      </c>
      <c r="I245" s="8" t="str">
        <f t="shared" si="83"/>
        <v/>
      </c>
      <c r="J245" s="8" t="str">
        <f t="shared" si="69"/>
        <v/>
      </c>
      <c r="K245" s="9" t="str">
        <f t="shared" si="70"/>
        <v/>
      </c>
      <c r="L245" s="9" t="str">
        <f t="shared" si="84"/>
        <v/>
      </c>
      <c r="M245" s="10" t="str">
        <f t="shared" si="71"/>
        <v/>
      </c>
      <c r="N245" s="6" t="str">
        <f t="shared" si="72"/>
        <v/>
      </c>
      <c r="O245" s="9" t="str">
        <f t="shared" si="73"/>
        <v/>
      </c>
      <c r="P245" s="9" t="str">
        <f t="shared" si="74"/>
        <v/>
      </c>
      <c r="Q245" s="9" t="str">
        <f t="shared" si="75"/>
        <v/>
      </c>
      <c r="R245" s="9" t="str">
        <f t="shared" ca="1" si="76"/>
        <v/>
      </c>
      <c r="T245" s="6" t="str">
        <f t="shared" si="85"/>
        <v/>
      </c>
      <c r="U245" s="6" t="str">
        <f t="shared" si="77"/>
        <v/>
      </c>
      <c r="V245" s="10" t="str">
        <f t="shared" si="78"/>
        <v/>
      </c>
      <c r="W245" s="8" t="str">
        <f t="shared" si="79"/>
        <v/>
      </c>
      <c r="X245" s="9">
        <f t="shared" si="86"/>
        <v>0</v>
      </c>
      <c r="Y245" s="9">
        <f t="shared" si="88"/>
        <v>0</v>
      </c>
    </row>
    <row r="246" spans="2:25" x14ac:dyDescent="0.3">
      <c r="B246" s="6">
        <v>209</v>
      </c>
      <c r="C246" s="79" t="str">
        <f t="shared" si="87"/>
        <v/>
      </c>
      <c r="D246" s="6" t="str">
        <f t="shared" si="68"/>
        <v/>
      </c>
      <c r="E246" s="79" t="str">
        <f t="shared" si="80"/>
        <v/>
      </c>
      <c r="F246" s="79" t="str">
        <f>IF(B245&gt;$C$18,"",IF(COUNTIF(Feriados!$A$2:$B$17,EDATE($C$38,B245))=0,EDATE($C$38,B245),EDATE($C$38,B245)+VLOOKUP(EDATE($C$38,B245),Feriados!$A$2:$B$17,2,FALSE)))</f>
        <v/>
      </c>
      <c r="G246" s="6" t="str">
        <f t="shared" si="81"/>
        <v/>
      </c>
      <c r="H246" s="6" t="str">
        <f t="shared" si="82"/>
        <v/>
      </c>
      <c r="I246" s="8" t="str">
        <f t="shared" si="83"/>
        <v/>
      </c>
      <c r="J246" s="8" t="str">
        <f t="shared" si="69"/>
        <v/>
      </c>
      <c r="K246" s="9" t="str">
        <f t="shared" si="70"/>
        <v/>
      </c>
      <c r="L246" s="9" t="str">
        <f t="shared" si="84"/>
        <v/>
      </c>
      <c r="M246" s="10" t="str">
        <f t="shared" si="71"/>
        <v/>
      </c>
      <c r="N246" s="6" t="str">
        <f t="shared" si="72"/>
        <v/>
      </c>
      <c r="O246" s="9" t="str">
        <f t="shared" si="73"/>
        <v/>
      </c>
      <c r="P246" s="9" t="str">
        <f t="shared" si="74"/>
        <v/>
      </c>
      <c r="Q246" s="9" t="str">
        <f t="shared" si="75"/>
        <v/>
      </c>
      <c r="R246" s="9" t="str">
        <f t="shared" ca="1" si="76"/>
        <v/>
      </c>
      <c r="T246" s="6" t="str">
        <f t="shared" si="85"/>
        <v/>
      </c>
      <c r="U246" s="6" t="str">
        <f t="shared" si="77"/>
        <v/>
      </c>
      <c r="V246" s="10" t="str">
        <f t="shared" si="78"/>
        <v/>
      </c>
      <c r="W246" s="8" t="str">
        <f t="shared" si="79"/>
        <v/>
      </c>
      <c r="X246" s="9">
        <f t="shared" si="86"/>
        <v>0</v>
      </c>
      <c r="Y246" s="9">
        <f t="shared" si="88"/>
        <v>0</v>
      </c>
    </row>
    <row r="247" spans="2:25" x14ac:dyDescent="0.3">
      <c r="B247" s="6">
        <v>210</v>
      </c>
      <c r="C247" s="79" t="str">
        <f t="shared" si="87"/>
        <v/>
      </c>
      <c r="D247" s="6" t="str">
        <f t="shared" si="68"/>
        <v/>
      </c>
      <c r="E247" s="79" t="str">
        <f t="shared" si="80"/>
        <v/>
      </c>
      <c r="F247" s="79" t="str">
        <f>IF(B246&gt;$C$18,"",IF(COUNTIF(Feriados!$A$2:$B$17,EDATE($C$38,B246))=0,EDATE($C$38,B246),EDATE($C$38,B246)+VLOOKUP(EDATE($C$38,B246),Feriados!$A$2:$B$17,2,FALSE)))</f>
        <v/>
      </c>
      <c r="G247" s="6" t="str">
        <f t="shared" si="81"/>
        <v/>
      </c>
      <c r="H247" s="6" t="str">
        <f t="shared" si="82"/>
        <v/>
      </c>
      <c r="I247" s="8" t="str">
        <f t="shared" si="83"/>
        <v/>
      </c>
      <c r="J247" s="8" t="str">
        <f t="shared" si="69"/>
        <v/>
      </c>
      <c r="K247" s="9" t="str">
        <f t="shared" si="70"/>
        <v/>
      </c>
      <c r="L247" s="9" t="str">
        <f t="shared" si="84"/>
        <v/>
      </c>
      <c r="M247" s="10" t="str">
        <f t="shared" si="71"/>
        <v/>
      </c>
      <c r="N247" s="6" t="str">
        <f t="shared" si="72"/>
        <v/>
      </c>
      <c r="O247" s="9" t="str">
        <f t="shared" si="73"/>
        <v/>
      </c>
      <c r="P247" s="9" t="str">
        <f t="shared" si="74"/>
        <v/>
      </c>
      <c r="Q247" s="9" t="str">
        <f t="shared" si="75"/>
        <v/>
      </c>
      <c r="R247" s="9" t="str">
        <f t="shared" ca="1" si="76"/>
        <v/>
      </c>
      <c r="T247" s="6" t="str">
        <f t="shared" si="85"/>
        <v/>
      </c>
      <c r="U247" s="6" t="str">
        <f t="shared" si="77"/>
        <v/>
      </c>
      <c r="V247" s="10" t="str">
        <f t="shared" si="78"/>
        <v/>
      </c>
      <c r="W247" s="8" t="str">
        <f t="shared" si="79"/>
        <v/>
      </c>
      <c r="X247" s="9">
        <f t="shared" si="86"/>
        <v>0</v>
      </c>
      <c r="Y247" s="9">
        <f t="shared" si="88"/>
        <v>0</v>
      </c>
    </row>
    <row r="248" spans="2:25" x14ac:dyDescent="0.3">
      <c r="B248" s="6">
        <v>211</v>
      </c>
      <c r="C248" s="79" t="str">
        <f t="shared" si="87"/>
        <v/>
      </c>
      <c r="D248" s="6" t="str">
        <f t="shared" si="68"/>
        <v/>
      </c>
      <c r="E248" s="79" t="str">
        <f t="shared" si="80"/>
        <v/>
      </c>
      <c r="F248" s="79" t="str">
        <f>IF(B247&gt;$C$18,"",IF(COUNTIF(Feriados!$A$2:$B$17,EDATE($C$38,B247))=0,EDATE($C$38,B247),EDATE($C$38,B247)+VLOOKUP(EDATE($C$38,B247),Feriados!$A$2:$B$17,2,FALSE)))</f>
        <v/>
      </c>
      <c r="G248" s="6" t="str">
        <f t="shared" si="81"/>
        <v/>
      </c>
      <c r="H248" s="6" t="str">
        <f t="shared" si="82"/>
        <v/>
      </c>
      <c r="I248" s="8" t="str">
        <f t="shared" si="83"/>
        <v/>
      </c>
      <c r="J248" s="8" t="str">
        <f t="shared" si="69"/>
        <v/>
      </c>
      <c r="K248" s="9" t="str">
        <f t="shared" si="70"/>
        <v/>
      </c>
      <c r="L248" s="9" t="str">
        <f t="shared" si="84"/>
        <v/>
      </c>
      <c r="M248" s="10" t="str">
        <f t="shared" si="71"/>
        <v/>
      </c>
      <c r="N248" s="6" t="str">
        <f t="shared" si="72"/>
        <v/>
      </c>
      <c r="O248" s="9" t="str">
        <f t="shared" si="73"/>
        <v/>
      </c>
      <c r="P248" s="9" t="str">
        <f t="shared" si="74"/>
        <v/>
      </c>
      <c r="Q248" s="9" t="str">
        <f t="shared" si="75"/>
        <v/>
      </c>
      <c r="R248" s="9" t="str">
        <f t="shared" ca="1" si="76"/>
        <v/>
      </c>
      <c r="T248" s="6" t="str">
        <f t="shared" si="85"/>
        <v/>
      </c>
      <c r="U248" s="6" t="str">
        <f t="shared" si="77"/>
        <v/>
      </c>
      <c r="V248" s="10" t="str">
        <f t="shared" si="78"/>
        <v/>
      </c>
      <c r="W248" s="8" t="str">
        <f t="shared" si="79"/>
        <v/>
      </c>
      <c r="X248" s="9">
        <f t="shared" si="86"/>
        <v>0</v>
      </c>
      <c r="Y248" s="9">
        <f t="shared" si="88"/>
        <v>0</v>
      </c>
    </row>
    <row r="249" spans="2:25" x14ac:dyDescent="0.3">
      <c r="B249" s="6">
        <v>212</v>
      </c>
      <c r="C249" s="79" t="str">
        <f t="shared" si="87"/>
        <v/>
      </c>
      <c r="D249" s="6" t="str">
        <f t="shared" si="68"/>
        <v/>
      </c>
      <c r="E249" s="79" t="str">
        <f t="shared" si="80"/>
        <v/>
      </c>
      <c r="F249" s="79" t="str">
        <f>IF(B248&gt;$C$18,"",IF(COUNTIF(Feriados!$A$2:$B$17,EDATE($C$38,B248))=0,EDATE($C$38,B248),EDATE($C$38,B248)+VLOOKUP(EDATE($C$38,B248),Feriados!$A$2:$B$17,2,FALSE)))</f>
        <v/>
      </c>
      <c r="G249" s="6" t="str">
        <f t="shared" si="81"/>
        <v/>
      </c>
      <c r="H249" s="6" t="str">
        <f t="shared" si="82"/>
        <v/>
      </c>
      <c r="I249" s="8" t="str">
        <f t="shared" si="83"/>
        <v/>
      </c>
      <c r="J249" s="8" t="str">
        <f t="shared" si="69"/>
        <v/>
      </c>
      <c r="K249" s="9" t="str">
        <f t="shared" si="70"/>
        <v/>
      </c>
      <c r="L249" s="9" t="str">
        <f t="shared" si="84"/>
        <v/>
      </c>
      <c r="M249" s="10" t="str">
        <f t="shared" si="71"/>
        <v/>
      </c>
      <c r="N249" s="6" t="str">
        <f t="shared" si="72"/>
        <v/>
      </c>
      <c r="O249" s="9" t="str">
        <f t="shared" si="73"/>
        <v/>
      </c>
      <c r="P249" s="9" t="str">
        <f t="shared" si="74"/>
        <v/>
      </c>
      <c r="Q249" s="9" t="str">
        <f t="shared" si="75"/>
        <v/>
      </c>
      <c r="R249" s="9" t="str">
        <f t="shared" ca="1" si="76"/>
        <v/>
      </c>
      <c r="T249" s="6" t="str">
        <f t="shared" si="85"/>
        <v/>
      </c>
      <c r="U249" s="6" t="str">
        <f t="shared" si="77"/>
        <v/>
      </c>
      <c r="V249" s="10" t="str">
        <f t="shared" si="78"/>
        <v/>
      </c>
      <c r="W249" s="8" t="str">
        <f t="shared" si="79"/>
        <v/>
      </c>
      <c r="X249" s="9">
        <f t="shared" si="86"/>
        <v>0</v>
      </c>
      <c r="Y249" s="9">
        <f t="shared" si="88"/>
        <v>0</v>
      </c>
    </row>
    <row r="250" spans="2:25" x14ac:dyDescent="0.3">
      <c r="B250" s="6">
        <v>213</v>
      </c>
      <c r="C250" s="79" t="str">
        <f t="shared" si="87"/>
        <v/>
      </c>
      <c r="D250" s="6" t="str">
        <f t="shared" si="68"/>
        <v/>
      </c>
      <c r="E250" s="79" t="str">
        <f t="shared" si="80"/>
        <v/>
      </c>
      <c r="F250" s="79" t="str">
        <f>IF(B249&gt;$C$18,"",IF(COUNTIF(Feriados!$A$2:$B$17,EDATE($C$38,B249))=0,EDATE($C$38,B249),EDATE($C$38,B249)+VLOOKUP(EDATE($C$38,B249),Feriados!$A$2:$B$17,2,FALSE)))</f>
        <v/>
      </c>
      <c r="G250" s="6" t="str">
        <f t="shared" si="81"/>
        <v/>
      </c>
      <c r="H250" s="6" t="str">
        <f t="shared" si="82"/>
        <v/>
      </c>
      <c r="I250" s="8" t="str">
        <f t="shared" si="83"/>
        <v/>
      </c>
      <c r="J250" s="8" t="str">
        <f t="shared" si="69"/>
        <v/>
      </c>
      <c r="K250" s="9" t="str">
        <f t="shared" si="70"/>
        <v/>
      </c>
      <c r="L250" s="9" t="str">
        <f t="shared" si="84"/>
        <v/>
      </c>
      <c r="M250" s="10" t="str">
        <f t="shared" si="71"/>
        <v/>
      </c>
      <c r="N250" s="6" t="str">
        <f t="shared" si="72"/>
        <v/>
      </c>
      <c r="O250" s="9" t="str">
        <f t="shared" si="73"/>
        <v/>
      </c>
      <c r="P250" s="9" t="str">
        <f t="shared" si="74"/>
        <v/>
      </c>
      <c r="Q250" s="9" t="str">
        <f t="shared" si="75"/>
        <v/>
      </c>
      <c r="R250" s="9" t="str">
        <f t="shared" ca="1" si="76"/>
        <v/>
      </c>
      <c r="T250" s="6" t="str">
        <f t="shared" si="85"/>
        <v/>
      </c>
      <c r="U250" s="6" t="str">
        <f t="shared" si="77"/>
        <v/>
      </c>
      <c r="V250" s="10" t="str">
        <f t="shared" si="78"/>
        <v/>
      </c>
      <c r="W250" s="8" t="str">
        <f t="shared" si="79"/>
        <v/>
      </c>
      <c r="X250" s="9">
        <f t="shared" si="86"/>
        <v>0</v>
      </c>
      <c r="Y250" s="9">
        <f t="shared" si="88"/>
        <v>0</v>
      </c>
    </row>
    <row r="251" spans="2:25" x14ac:dyDescent="0.3">
      <c r="B251" s="6">
        <v>214</v>
      </c>
      <c r="C251" s="79" t="str">
        <f t="shared" si="87"/>
        <v/>
      </c>
      <c r="D251" s="6" t="str">
        <f t="shared" si="68"/>
        <v/>
      </c>
      <c r="E251" s="79" t="str">
        <f t="shared" si="80"/>
        <v/>
      </c>
      <c r="F251" s="79" t="str">
        <f>IF(B250&gt;$C$18,"",IF(COUNTIF(Feriados!$A$2:$B$17,EDATE($C$38,B250))=0,EDATE($C$38,B250),EDATE($C$38,B250)+VLOOKUP(EDATE($C$38,B250),Feriados!$A$2:$B$17,2,FALSE)))</f>
        <v/>
      </c>
      <c r="G251" s="6" t="str">
        <f t="shared" si="81"/>
        <v/>
      </c>
      <c r="H251" s="6" t="str">
        <f t="shared" si="82"/>
        <v/>
      </c>
      <c r="I251" s="8" t="str">
        <f t="shared" si="83"/>
        <v/>
      </c>
      <c r="J251" s="8" t="str">
        <f t="shared" si="69"/>
        <v/>
      </c>
      <c r="K251" s="9" t="str">
        <f t="shared" si="70"/>
        <v/>
      </c>
      <c r="L251" s="9" t="str">
        <f t="shared" si="84"/>
        <v/>
      </c>
      <c r="M251" s="10" t="str">
        <f t="shared" si="71"/>
        <v/>
      </c>
      <c r="N251" s="6" t="str">
        <f t="shared" si="72"/>
        <v/>
      </c>
      <c r="O251" s="9" t="str">
        <f t="shared" si="73"/>
        <v/>
      </c>
      <c r="P251" s="9" t="str">
        <f t="shared" si="74"/>
        <v/>
      </c>
      <c r="Q251" s="9" t="str">
        <f t="shared" si="75"/>
        <v/>
      </c>
      <c r="R251" s="9" t="str">
        <f t="shared" ca="1" si="76"/>
        <v/>
      </c>
      <c r="T251" s="6" t="str">
        <f t="shared" si="85"/>
        <v/>
      </c>
      <c r="U251" s="6" t="str">
        <f t="shared" si="77"/>
        <v/>
      </c>
      <c r="V251" s="10" t="str">
        <f t="shared" si="78"/>
        <v/>
      </c>
      <c r="W251" s="8" t="str">
        <f t="shared" si="79"/>
        <v/>
      </c>
      <c r="X251" s="9">
        <f t="shared" si="86"/>
        <v>0</v>
      </c>
      <c r="Y251" s="9">
        <f t="shared" si="88"/>
        <v>0</v>
      </c>
    </row>
    <row r="252" spans="2:25" x14ac:dyDescent="0.3">
      <c r="B252" s="6">
        <v>215</v>
      </c>
      <c r="C252" s="79" t="str">
        <f t="shared" si="87"/>
        <v/>
      </c>
      <c r="D252" s="6" t="str">
        <f t="shared" si="68"/>
        <v/>
      </c>
      <c r="E252" s="79" t="str">
        <f t="shared" si="80"/>
        <v/>
      </c>
      <c r="F252" s="79" t="str">
        <f>IF(B251&gt;$C$18,"",IF(COUNTIF(Feriados!$A$2:$B$17,EDATE($C$38,B251))=0,EDATE($C$38,B251),EDATE($C$38,B251)+VLOOKUP(EDATE($C$38,B251),Feriados!$A$2:$B$17,2,FALSE)))</f>
        <v/>
      </c>
      <c r="G252" s="6" t="str">
        <f t="shared" si="81"/>
        <v/>
      </c>
      <c r="H252" s="6" t="str">
        <f t="shared" si="82"/>
        <v/>
      </c>
      <c r="I252" s="8" t="str">
        <f t="shared" si="83"/>
        <v/>
      </c>
      <c r="J252" s="8" t="str">
        <f t="shared" si="69"/>
        <v/>
      </c>
      <c r="K252" s="9" t="str">
        <f t="shared" si="70"/>
        <v/>
      </c>
      <c r="L252" s="9" t="str">
        <f t="shared" si="84"/>
        <v/>
      </c>
      <c r="M252" s="10" t="str">
        <f t="shared" si="71"/>
        <v/>
      </c>
      <c r="N252" s="6" t="str">
        <f t="shared" si="72"/>
        <v/>
      </c>
      <c r="O252" s="9" t="str">
        <f t="shared" si="73"/>
        <v/>
      </c>
      <c r="P252" s="9" t="str">
        <f t="shared" si="74"/>
        <v/>
      </c>
      <c r="Q252" s="9" t="str">
        <f t="shared" si="75"/>
        <v/>
      </c>
      <c r="R252" s="9" t="str">
        <f t="shared" ca="1" si="76"/>
        <v/>
      </c>
      <c r="T252" s="6" t="str">
        <f t="shared" si="85"/>
        <v/>
      </c>
      <c r="U252" s="6" t="str">
        <f t="shared" si="77"/>
        <v/>
      </c>
      <c r="V252" s="10" t="str">
        <f t="shared" si="78"/>
        <v/>
      </c>
      <c r="W252" s="8" t="str">
        <f t="shared" si="79"/>
        <v/>
      </c>
      <c r="X252" s="9">
        <f t="shared" si="86"/>
        <v>0</v>
      </c>
      <c r="Y252" s="9">
        <f t="shared" si="88"/>
        <v>0</v>
      </c>
    </row>
    <row r="253" spans="2:25" x14ac:dyDescent="0.3">
      <c r="B253" s="6">
        <v>216</v>
      </c>
      <c r="C253" s="79" t="str">
        <f t="shared" si="87"/>
        <v/>
      </c>
      <c r="D253" s="6" t="str">
        <f t="shared" si="68"/>
        <v/>
      </c>
      <c r="E253" s="79" t="str">
        <f t="shared" si="80"/>
        <v/>
      </c>
      <c r="F253" s="79" t="str">
        <f>IF(B252&gt;$C$18,"",IF(COUNTIF(Feriados!$A$2:$B$17,EDATE($C$38,B252))=0,EDATE($C$38,B252),EDATE($C$38,B252)+VLOOKUP(EDATE($C$38,B252),Feriados!$A$2:$B$17,2,FALSE)))</f>
        <v/>
      </c>
      <c r="G253" s="6" t="str">
        <f t="shared" si="81"/>
        <v/>
      </c>
      <c r="H253" s="6" t="str">
        <f t="shared" si="82"/>
        <v/>
      </c>
      <c r="I253" s="8" t="str">
        <f t="shared" si="83"/>
        <v/>
      </c>
      <c r="J253" s="8" t="str">
        <f t="shared" si="69"/>
        <v/>
      </c>
      <c r="K253" s="9" t="str">
        <f t="shared" si="70"/>
        <v/>
      </c>
      <c r="L253" s="9" t="str">
        <f t="shared" si="84"/>
        <v/>
      </c>
      <c r="M253" s="10" t="str">
        <f t="shared" si="71"/>
        <v/>
      </c>
      <c r="N253" s="6" t="str">
        <f t="shared" si="72"/>
        <v/>
      </c>
      <c r="O253" s="9" t="str">
        <f t="shared" si="73"/>
        <v/>
      </c>
      <c r="P253" s="9" t="str">
        <f t="shared" si="74"/>
        <v/>
      </c>
      <c r="Q253" s="9" t="str">
        <f t="shared" si="75"/>
        <v/>
      </c>
      <c r="R253" s="9" t="str">
        <f t="shared" ca="1" si="76"/>
        <v/>
      </c>
      <c r="T253" s="6" t="str">
        <f t="shared" si="85"/>
        <v/>
      </c>
      <c r="U253" s="6" t="str">
        <f t="shared" si="77"/>
        <v/>
      </c>
      <c r="V253" s="10" t="str">
        <f t="shared" si="78"/>
        <v/>
      </c>
      <c r="W253" s="8" t="str">
        <f t="shared" si="79"/>
        <v/>
      </c>
      <c r="X253" s="9">
        <f t="shared" si="86"/>
        <v>0</v>
      </c>
      <c r="Y253" s="9">
        <f t="shared" si="88"/>
        <v>0</v>
      </c>
    </row>
    <row r="254" spans="2:25" x14ac:dyDescent="0.3">
      <c r="B254" s="6">
        <v>217</v>
      </c>
      <c r="C254" s="79" t="str">
        <f t="shared" si="87"/>
        <v/>
      </c>
      <c r="D254" s="6" t="str">
        <f t="shared" si="68"/>
        <v/>
      </c>
      <c r="E254" s="79" t="str">
        <f t="shared" si="80"/>
        <v/>
      </c>
      <c r="F254" s="79" t="str">
        <f>IF(B253&gt;$C$18,"",IF(COUNTIF(Feriados!$A$2:$B$17,EDATE($C$38,B253))=0,EDATE($C$38,B253),EDATE($C$38,B253)+VLOOKUP(EDATE($C$38,B253),Feriados!$A$2:$B$17,2,FALSE)))</f>
        <v/>
      </c>
      <c r="G254" s="6" t="str">
        <f t="shared" si="81"/>
        <v/>
      </c>
      <c r="H254" s="6" t="str">
        <f t="shared" si="82"/>
        <v/>
      </c>
      <c r="I254" s="8" t="str">
        <f t="shared" si="83"/>
        <v/>
      </c>
      <c r="J254" s="8" t="str">
        <f t="shared" si="69"/>
        <v/>
      </c>
      <c r="K254" s="9" t="str">
        <f t="shared" si="70"/>
        <v/>
      </c>
      <c r="L254" s="9" t="str">
        <f t="shared" si="84"/>
        <v/>
      </c>
      <c r="M254" s="10" t="str">
        <f t="shared" si="71"/>
        <v/>
      </c>
      <c r="N254" s="6" t="str">
        <f t="shared" si="72"/>
        <v/>
      </c>
      <c r="O254" s="9" t="str">
        <f t="shared" si="73"/>
        <v/>
      </c>
      <c r="P254" s="9" t="str">
        <f t="shared" si="74"/>
        <v/>
      </c>
      <c r="Q254" s="9" t="str">
        <f t="shared" si="75"/>
        <v/>
      </c>
      <c r="R254" s="9" t="str">
        <f t="shared" ca="1" si="76"/>
        <v/>
      </c>
      <c r="T254" s="6" t="str">
        <f t="shared" si="85"/>
        <v/>
      </c>
      <c r="U254" s="6" t="str">
        <f t="shared" si="77"/>
        <v/>
      </c>
      <c r="V254" s="10" t="str">
        <f t="shared" si="78"/>
        <v/>
      </c>
      <c r="W254" s="8" t="str">
        <f t="shared" si="79"/>
        <v/>
      </c>
      <c r="X254" s="9">
        <f t="shared" si="86"/>
        <v>0</v>
      </c>
      <c r="Y254" s="9">
        <f t="shared" si="88"/>
        <v>0</v>
      </c>
    </row>
    <row r="255" spans="2:25" x14ac:dyDescent="0.3">
      <c r="B255" s="6">
        <v>218</v>
      </c>
      <c r="C255" s="79" t="str">
        <f t="shared" si="87"/>
        <v/>
      </c>
      <c r="D255" s="6" t="str">
        <f t="shared" si="68"/>
        <v/>
      </c>
      <c r="E255" s="79" t="str">
        <f t="shared" si="80"/>
        <v/>
      </c>
      <c r="F255" s="79" t="str">
        <f>IF(B254&gt;$C$18,"",IF(COUNTIF(Feriados!$A$2:$B$17,EDATE($C$38,B254))=0,EDATE($C$38,B254),EDATE($C$38,B254)+VLOOKUP(EDATE($C$38,B254),Feriados!$A$2:$B$17,2,FALSE)))</f>
        <v/>
      </c>
      <c r="G255" s="6" t="str">
        <f t="shared" si="81"/>
        <v/>
      </c>
      <c r="H255" s="6" t="str">
        <f t="shared" si="82"/>
        <v/>
      </c>
      <c r="I255" s="8" t="str">
        <f t="shared" si="83"/>
        <v/>
      </c>
      <c r="J255" s="8" t="str">
        <f t="shared" si="69"/>
        <v/>
      </c>
      <c r="K255" s="9" t="str">
        <f t="shared" si="70"/>
        <v/>
      </c>
      <c r="L255" s="9" t="str">
        <f t="shared" si="84"/>
        <v/>
      </c>
      <c r="M255" s="10" t="str">
        <f t="shared" si="71"/>
        <v/>
      </c>
      <c r="N255" s="6" t="str">
        <f t="shared" si="72"/>
        <v/>
      </c>
      <c r="O255" s="9" t="str">
        <f t="shared" si="73"/>
        <v/>
      </c>
      <c r="P255" s="9" t="str">
        <f t="shared" si="74"/>
        <v/>
      </c>
      <c r="Q255" s="9" t="str">
        <f t="shared" si="75"/>
        <v/>
      </c>
      <c r="R255" s="9" t="str">
        <f t="shared" ca="1" si="76"/>
        <v/>
      </c>
      <c r="T255" s="6" t="str">
        <f t="shared" si="85"/>
        <v/>
      </c>
      <c r="U255" s="6" t="str">
        <f t="shared" si="77"/>
        <v/>
      </c>
      <c r="V255" s="10" t="str">
        <f t="shared" si="78"/>
        <v/>
      </c>
      <c r="W255" s="8" t="str">
        <f t="shared" si="79"/>
        <v/>
      </c>
      <c r="X255" s="9">
        <f t="shared" si="86"/>
        <v>0</v>
      </c>
      <c r="Y255" s="9">
        <f t="shared" si="88"/>
        <v>0</v>
      </c>
    </row>
    <row r="256" spans="2:25" x14ac:dyDescent="0.3">
      <c r="B256" s="6">
        <v>219</v>
      </c>
      <c r="C256" s="79" t="str">
        <f t="shared" si="87"/>
        <v/>
      </c>
      <c r="D256" s="6" t="str">
        <f t="shared" si="68"/>
        <v/>
      </c>
      <c r="E256" s="79" t="str">
        <f t="shared" si="80"/>
        <v/>
      </c>
      <c r="F256" s="79" t="str">
        <f>IF(B255&gt;$C$18,"",IF(COUNTIF(Feriados!$A$2:$B$17,EDATE($C$38,B255))=0,EDATE($C$38,B255),EDATE($C$38,B255)+VLOOKUP(EDATE($C$38,B255),Feriados!$A$2:$B$17,2,FALSE)))</f>
        <v/>
      </c>
      <c r="G256" s="6" t="str">
        <f t="shared" si="81"/>
        <v/>
      </c>
      <c r="H256" s="6" t="str">
        <f t="shared" si="82"/>
        <v/>
      </c>
      <c r="I256" s="8" t="str">
        <f t="shared" si="83"/>
        <v/>
      </c>
      <c r="J256" s="8" t="str">
        <f t="shared" si="69"/>
        <v/>
      </c>
      <c r="K256" s="9" t="str">
        <f t="shared" si="70"/>
        <v/>
      </c>
      <c r="L256" s="9" t="str">
        <f t="shared" si="84"/>
        <v/>
      </c>
      <c r="M256" s="10" t="str">
        <f t="shared" si="71"/>
        <v/>
      </c>
      <c r="N256" s="6" t="str">
        <f t="shared" si="72"/>
        <v/>
      </c>
      <c r="O256" s="9" t="str">
        <f t="shared" si="73"/>
        <v/>
      </c>
      <c r="P256" s="9" t="str">
        <f t="shared" si="74"/>
        <v/>
      </c>
      <c r="Q256" s="9" t="str">
        <f t="shared" si="75"/>
        <v/>
      </c>
      <c r="R256" s="9" t="str">
        <f t="shared" ca="1" si="76"/>
        <v/>
      </c>
      <c r="T256" s="6" t="str">
        <f t="shared" si="85"/>
        <v/>
      </c>
      <c r="U256" s="6" t="str">
        <f t="shared" si="77"/>
        <v/>
      </c>
      <c r="V256" s="10" t="str">
        <f t="shared" si="78"/>
        <v/>
      </c>
      <c r="W256" s="8" t="str">
        <f t="shared" si="79"/>
        <v/>
      </c>
      <c r="X256" s="9">
        <f t="shared" si="86"/>
        <v>0</v>
      </c>
      <c r="Y256" s="9">
        <f t="shared" si="88"/>
        <v>0</v>
      </c>
    </row>
    <row r="257" spans="2:25" x14ac:dyDescent="0.3">
      <c r="B257" s="6">
        <v>220</v>
      </c>
      <c r="C257" s="79" t="str">
        <f t="shared" si="87"/>
        <v/>
      </c>
      <c r="D257" s="6" t="str">
        <f t="shared" si="68"/>
        <v/>
      </c>
      <c r="E257" s="79" t="str">
        <f t="shared" si="80"/>
        <v/>
      </c>
      <c r="F257" s="79" t="str">
        <f>IF(B256&gt;$C$18,"",IF(COUNTIF(Feriados!$A$2:$B$17,EDATE($C$38,B256))=0,EDATE($C$38,B256),EDATE($C$38,B256)+VLOOKUP(EDATE($C$38,B256),Feriados!$A$2:$B$17,2,FALSE)))</f>
        <v/>
      </c>
      <c r="G257" s="6" t="str">
        <f t="shared" si="81"/>
        <v/>
      </c>
      <c r="H257" s="6" t="str">
        <f t="shared" si="82"/>
        <v/>
      </c>
      <c r="I257" s="8" t="str">
        <f t="shared" si="83"/>
        <v/>
      </c>
      <c r="J257" s="8" t="str">
        <f t="shared" si="69"/>
        <v/>
      </c>
      <c r="K257" s="9" t="str">
        <f t="shared" si="70"/>
        <v/>
      </c>
      <c r="L257" s="9" t="str">
        <f t="shared" si="84"/>
        <v/>
      </c>
      <c r="M257" s="10" t="str">
        <f t="shared" si="71"/>
        <v/>
      </c>
      <c r="N257" s="6" t="str">
        <f t="shared" si="72"/>
        <v/>
      </c>
      <c r="O257" s="9" t="str">
        <f t="shared" si="73"/>
        <v/>
      </c>
      <c r="P257" s="9" t="str">
        <f t="shared" si="74"/>
        <v/>
      </c>
      <c r="Q257" s="9" t="str">
        <f t="shared" si="75"/>
        <v/>
      </c>
      <c r="R257" s="9" t="str">
        <f t="shared" ca="1" si="76"/>
        <v/>
      </c>
      <c r="T257" s="6" t="str">
        <f t="shared" si="85"/>
        <v/>
      </c>
      <c r="U257" s="6" t="str">
        <f t="shared" si="77"/>
        <v/>
      </c>
      <c r="V257" s="10" t="str">
        <f t="shared" si="78"/>
        <v/>
      </c>
      <c r="W257" s="8" t="str">
        <f t="shared" si="79"/>
        <v/>
      </c>
      <c r="X257" s="9">
        <f t="shared" si="86"/>
        <v>0</v>
      </c>
      <c r="Y257" s="9">
        <f t="shared" si="88"/>
        <v>0</v>
      </c>
    </row>
    <row r="258" spans="2:25" x14ac:dyDescent="0.3">
      <c r="B258" s="6">
        <v>221</v>
      </c>
      <c r="C258" s="79" t="str">
        <f t="shared" si="87"/>
        <v/>
      </c>
      <c r="D258" s="6" t="str">
        <f t="shared" si="68"/>
        <v/>
      </c>
      <c r="E258" s="79" t="str">
        <f t="shared" si="80"/>
        <v/>
      </c>
      <c r="F258" s="79" t="str">
        <f>IF(B257&gt;$C$18,"",IF(COUNTIF(Feriados!$A$2:$B$17,EDATE($C$38,B257))=0,EDATE($C$38,B257),EDATE($C$38,B257)+VLOOKUP(EDATE($C$38,B257),Feriados!$A$2:$B$17,2,FALSE)))</f>
        <v/>
      </c>
      <c r="G258" s="6" t="str">
        <f t="shared" si="81"/>
        <v/>
      </c>
      <c r="H258" s="6" t="str">
        <f t="shared" si="82"/>
        <v/>
      </c>
      <c r="I258" s="8" t="str">
        <f t="shared" si="83"/>
        <v/>
      </c>
      <c r="J258" s="8" t="str">
        <f t="shared" si="69"/>
        <v/>
      </c>
      <c r="K258" s="9" t="str">
        <f t="shared" si="70"/>
        <v/>
      </c>
      <c r="L258" s="9" t="str">
        <f t="shared" si="84"/>
        <v/>
      </c>
      <c r="M258" s="10" t="str">
        <f t="shared" si="71"/>
        <v/>
      </c>
      <c r="N258" s="6" t="str">
        <f t="shared" si="72"/>
        <v/>
      </c>
      <c r="O258" s="9" t="str">
        <f t="shared" si="73"/>
        <v/>
      </c>
      <c r="P258" s="9" t="str">
        <f t="shared" si="74"/>
        <v/>
      </c>
      <c r="Q258" s="9" t="str">
        <f t="shared" si="75"/>
        <v/>
      </c>
      <c r="R258" s="9" t="str">
        <f t="shared" ca="1" si="76"/>
        <v/>
      </c>
      <c r="T258" s="6" t="str">
        <f t="shared" si="85"/>
        <v/>
      </c>
      <c r="U258" s="6" t="str">
        <f t="shared" si="77"/>
        <v/>
      </c>
      <c r="V258" s="10" t="str">
        <f t="shared" si="78"/>
        <v/>
      </c>
      <c r="W258" s="8" t="str">
        <f t="shared" si="79"/>
        <v/>
      </c>
      <c r="X258" s="9">
        <f t="shared" si="86"/>
        <v>0</v>
      </c>
      <c r="Y258" s="9">
        <f t="shared" si="88"/>
        <v>0</v>
      </c>
    </row>
    <row r="259" spans="2:25" x14ac:dyDescent="0.3">
      <c r="B259" s="6">
        <v>222</v>
      </c>
      <c r="C259" s="79" t="str">
        <f t="shared" si="87"/>
        <v/>
      </c>
      <c r="D259" s="6" t="str">
        <f t="shared" si="68"/>
        <v/>
      </c>
      <c r="E259" s="79" t="str">
        <f t="shared" si="80"/>
        <v/>
      </c>
      <c r="F259" s="79" t="str">
        <f>IF(B258&gt;$C$18,"",IF(COUNTIF(Feriados!$A$2:$B$17,EDATE($C$38,B258))=0,EDATE($C$38,B258),EDATE($C$38,B258)+VLOOKUP(EDATE($C$38,B258),Feriados!$A$2:$B$17,2,FALSE)))</f>
        <v/>
      </c>
      <c r="G259" s="6" t="str">
        <f t="shared" si="81"/>
        <v/>
      </c>
      <c r="H259" s="6" t="str">
        <f t="shared" si="82"/>
        <v/>
      </c>
      <c r="I259" s="8" t="str">
        <f t="shared" si="83"/>
        <v/>
      </c>
      <c r="J259" s="8" t="str">
        <f t="shared" si="69"/>
        <v/>
      </c>
      <c r="K259" s="9" t="str">
        <f t="shared" si="70"/>
        <v/>
      </c>
      <c r="L259" s="9" t="str">
        <f t="shared" si="84"/>
        <v/>
      </c>
      <c r="M259" s="10" t="str">
        <f t="shared" si="71"/>
        <v/>
      </c>
      <c r="N259" s="6" t="str">
        <f t="shared" si="72"/>
        <v/>
      </c>
      <c r="O259" s="9" t="str">
        <f t="shared" si="73"/>
        <v/>
      </c>
      <c r="P259" s="9" t="str">
        <f t="shared" si="74"/>
        <v/>
      </c>
      <c r="Q259" s="9" t="str">
        <f t="shared" si="75"/>
        <v/>
      </c>
      <c r="R259" s="9" t="str">
        <f t="shared" ca="1" si="76"/>
        <v/>
      </c>
      <c r="T259" s="6" t="str">
        <f t="shared" si="85"/>
        <v/>
      </c>
      <c r="U259" s="6" t="str">
        <f t="shared" si="77"/>
        <v/>
      </c>
      <c r="V259" s="10" t="str">
        <f t="shared" si="78"/>
        <v/>
      </c>
      <c r="W259" s="8" t="str">
        <f t="shared" si="79"/>
        <v/>
      </c>
      <c r="X259" s="9">
        <f t="shared" si="86"/>
        <v>0</v>
      </c>
      <c r="Y259" s="9">
        <f t="shared" si="88"/>
        <v>0</v>
      </c>
    </row>
    <row r="260" spans="2:25" x14ac:dyDescent="0.3">
      <c r="B260" s="6">
        <v>223</v>
      </c>
      <c r="C260" s="79" t="str">
        <f t="shared" si="87"/>
        <v/>
      </c>
      <c r="D260" s="6" t="str">
        <f t="shared" si="68"/>
        <v/>
      </c>
      <c r="E260" s="79" t="str">
        <f t="shared" si="80"/>
        <v/>
      </c>
      <c r="F260" s="79" t="str">
        <f>IF(B259&gt;$C$18,"",IF(COUNTIF(Feriados!$A$2:$B$17,EDATE($C$38,B259))=0,EDATE($C$38,B259),EDATE($C$38,B259)+VLOOKUP(EDATE($C$38,B259),Feriados!$A$2:$B$17,2,FALSE)))</f>
        <v/>
      </c>
      <c r="G260" s="6" t="str">
        <f t="shared" si="81"/>
        <v/>
      </c>
      <c r="H260" s="6" t="str">
        <f t="shared" si="82"/>
        <v/>
      </c>
      <c r="I260" s="8" t="str">
        <f t="shared" si="83"/>
        <v/>
      </c>
      <c r="J260" s="8" t="str">
        <f t="shared" si="69"/>
        <v/>
      </c>
      <c r="K260" s="9" t="str">
        <f t="shared" si="70"/>
        <v/>
      </c>
      <c r="L260" s="9" t="str">
        <f t="shared" si="84"/>
        <v/>
      </c>
      <c r="M260" s="10" t="str">
        <f t="shared" si="71"/>
        <v/>
      </c>
      <c r="N260" s="6" t="str">
        <f t="shared" si="72"/>
        <v/>
      </c>
      <c r="O260" s="9" t="str">
        <f t="shared" si="73"/>
        <v/>
      </c>
      <c r="P260" s="9" t="str">
        <f t="shared" si="74"/>
        <v/>
      </c>
      <c r="Q260" s="9" t="str">
        <f t="shared" si="75"/>
        <v/>
      </c>
      <c r="R260" s="9" t="str">
        <f t="shared" ca="1" si="76"/>
        <v/>
      </c>
      <c r="T260" s="6" t="str">
        <f t="shared" si="85"/>
        <v/>
      </c>
      <c r="U260" s="6" t="str">
        <f t="shared" si="77"/>
        <v/>
      </c>
      <c r="V260" s="10" t="str">
        <f t="shared" si="78"/>
        <v/>
      </c>
      <c r="W260" s="8" t="str">
        <f t="shared" si="79"/>
        <v/>
      </c>
      <c r="X260" s="9">
        <f t="shared" si="86"/>
        <v>0</v>
      </c>
      <c r="Y260" s="9">
        <f t="shared" si="88"/>
        <v>0</v>
      </c>
    </row>
    <row r="261" spans="2:25" x14ac:dyDescent="0.3">
      <c r="B261" s="6">
        <v>224</v>
      </c>
      <c r="C261" s="79" t="str">
        <f t="shared" si="87"/>
        <v/>
      </c>
      <c r="D261" s="6" t="str">
        <f t="shared" si="68"/>
        <v/>
      </c>
      <c r="E261" s="79" t="str">
        <f t="shared" si="80"/>
        <v/>
      </c>
      <c r="F261" s="79" t="str">
        <f>IF(B260&gt;$C$18,"",IF(COUNTIF(Feriados!$A$2:$B$17,EDATE($C$38,B260))=0,EDATE($C$38,B260),EDATE($C$38,B260)+VLOOKUP(EDATE($C$38,B260),Feriados!$A$2:$B$17,2,FALSE)))</f>
        <v/>
      </c>
      <c r="G261" s="6" t="str">
        <f t="shared" si="81"/>
        <v/>
      </c>
      <c r="H261" s="6" t="str">
        <f t="shared" si="82"/>
        <v/>
      </c>
      <c r="I261" s="8" t="str">
        <f t="shared" si="83"/>
        <v/>
      </c>
      <c r="J261" s="8" t="str">
        <f t="shared" si="69"/>
        <v/>
      </c>
      <c r="K261" s="9" t="str">
        <f t="shared" si="70"/>
        <v/>
      </c>
      <c r="L261" s="9" t="str">
        <f t="shared" si="84"/>
        <v/>
      </c>
      <c r="M261" s="10" t="str">
        <f t="shared" si="71"/>
        <v/>
      </c>
      <c r="N261" s="6" t="str">
        <f t="shared" si="72"/>
        <v/>
      </c>
      <c r="O261" s="9" t="str">
        <f t="shared" si="73"/>
        <v/>
      </c>
      <c r="P261" s="9" t="str">
        <f t="shared" si="74"/>
        <v/>
      </c>
      <c r="Q261" s="9" t="str">
        <f t="shared" si="75"/>
        <v/>
      </c>
      <c r="R261" s="9" t="str">
        <f t="shared" ca="1" si="76"/>
        <v/>
      </c>
      <c r="T261" s="6" t="str">
        <f t="shared" si="85"/>
        <v/>
      </c>
      <c r="U261" s="6" t="str">
        <f t="shared" si="77"/>
        <v/>
      </c>
      <c r="V261" s="10" t="str">
        <f t="shared" si="78"/>
        <v/>
      </c>
      <c r="W261" s="8" t="str">
        <f t="shared" si="79"/>
        <v/>
      </c>
      <c r="X261" s="9">
        <f t="shared" si="86"/>
        <v>0</v>
      </c>
      <c r="Y261" s="9">
        <f t="shared" si="88"/>
        <v>0</v>
      </c>
    </row>
    <row r="262" spans="2:25" x14ac:dyDescent="0.3">
      <c r="B262" s="6">
        <v>225</v>
      </c>
      <c r="C262" s="79" t="str">
        <f t="shared" si="87"/>
        <v/>
      </c>
      <c r="D262" s="6" t="str">
        <f t="shared" si="68"/>
        <v/>
      </c>
      <c r="E262" s="79" t="str">
        <f t="shared" si="80"/>
        <v/>
      </c>
      <c r="F262" s="79" t="str">
        <f>IF(B261&gt;$C$18,"",IF(COUNTIF(Feriados!$A$2:$B$17,EDATE($C$38,B261))=0,EDATE($C$38,B261),EDATE($C$38,B261)+VLOOKUP(EDATE($C$38,B261),Feriados!$A$2:$B$17,2,FALSE)))</f>
        <v/>
      </c>
      <c r="G262" s="6" t="str">
        <f t="shared" si="81"/>
        <v/>
      </c>
      <c r="H262" s="6" t="str">
        <f t="shared" si="82"/>
        <v/>
      </c>
      <c r="I262" s="8" t="str">
        <f t="shared" si="83"/>
        <v/>
      </c>
      <c r="J262" s="8" t="str">
        <f t="shared" si="69"/>
        <v/>
      </c>
      <c r="K262" s="9" t="str">
        <f t="shared" si="70"/>
        <v/>
      </c>
      <c r="L262" s="9" t="str">
        <f t="shared" si="84"/>
        <v/>
      </c>
      <c r="M262" s="10" t="str">
        <f t="shared" si="71"/>
        <v/>
      </c>
      <c r="N262" s="6" t="str">
        <f t="shared" si="72"/>
        <v/>
      </c>
      <c r="O262" s="9" t="str">
        <f t="shared" si="73"/>
        <v/>
      </c>
      <c r="P262" s="9" t="str">
        <f t="shared" si="74"/>
        <v/>
      </c>
      <c r="Q262" s="9" t="str">
        <f t="shared" si="75"/>
        <v/>
      </c>
      <c r="R262" s="9" t="str">
        <f t="shared" ca="1" si="76"/>
        <v/>
      </c>
      <c r="T262" s="6" t="str">
        <f t="shared" si="85"/>
        <v/>
      </c>
      <c r="U262" s="6" t="str">
        <f t="shared" si="77"/>
        <v/>
      </c>
      <c r="V262" s="10" t="str">
        <f t="shared" si="78"/>
        <v/>
      </c>
      <c r="W262" s="8" t="str">
        <f t="shared" si="79"/>
        <v/>
      </c>
      <c r="X262" s="9">
        <f t="shared" si="86"/>
        <v>0</v>
      </c>
      <c r="Y262" s="9">
        <f t="shared" si="88"/>
        <v>0</v>
      </c>
    </row>
    <row r="263" spans="2:25" x14ac:dyDescent="0.3">
      <c r="B263" s="6">
        <v>226</v>
      </c>
      <c r="C263" s="79" t="str">
        <f t="shared" si="87"/>
        <v/>
      </c>
      <c r="D263" s="6" t="str">
        <f t="shared" si="68"/>
        <v/>
      </c>
      <c r="E263" s="79" t="str">
        <f t="shared" si="80"/>
        <v/>
      </c>
      <c r="F263" s="79" t="str">
        <f>IF(B262&gt;$C$18,"",IF(COUNTIF(Feriados!$A$2:$B$17,EDATE($C$38,B262))=0,EDATE($C$38,B262),EDATE($C$38,B262)+VLOOKUP(EDATE($C$38,B262),Feriados!$A$2:$B$17,2,FALSE)))</f>
        <v/>
      </c>
      <c r="G263" s="6" t="str">
        <f t="shared" si="81"/>
        <v/>
      </c>
      <c r="H263" s="6" t="str">
        <f t="shared" si="82"/>
        <v/>
      </c>
      <c r="I263" s="8" t="str">
        <f t="shared" si="83"/>
        <v/>
      </c>
      <c r="J263" s="8" t="str">
        <f t="shared" si="69"/>
        <v/>
      </c>
      <c r="K263" s="9" t="str">
        <f t="shared" si="70"/>
        <v/>
      </c>
      <c r="L263" s="9" t="str">
        <f t="shared" si="84"/>
        <v/>
      </c>
      <c r="M263" s="10" t="str">
        <f t="shared" si="71"/>
        <v/>
      </c>
      <c r="N263" s="6" t="str">
        <f t="shared" si="72"/>
        <v/>
      </c>
      <c r="O263" s="9" t="str">
        <f t="shared" si="73"/>
        <v/>
      </c>
      <c r="P263" s="9" t="str">
        <f t="shared" si="74"/>
        <v/>
      </c>
      <c r="Q263" s="9" t="str">
        <f t="shared" si="75"/>
        <v/>
      </c>
      <c r="R263" s="9" t="str">
        <f t="shared" ca="1" si="76"/>
        <v/>
      </c>
      <c r="T263" s="6" t="str">
        <f t="shared" si="85"/>
        <v/>
      </c>
      <c r="U263" s="6" t="str">
        <f t="shared" si="77"/>
        <v/>
      </c>
      <c r="V263" s="10" t="str">
        <f t="shared" si="78"/>
        <v/>
      </c>
      <c r="W263" s="8" t="str">
        <f t="shared" si="79"/>
        <v/>
      </c>
      <c r="X263" s="9">
        <f t="shared" si="86"/>
        <v>0</v>
      </c>
      <c r="Y263" s="9">
        <f t="shared" si="88"/>
        <v>0</v>
      </c>
    </row>
    <row r="264" spans="2:25" x14ac:dyDescent="0.3">
      <c r="B264" s="6">
        <v>227</v>
      </c>
      <c r="C264" s="79" t="str">
        <f t="shared" si="87"/>
        <v/>
      </c>
      <c r="D264" s="6" t="str">
        <f t="shared" si="68"/>
        <v/>
      </c>
      <c r="E264" s="79" t="str">
        <f t="shared" si="80"/>
        <v/>
      </c>
      <c r="F264" s="79" t="str">
        <f>IF(B263&gt;$C$18,"",IF(COUNTIF(Feriados!$A$2:$B$17,EDATE($C$38,B263))=0,EDATE($C$38,B263),EDATE($C$38,B263)+VLOOKUP(EDATE($C$38,B263),Feriados!$A$2:$B$17,2,FALSE)))</f>
        <v/>
      </c>
      <c r="G264" s="6" t="str">
        <f t="shared" si="81"/>
        <v/>
      </c>
      <c r="H264" s="6" t="str">
        <f t="shared" si="82"/>
        <v/>
      </c>
      <c r="I264" s="8" t="str">
        <f t="shared" si="83"/>
        <v/>
      </c>
      <c r="J264" s="8" t="str">
        <f t="shared" si="69"/>
        <v/>
      </c>
      <c r="K264" s="9" t="str">
        <f t="shared" si="70"/>
        <v/>
      </c>
      <c r="L264" s="9" t="str">
        <f t="shared" si="84"/>
        <v/>
      </c>
      <c r="M264" s="10" t="str">
        <f t="shared" si="71"/>
        <v/>
      </c>
      <c r="N264" s="6" t="str">
        <f t="shared" si="72"/>
        <v/>
      </c>
      <c r="O264" s="9" t="str">
        <f t="shared" si="73"/>
        <v/>
      </c>
      <c r="P264" s="9" t="str">
        <f t="shared" si="74"/>
        <v/>
      </c>
      <c r="Q264" s="9" t="str">
        <f t="shared" si="75"/>
        <v/>
      </c>
      <c r="R264" s="9" t="str">
        <f t="shared" ca="1" si="76"/>
        <v/>
      </c>
      <c r="T264" s="6" t="str">
        <f t="shared" si="85"/>
        <v/>
      </c>
      <c r="U264" s="6" t="str">
        <f t="shared" si="77"/>
        <v/>
      </c>
      <c r="V264" s="10" t="str">
        <f t="shared" si="78"/>
        <v/>
      </c>
      <c r="W264" s="8" t="str">
        <f t="shared" si="79"/>
        <v/>
      </c>
      <c r="X264" s="9">
        <f t="shared" si="86"/>
        <v>0</v>
      </c>
      <c r="Y264" s="9">
        <f t="shared" si="88"/>
        <v>0</v>
      </c>
    </row>
    <row r="265" spans="2:25" x14ac:dyDescent="0.3">
      <c r="B265" s="6">
        <v>228</v>
      </c>
      <c r="C265" s="79" t="str">
        <f t="shared" si="87"/>
        <v/>
      </c>
      <c r="D265" s="6" t="str">
        <f t="shared" si="68"/>
        <v/>
      </c>
      <c r="E265" s="79" t="str">
        <f t="shared" si="80"/>
        <v/>
      </c>
      <c r="F265" s="79" t="str">
        <f>IF(B264&gt;$C$18,"",IF(COUNTIF(Feriados!$A$2:$B$17,EDATE($C$38,B264))=0,EDATE($C$38,B264),EDATE($C$38,B264)+VLOOKUP(EDATE($C$38,B264),Feriados!$A$2:$B$17,2,FALSE)))</f>
        <v/>
      </c>
      <c r="G265" s="6" t="str">
        <f t="shared" si="81"/>
        <v/>
      </c>
      <c r="H265" s="6" t="str">
        <f t="shared" si="82"/>
        <v/>
      </c>
      <c r="I265" s="8" t="str">
        <f t="shared" si="83"/>
        <v/>
      </c>
      <c r="J265" s="8" t="str">
        <f t="shared" si="69"/>
        <v/>
      </c>
      <c r="K265" s="9" t="str">
        <f t="shared" si="70"/>
        <v/>
      </c>
      <c r="L265" s="9" t="str">
        <f t="shared" si="84"/>
        <v/>
      </c>
      <c r="M265" s="10" t="str">
        <f t="shared" si="71"/>
        <v/>
      </c>
      <c r="N265" s="6" t="str">
        <f t="shared" si="72"/>
        <v/>
      </c>
      <c r="O265" s="9" t="str">
        <f t="shared" si="73"/>
        <v/>
      </c>
      <c r="P265" s="9" t="str">
        <f t="shared" si="74"/>
        <v/>
      </c>
      <c r="Q265" s="9" t="str">
        <f t="shared" si="75"/>
        <v/>
      </c>
      <c r="R265" s="9" t="str">
        <f t="shared" ca="1" si="76"/>
        <v/>
      </c>
      <c r="T265" s="6" t="str">
        <f t="shared" si="85"/>
        <v/>
      </c>
      <c r="U265" s="6" t="str">
        <f t="shared" si="77"/>
        <v/>
      </c>
      <c r="V265" s="10" t="str">
        <f t="shared" si="78"/>
        <v/>
      </c>
      <c r="W265" s="8" t="str">
        <f t="shared" si="79"/>
        <v/>
      </c>
      <c r="X265" s="9">
        <f t="shared" si="86"/>
        <v>0</v>
      </c>
      <c r="Y265" s="9">
        <f t="shared" si="88"/>
        <v>0</v>
      </c>
    </row>
    <row r="266" spans="2:25" x14ac:dyDescent="0.3">
      <c r="B266" s="6">
        <v>229</v>
      </c>
      <c r="C266" s="79" t="str">
        <f t="shared" si="87"/>
        <v/>
      </c>
      <c r="D266" s="6" t="str">
        <f t="shared" si="68"/>
        <v/>
      </c>
      <c r="E266" s="79" t="str">
        <f t="shared" si="80"/>
        <v/>
      </c>
      <c r="F266" s="79" t="str">
        <f>IF(B265&gt;$C$18,"",IF(COUNTIF(Feriados!$A$2:$B$17,EDATE($C$38,B265))=0,EDATE($C$38,B265),EDATE($C$38,B265)+VLOOKUP(EDATE($C$38,B265),Feriados!$A$2:$B$17,2,FALSE)))</f>
        <v/>
      </c>
      <c r="G266" s="6" t="str">
        <f t="shared" si="81"/>
        <v/>
      </c>
      <c r="H266" s="6" t="str">
        <f t="shared" si="82"/>
        <v/>
      </c>
      <c r="I266" s="8" t="str">
        <f t="shared" si="83"/>
        <v/>
      </c>
      <c r="J266" s="8" t="str">
        <f t="shared" si="69"/>
        <v/>
      </c>
      <c r="K266" s="9" t="str">
        <f t="shared" si="70"/>
        <v/>
      </c>
      <c r="L266" s="9" t="str">
        <f t="shared" si="84"/>
        <v/>
      </c>
      <c r="M266" s="10" t="str">
        <f t="shared" si="71"/>
        <v/>
      </c>
      <c r="N266" s="6" t="str">
        <f t="shared" si="72"/>
        <v/>
      </c>
      <c r="O266" s="9" t="str">
        <f t="shared" si="73"/>
        <v/>
      </c>
      <c r="P266" s="9" t="str">
        <f t="shared" si="74"/>
        <v/>
      </c>
      <c r="Q266" s="9" t="str">
        <f t="shared" si="75"/>
        <v/>
      </c>
      <c r="R266" s="9" t="str">
        <f t="shared" ca="1" si="76"/>
        <v/>
      </c>
      <c r="T266" s="6" t="str">
        <f t="shared" si="85"/>
        <v/>
      </c>
      <c r="U266" s="6" t="str">
        <f t="shared" si="77"/>
        <v/>
      </c>
      <c r="V266" s="10" t="str">
        <f t="shared" si="78"/>
        <v/>
      </c>
      <c r="W266" s="8" t="str">
        <f t="shared" si="79"/>
        <v/>
      </c>
      <c r="X266" s="9">
        <f t="shared" si="86"/>
        <v>0</v>
      </c>
      <c r="Y266" s="9">
        <f t="shared" si="88"/>
        <v>0</v>
      </c>
    </row>
    <row r="267" spans="2:25" x14ac:dyDescent="0.3">
      <c r="B267" s="6">
        <v>230</v>
      </c>
      <c r="C267" s="79" t="str">
        <f t="shared" si="87"/>
        <v/>
      </c>
      <c r="D267" s="6" t="str">
        <f t="shared" si="68"/>
        <v/>
      </c>
      <c r="E267" s="79" t="str">
        <f t="shared" si="80"/>
        <v/>
      </c>
      <c r="F267" s="79" t="str">
        <f>IF(B266&gt;$C$18,"",IF(COUNTIF(Feriados!$A$2:$B$17,EDATE($C$38,B266))=0,EDATE($C$38,B266),EDATE($C$38,B266)+VLOOKUP(EDATE($C$38,B266),Feriados!$A$2:$B$17,2,FALSE)))</f>
        <v/>
      </c>
      <c r="G267" s="6" t="str">
        <f t="shared" si="81"/>
        <v/>
      </c>
      <c r="H267" s="6" t="str">
        <f t="shared" si="82"/>
        <v/>
      </c>
      <c r="I267" s="8" t="str">
        <f t="shared" si="83"/>
        <v/>
      </c>
      <c r="J267" s="8" t="str">
        <f t="shared" si="69"/>
        <v/>
      </c>
      <c r="K267" s="9" t="str">
        <f t="shared" si="70"/>
        <v/>
      </c>
      <c r="L267" s="9" t="str">
        <f t="shared" si="84"/>
        <v/>
      </c>
      <c r="M267" s="10" t="str">
        <f t="shared" si="71"/>
        <v/>
      </c>
      <c r="N267" s="6" t="str">
        <f t="shared" si="72"/>
        <v/>
      </c>
      <c r="O267" s="9" t="str">
        <f t="shared" si="73"/>
        <v/>
      </c>
      <c r="P267" s="9" t="str">
        <f t="shared" si="74"/>
        <v/>
      </c>
      <c r="Q267" s="9" t="str">
        <f t="shared" si="75"/>
        <v/>
      </c>
      <c r="R267" s="9" t="str">
        <f t="shared" ca="1" si="76"/>
        <v/>
      </c>
      <c r="T267" s="6" t="str">
        <f t="shared" si="85"/>
        <v/>
      </c>
      <c r="U267" s="6" t="str">
        <f t="shared" si="77"/>
        <v/>
      </c>
      <c r="V267" s="10" t="str">
        <f t="shared" si="78"/>
        <v/>
      </c>
      <c r="W267" s="8" t="str">
        <f t="shared" si="79"/>
        <v/>
      </c>
      <c r="X267" s="9">
        <f t="shared" si="86"/>
        <v>0</v>
      </c>
      <c r="Y267" s="9">
        <f t="shared" si="88"/>
        <v>0</v>
      </c>
    </row>
    <row r="268" spans="2:25" x14ac:dyDescent="0.3">
      <c r="B268" s="6">
        <v>231</v>
      </c>
      <c r="C268" s="79" t="str">
        <f t="shared" si="87"/>
        <v/>
      </c>
      <c r="D268" s="6" t="str">
        <f t="shared" si="68"/>
        <v/>
      </c>
      <c r="E268" s="79" t="str">
        <f t="shared" si="80"/>
        <v/>
      </c>
      <c r="F268" s="79" t="str">
        <f>IF(B267&gt;$C$18,"",IF(COUNTIF(Feriados!$A$2:$B$17,EDATE($C$38,B267))=0,EDATE($C$38,B267),EDATE($C$38,B267)+VLOOKUP(EDATE($C$38,B267),Feriados!$A$2:$B$17,2,FALSE)))</f>
        <v/>
      </c>
      <c r="G268" s="6" t="str">
        <f t="shared" si="81"/>
        <v/>
      </c>
      <c r="H268" s="6" t="str">
        <f t="shared" si="82"/>
        <v/>
      </c>
      <c r="I268" s="8" t="str">
        <f t="shared" si="83"/>
        <v/>
      </c>
      <c r="J268" s="8" t="str">
        <f t="shared" si="69"/>
        <v/>
      </c>
      <c r="K268" s="9" t="str">
        <f t="shared" si="70"/>
        <v/>
      </c>
      <c r="L268" s="9" t="str">
        <f t="shared" si="84"/>
        <v/>
      </c>
      <c r="M268" s="10" t="str">
        <f t="shared" si="71"/>
        <v/>
      </c>
      <c r="N268" s="6" t="str">
        <f t="shared" si="72"/>
        <v/>
      </c>
      <c r="O268" s="9" t="str">
        <f t="shared" si="73"/>
        <v/>
      </c>
      <c r="P268" s="9" t="str">
        <f t="shared" si="74"/>
        <v/>
      </c>
      <c r="Q268" s="9" t="str">
        <f t="shared" si="75"/>
        <v/>
      </c>
      <c r="R268" s="9" t="str">
        <f t="shared" ca="1" si="76"/>
        <v/>
      </c>
      <c r="T268" s="6" t="str">
        <f t="shared" si="85"/>
        <v/>
      </c>
      <c r="U268" s="6" t="str">
        <f t="shared" si="77"/>
        <v/>
      </c>
      <c r="V268" s="10" t="str">
        <f t="shared" si="78"/>
        <v/>
      </c>
      <c r="W268" s="8" t="str">
        <f t="shared" si="79"/>
        <v/>
      </c>
      <c r="X268" s="9">
        <f t="shared" si="86"/>
        <v>0</v>
      </c>
      <c r="Y268" s="9">
        <f t="shared" si="88"/>
        <v>0</v>
      </c>
    </row>
    <row r="269" spans="2:25" x14ac:dyDescent="0.3">
      <c r="B269" s="6">
        <v>232</v>
      </c>
      <c r="C269" s="79" t="str">
        <f t="shared" si="87"/>
        <v/>
      </c>
      <c r="D269" s="6" t="str">
        <f t="shared" si="68"/>
        <v/>
      </c>
      <c r="E269" s="79" t="str">
        <f t="shared" si="80"/>
        <v/>
      </c>
      <c r="F269" s="79" t="str">
        <f>IF(B268&gt;$C$18,"",IF(COUNTIF(Feriados!$A$2:$B$17,EDATE($C$38,B268))=0,EDATE($C$38,B268),EDATE($C$38,B268)+VLOOKUP(EDATE($C$38,B268),Feriados!$A$2:$B$17,2,FALSE)))</f>
        <v/>
      </c>
      <c r="G269" s="6" t="str">
        <f t="shared" si="81"/>
        <v/>
      </c>
      <c r="H269" s="6" t="str">
        <f t="shared" si="82"/>
        <v/>
      </c>
      <c r="I269" s="8" t="str">
        <f t="shared" si="83"/>
        <v/>
      </c>
      <c r="J269" s="8" t="str">
        <f t="shared" si="69"/>
        <v/>
      </c>
      <c r="K269" s="9" t="str">
        <f t="shared" si="70"/>
        <v/>
      </c>
      <c r="L269" s="9" t="str">
        <f t="shared" si="84"/>
        <v/>
      </c>
      <c r="M269" s="10" t="str">
        <f t="shared" si="71"/>
        <v/>
      </c>
      <c r="N269" s="6" t="str">
        <f t="shared" si="72"/>
        <v/>
      </c>
      <c r="O269" s="9" t="str">
        <f t="shared" si="73"/>
        <v/>
      </c>
      <c r="P269" s="9" t="str">
        <f t="shared" si="74"/>
        <v/>
      </c>
      <c r="Q269" s="9" t="str">
        <f t="shared" si="75"/>
        <v/>
      </c>
      <c r="R269" s="9" t="str">
        <f t="shared" ca="1" si="76"/>
        <v/>
      </c>
      <c r="T269" s="6" t="str">
        <f t="shared" si="85"/>
        <v/>
      </c>
      <c r="U269" s="6" t="str">
        <f t="shared" si="77"/>
        <v/>
      </c>
      <c r="V269" s="10" t="str">
        <f t="shared" si="78"/>
        <v/>
      </c>
      <c r="W269" s="8" t="str">
        <f t="shared" si="79"/>
        <v/>
      </c>
      <c r="X269" s="9">
        <f t="shared" si="86"/>
        <v>0</v>
      </c>
      <c r="Y269" s="9">
        <f t="shared" si="88"/>
        <v>0</v>
      </c>
    </row>
    <row r="270" spans="2:25" x14ac:dyDescent="0.3">
      <c r="B270" s="6">
        <v>233</v>
      </c>
      <c r="C270" s="79" t="str">
        <f t="shared" si="87"/>
        <v/>
      </c>
      <c r="D270" s="6" t="str">
        <f t="shared" si="68"/>
        <v/>
      </c>
      <c r="E270" s="79" t="str">
        <f t="shared" si="80"/>
        <v/>
      </c>
      <c r="F270" s="79" t="str">
        <f>IF(B269&gt;$C$18,"",IF(COUNTIF(Feriados!$A$2:$B$17,EDATE($C$38,B269))=0,EDATE($C$38,B269),EDATE($C$38,B269)+VLOOKUP(EDATE($C$38,B269),Feriados!$A$2:$B$17,2,FALSE)))</f>
        <v/>
      </c>
      <c r="G270" s="6" t="str">
        <f t="shared" si="81"/>
        <v/>
      </c>
      <c r="H270" s="6" t="str">
        <f t="shared" si="82"/>
        <v/>
      </c>
      <c r="I270" s="8" t="str">
        <f t="shared" si="83"/>
        <v/>
      </c>
      <c r="J270" s="8" t="str">
        <f t="shared" si="69"/>
        <v/>
      </c>
      <c r="K270" s="9" t="str">
        <f t="shared" si="70"/>
        <v/>
      </c>
      <c r="L270" s="9" t="str">
        <f t="shared" si="84"/>
        <v/>
      </c>
      <c r="M270" s="10" t="str">
        <f t="shared" si="71"/>
        <v/>
      </c>
      <c r="N270" s="6" t="str">
        <f t="shared" si="72"/>
        <v/>
      </c>
      <c r="O270" s="9" t="str">
        <f t="shared" si="73"/>
        <v/>
      </c>
      <c r="P270" s="9" t="str">
        <f t="shared" si="74"/>
        <v/>
      </c>
      <c r="Q270" s="9" t="str">
        <f t="shared" si="75"/>
        <v/>
      </c>
      <c r="R270" s="9" t="str">
        <f t="shared" ca="1" si="76"/>
        <v/>
      </c>
      <c r="T270" s="6" t="str">
        <f t="shared" si="85"/>
        <v/>
      </c>
      <c r="U270" s="6" t="str">
        <f t="shared" si="77"/>
        <v/>
      </c>
      <c r="V270" s="10" t="str">
        <f t="shared" si="78"/>
        <v/>
      </c>
      <c r="W270" s="8" t="str">
        <f t="shared" si="79"/>
        <v/>
      </c>
      <c r="X270" s="9">
        <f t="shared" si="86"/>
        <v>0</v>
      </c>
      <c r="Y270" s="9">
        <f t="shared" si="88"/>
        <v>0</v>
      </c>
    </row>
    <row r="271" spans="2:25" x14ac:dyDescent="0.3">
      <c r="B271" s="6">
        <v>234</v>
      </c>
      <c r="C271" s="79" t="str">
        <f t="shared" si="87"/>
        <v/>
      </c>
      <c r="D271" s="6" t="str">
        <f t="shared" si="68"/>
        <v/>
      </c>
      <c r="E271" s="79" t="str">
        <f t="shared" si="80"/>
        <v/>
      </c>
      <c r="F271" s="79" t="str">
        <f>IF(B270&gt;$C$18,"",IF(COUNTIF(Feriados!$A$2:$B$17,EDATE($C$38,B270))=0,EDATE($C$38,B270),EDATE($C$38,B270)+VLOOKUP(EDATE($C$38,B270),Feriados!$A$2:$B$17,2,FALSE)))</f>
        <v/>
      </c>
      <c r="G271" s="6" t="str">
        <f t="shared" si="81"/>
        <v/>
      </c>
      <c r="H271" s="6" t="str">
        <f t="shared" si="82"/>
        <v/>
      </c>
      <c r="I271" s="8" t="str">
        <f t="shared" si="83"/>
        <v/>
      </c>
      <c r="J271" s="8" t="str">
        <f t="shared" si="69"/>
        <v/>
      </c>
      <c r="K271" s="9" t="str">
        <f t="shared" si="70"/>
        <v/>
      </c>
      <c r="L271" s="9" t="str">
        <f t="shared" si="84"/>
        <v/>
      </c>
      <c r="M271" s="10" t="str">
        <f t="shared" si="71"/>
        <v/>
      </c>
      <c r="N271" s="6" t="str">
        <f t="shared" si="72"/>
        <v/>
      </c>
      <c r="O271" s="9" t="str">
        <f t="shared" si="73"/>
        <v/>
      </c>
      <c r="P271" s="9" t="str">
        <f t="shared" si="74"/>
        <v/>
      </c>
      <c r="Q271" s="9" t="str">
        <f t="shared" si="75"/>
        <v/>
      </c>
      <c r="R271" s="9" t="str">
        <f t="shared" ca="1" si="76"/>
        <v/>
      </c>
      <c r="T271" s="6" t="str">
        <f t="shared" si="85"/>
        <v/>
      </c>
      <c r="U271" s="6" t="str">
        <f t="shared" si="77"/>
        <v/>
      </c>
      <c r="V271" s="10" t="str">
        <f t="shared" si="78"/>
        <v/>
      </c>
      <c r="W271" s="8" t="str">
        <f t="shared" si="79"/>
        <v/>
      </c>
      <c r="X271" s="9">
        <f t="shared" si="86"/>
        <v>0</v>
      </c>
      <c r="Y271" s="9">
        <f t="shared" si="88"/>
        <v>0</v>
      </c>
    </row>
    <row r="272" spans="2:25" x14ac:dyDescent="0.3">
      <c r="B272" s="6">
        <v>235</v>
      </c>
      <c r="C272" s="79" t="str">
        <f t="shared" si="87"/>
        <v/>
      </c>
      <c r="D272" s="6" t="str">
        <f t="shared" si="68"/>
        <v/>
      </c>
      <c r="E272" s="79" t="str">
        <f t="shared" si="80"/>
        <v/>
      </c>
      <c r="F272" s="79" t="str">
        <f>IF(B271&gt;$C$18,"",IF(COUNTIF(Feriados!$A$2:$B$17,EDATE($C$38,B271))=0,EDATE($C$38,B271),EDATE($C$38,B271)+VLOOKUP(EDATE($C$38,B271),Feriados!$A$2:$B$17,2,FALSE)))</f>
        <v/>
      </c>
      <c r="G272" s="6" t="str">
        <f t="shared" si="81"/>
        <v/>
      </c>
      <c r="H272" s="6" t="str">
        <f t="shared" si="82"/>
        <v/>
      </c>
      <c r="I272" s="8" t="str">
        <f t="shared" si="83"/>
        <v/>
      </c>
      <c r="J272" s="8" t="str">
        <f t="shared" si="69"/>
        <v/>
      </c>
      <c r="K272" s="9" t="str">
        <f t="shared" si="70"/>
        <v/>
      </c>
      <c r="L272" s="9" t="str">
        <f t="shared" si="84"/>
        <v/>
      </c>
      <c r="M272" s="10" t="str">
        <f t="shared" si="71"/>
        <v/>
      </c>
      <c r="N272" s="6" t="str">
        <f t="shared" si="72"/>
        <v/>
      </c>
      <c r="O272" s="9" t="str">
        <f t="shared" si="73"/>
        <v/>
      </c>
      <c r="P272" s="9" t="str">
        <f t="shared" si="74"/>
        <v/>
      </c>
      <c r="Q272" s="9" t="str">
        <f t="shared" si="75"/>
        <v/>
      </c>
      <c r="R272" s="9" t="str">
        <f t="shared" ca="1" si="76"/>
        <v/>
      </c>
      <c r="T272" s="6" t="str">
        <f t="shared" si="85"/>
        <v/>
      </c>
      <c r="U272" s="6" t="str">
        <f t="shared" si="77"/>
        <v/>
      </c>
      <c r="V272" s="10" t="str">
        <f t="shared" si="78"/>
        <v/>
      </c>
      <c r="W272" s="8" t="str">
        <f t="shared" si="79"/>
        <v/>
      </c>
      <c r="X272" s="9">
        <f t="shared" si="86"/>
        <v>0</v>
      </c>
      <c r="Y272" s="9">
        <f t="shared" si="88"/>
        <v>0</v>
      </c>
    </row>
    <row r="273" spans="2:25" x14ac:dyDescent="0.3">
      <c r="B273" s="6">
        <v>236</v>
      </c>
      <c r="C273" s="79" t="str">
        <f t="shared" si="87"/>
        <v/>
      </c>
      <c r="D273" s="6" t="str">
        <f t="shared" si="68"/>
        <v/>
      </c>
      <c r="E273" s="79" t="str">
        <f t="shared" si="80"/>
        <v/>
      </c>
      <c r="F273" s="79" t="str">
        <f>IF(B272&gt;$C$18,"",IF(COUNTIF(Feriados!$A$2:$B$17,EDATE($C$38,B272))=0,EDATE($C$38,B272),EDATE($C$38,B272)+VLOOKUP(EDATE($C$38,B272),Feriados!$A$2:$B$17,2,FALSE)))</f>
        <v/>
      </c>
      <c r="G273" s="6" t="str">
        <f t="shared" si="81"/>
        <v/>
      </c>
      <c r="H273" s="6" t="str">
        <f t="shared" si="82"/>
        <v/>
      </c>
      <c r="I273" s="8" t="str">
        <f t="shared" si="83"/>
        <v/>
      </c>
      <c r="J273" s="8" t="str">
        <f t="shared" si="69"/>
        <v/>
      </c>
      <c r="K273" s="9" t="str">
        <f t="shared" si="70"/>
        <v/>
      </c>
      <c r="L273" s="9" t="str">
        <f t="shared" si="84"/>
        <v/>
      </c>
      <c r="M273" s="10" t="str">
        <f t="shared" si="71"/>
        <v/>
      </c>
      <c r="N273" s="6" t="str">
        <f t="shared" si="72"/>
        <v/>
      </c>
      <c r="O273" s="9" t="str">
        <f t="shared" si="73"/>
        <v/>
      </c>
      <c r="P273" s="9" t="str">
        <f t="shared" si="74"/>
        <v/>
      </c>
      <c r="Q273" s="9" t="str">
        <f t="shared" si="75"/>
        <v/>
      </c>
      <c r="R273" s="9" t="str">
        <f t="shared" ca="1" si="76"/>
        <v/>
      </c>
      <c r="T273" s="6" t="str">
        <f t="shared" si="85"/>
        <v/>
      </c>
      <c r="U273" s="6" t="str">
        <f t="shared" si="77"/>
        <v/>
      </c>
      <c r="V273" s="10" t="str">
        <f t="shared" si="78"/>
        <v/>
      </c>
      <c r="W273" s="8" t="str">
        <f t="shared" si="79"/>
        <v/>
      </c>
      <c r="X273" s="9">
        <f t="shared" si="86"/>
        <v>0</v>
      </c>
      <c r="Y273" s="9">
        <f t="shared" si="88"/>
        <v>0</v>
      </c>
    </row>
    <row r="274" spans="2:25" x14ac:dyDescent="0.3">
      <c r="B274" s="6">
        <v>237</v>
      </c>
      <c r="C274" s="79" t="str">
        <f t="shared" si="87"/>
        <v/>
      </c>
      <c r="D274" s="6" t="str">
        <f t="shared" si="68"/>
        <v/>
      </c>
      <c r="E274" s="79" t="str">
        <f t="shared" si="80"/>
        <v/>
      </c>
      <c r="F274" s="79" t="str">
        <f>IF(B273&gt;$C$18,"",IF(COUNTIF(Feriados!$A$2:$B$17,EDATE($C$38,B273))=0,EDATE($C$38,B273),EDATE($C$38,B273)+VLOOKUP(EDATE($C$38,B273),Feriados!$A$2:$B$17,2,FALSE)))</f>
        <v/>
      </c>
      <c r="G274" s="6" t="str">
        <f t="shared" si="81"/>
        <v/>
      </c>
      <c r="H274" s="6" t="str">
        <f t="shared" si="82"/>
        <v/>
      </c>
      <c r="I274" s="8" t="str">
        <f t="shared" si="83"/>
        <v/>
      </c>
      <c r="J274" s="8" t="str">
        <f t="shared" si="69"/>
        <v/>
      </c>
      <c r="K274" s="9" t="str">
        <f t="shared" si="70"/>
        <v/>
      </c>
      <c r="L274" s="9" t="str">
        <f t="shared" si="84"/>
        <v/>
      </c>
      <c r="M274" s="10" t="str">
        <f t="shared" si="71"/>
        <v/>
      </c>
      <c r="N274" s="6" t="str">
        <f t="shared" si="72"/>
        <v/>
      </c>
      <c r="O274" s="9" t="str">
        <f t="shared" si="73"/>
        <v/>
      </c>
      <c r="P274" s="9" t="str">
        <f t="shared" si="74"/>
        <v/>
      </c>
      <c r="Q274" s="9" t="str">
        <f t="shared" si="75"/>
        <v/>
      </c>
      <c r="R274" s="9" t="str">
        <f t="shared" ca="1" si="76"/>
        <v/>
      </c>
      <c r="T274" s="6" t="str">
        <f t="shared" si="85"/>
        <v/>
      </c>
      <c r="U274" s="6" t="str">
        <f t="shared" si="77"/>
        <v/>
      </c>
      <c r="V274" s="10" t="str">
        <f t="shared" si="78"/>
        <v/>
      </c>
      <c r="W274" s="8" t="str">
        <f t="shared" si="79"/>
        <v/>
      </c>
      <c r="X274" s="9">
        <f t="shared" si="86"/>
        <v>0</v>
      </c>
      <c r="Y274" s="9">
        <f t="shared" si="88"/>
        <v>0</v>
      </c>
    </row>
    <row r="275" spans="2:25" x14ac:dyDescent="0.3">
      <c r="B275" s="6">
        <v>238</v>
      </c>
      <c r="C275" s="79" t="str">
        <f t="shared" si="87"/>
        <v/>
      </c>
      <c r="D275" s="6" t="str">
        <f t="shared" si="68"/>
        <v/>
      </c>
      <c r="E275" s="79" t="str">
        <f t="shared" si="80"/>
        <v/>
      </c>
      <c r="F275" s="79" t="str">
        <f>IF(B274&gt;$C$18,"",IF(COUNTIF(Feriados!$A$2:$B$17,EDATE($C$38,B274))=0,EDATE($C$38,B274),EDATE($C$38,B274)+VLOOKUP(EDATE($C$38,B274),Feriados!$A$2:$B$17,2,FALSE)))</f>
        <v/>
      </c>
      <c r="G275" s="6" t="str">
        <f t="shared" si="81"/>
        <v/>
      </c>
      <c r="H275" s="6" t="str">
        <f t="shared" si="82"/>
        <v/>
      </c>
      <c r="I275" s="8" t="str">
        <f t="shared" si="83"/>
        <v/>
      </c>
      <c r="J275" s="8" t="str">
        <f t="shared" si="69"/>
        <v/>
      </c>
      <c r="K275" s="9" t="str">
        <f t="shared" si="70"/>
        <v/>
      </c>
      <c r="L275" s="9" t="str">
        <f t="shared" si="84"/>
        <v/>
      </c>
      <c r="M275" s="10" t="str">
        <f t="shared" si="71"/>
        <v/>
      </c>
      <c r="N275" s="6" t="str">
        <f t="shared" si="72"/>
        <v/>
      </c>
      <c r="O275" s="9" t="str">
        <f t="shared" si="73"/>
        <v/>
      </c>
      <c r="P275" s="9" t="str">
        <f t="shared" si="74"/>
        <v/>
      </c>
      <c r="Q275" s="9" t="str">
        <f t="shared" si="75"/>
        <v/>
      </c>
      <c r="R275" s="9" t="str">
        <f t="shared" ca="1" si="76"/>
        <v/>
      </c>
      <c r="T275" s="6" t="str">
        <f t="shared" si="85"/>
        <v/>
      </c>
      <c r="U275" s="6" t="str">
        <f t="shared" si="77"/>
        <v/>
      </c>
      <c r="V275" s="10" t="str">
        <f t="shared" si="78"/>
        <v/>
      </c>
      <c r="W275" s="8" t="str">
        <f t="shared" si="79"/>
        <v/>
      </c>
      <c r="X275" s="9">
        <f t="shared" si="86"/>
        <v>0</v>
      </c>
      <c r="Y275" s="9">
        <f t="shared" si="88"/>
        <v>0</v>
      </c>
    </row>
    <row r="276" spans="2:25" x14ac:dyDescent="0.3">
      <c r="B276" s="6">
        <v>239</v>
      </c>
      <c r="C276" s="79" t="str">
        <f t="shared" si="87"/>
        <v/>
      </c>
      <c r="D276" s="6" t="str">
        <f t="shared" si="68"/>
        <v/>
      </c>
      <c r="E276" s="79" t="str">
        <f t="shared" si="80"/>
        <v/>
      </c>
      <c r="F276" s="79" t="str">
        <f>IF(B275&gt;$C$18,"",IF(COUNTIF(Feriados!$A$2:$B$17,EDATE($C$38,B275))=0,EDATE($C$38,B275),EDATE($C$38,B275)+VLOOKUP(EDATE($C$38,B275),Feriados!$A$2:$B$17,2,FALSE)))</f>
        <v/>
      </c>
      <c r="G276" s="6" t="str">
        <f t="shared" si="81"/>
        <v/>
      </c>
      <c r="H276" s="6" t="str">
        <f t="shared" si="82"/>
        <v/>
      </c>
      <c r="I276" s="8" t="str">
        <f t="shared" si="83"/>
        <v/>
      </c>
      <c r="J276" s="8" t="str">
        <f t="shared" si="69"/>
        <v/>
      </c>
      <c r="K276" s="9" t="str">
        <f t="shared" si="70"/>
        <v/>
      </c>
      <c r="L276" s="9" t="str">
        <f t="shared" si="84"/>
        <v/>
      </c>
      <c r="M276" s="10" t="str">
        <f t="shared" si="71"/>
        <v/>
      </c>
      <c r="N276" s="6" t="str">
        <f t="shared" si="72"/>
        <v/>
      </c>
      <c r="O276" s="9" t="str">
        <f t="shared" si="73"/>
        <v/>
      </c>
      <c r="P276" s="9" t="str">
        <f t="shared" si="74"/>
        <v/>
      </c>
      <c r="Q276" s="9" t="str">
        <f t="shared" si="75"/>
        <v/>
      </c>
      <c r="R276" s="9" t="str">
        <f t="shared" ca="1" si="76"/>
        <v/>
      </c>
      <c r="T276" s="6" t="str">
        <f t="shared" si="85"/>
        <v/>
      </c>
      <c r="U276" s="6" t="str">
        <f t="shared" si="77"/>
        <v/>
      </c>
      <c r="V276" s="10" t="str">
        <f t="shared" si="78"/>
        <v/>
      </c>
      <c r="W276" s="8" t="str">
        <f t="shared" si="79"/>
        <v/>
      </c>
      <c r="X276" s="9">
        <f t="shared" si="86"/>
        <v>0</v>
      </c>
      <c r="Y276" s="9">
        <f t="shared" si="88"/>
        <v>0</v>
      </c>
    </row>
    <row r="277" spans="2:25" x14ac:dyDescent="0.3">
      <c r="B277" s="6">
        <v>240</v>
      </c>
      <c r="C277" s="79" t="str">
        <f t="shared" si="87"/>
        <v/>
      </c>
      <c r="D277" s="6" t="str">
        <f t="shared" si="68"/>
        <v/>
      </c>
      <c r="E277" s="79" t="str">
        <f t="shared" si="80"/>
        <v/>
      </c>
      <c r="F277" s="79" t="str">
        <f>IF(B276&gt;$C$18,"",IF(COUNTIF(Feriados!$A$2:$B$17,EDATE($C$38,B276))=0,EDATE($C$38,B276),EDATE($C$38,B276)+VLOOKUP(EDATE($C$38,B276),Feriados!$A$2:$B$17,2,FALSE)))</f>
        <v/>
      </c>
      <c r="G277" s="6" t="str">
        <f t="shared" si="81"/>
        <v/>
      </c>
      <c r="H277" s="6" t="str">
        <f t="shared" si="82"/>
        <v/>
      </c>
      <c r="I277" s="8" t="str">
        <f t="shared" si="83"/>
        <v/>
      </c>
      <c r="J277" s="8" t="str">
        <f t="shared" si="69"/>
        <v/>
      </c>
      <c r="K277" s="9" t="str">
        <f t="shared" si="70"/>
        <v/>
      </c>
      <c r="L277" s="9" t="str">
        <f t="shared" si="84"/>
        <v/>
      </c>
      <c r="M277" s="10" t="str">
        <f t="shared" si="71"/>
        <v/>
      </c>
      <c r="N277" s="6" t="str">
        <f t="shared" si="72"/>
        <v/>
      </c>
      <c r="O277" s="9" t="str">
        <f t="shared" si="73"/>
        <v/>
      </c>
      <c r="P277" s="9" t="str">
        <f t="shared" si="74"/>
        <v/>
      </c>
      <c r="Q277" s="9" t="str">
        <f t="shared" si="75"/>
        <v/>
      </c>
      <c r="R277" s="9" t="str">
        <f t="shared" ca="1" si="76"/>
        <v/>
      </c>
      <c r="T277" s="6" t="str">
        <f t="shared" si="85"/>
        <v/>
      </c>
      <c r="U277" s="6" t="str">
        <f t="shared" si="77"/>
        <v/>
      </c>
      <c r="V277" s="10" t="str">
        <f t="shared" si="78"/>
        <v/>
      </c>
      <c r="W277" s="8" t="str">
        <f t="shared" si="79"/>
        <v/>
      </c>
      <c r="X277" s="9">
        <f t="shared" si="86"/>
        <v>0</v>
      </c>
      <c r="Y277" s="9">
        <f t="shared" si="88"/>
        <v>0</v>
      </c>
    </row>
    <row r="278" spans="2:25" x14ac:dyDescent="0.3">
      <c r="B278" s="6">
        <v>241</v>
      </c>
      <c r="C278" s="79" t="str">
        <f t="shared" si="87"/>
        <v/>
      </c>
      <c r="D278" s="6" t="str">
        <f t="shared" si="68"/>
        <v/>
      </c>
      <c r="E278" s="79" t="str">
        <f t="shared" si="80"/>
        <v/>
      </c>
      <c r="F278" s="79" t="str">
        <f>IF(B277&gt;$C$18,"",IF(COUNTIF(Feriados!$A$2:$B$17,EDATE($C$38,B277))=0,EDATE($C$38,B277),EDATE($C$38,B277)+VLOOKUP(EDATE($C$38,B277),Feriados!$A$2:$B$17,2,FALSE)))</f>
        <v/>
      </c>
      <c r="G278" s="6" t="str">
        <f t="shared" si="81"/>
        <v/>
      </c>
      <c r="H278" s="6" t="str">
        <f t="shared" si="82"/>
        <v/>
      </c>
      <c r="I278" s="8" t="str">
        <f t="shared" si="83"/>
        <v/>
      </c>
      <c r="J278" s="8" t="str">
        <f t="shared" si="69"/>
        <v/>
      </c>
      <c r="K278" s="9" t="str">
        <f t="shared" si="70"/>
        <v/>
      </c>
      <c r="L278" s="9" t="str">
        <f t="shared" si="84"/>
        <v/>
      </c>
      <c r="M278" s="10" t="str">
        <f t="shared" si="71"/>
        <v/>
      </c>
      <c r="N278" s="6" t="str">
        <f t="shared" si="72"/>
        <v/>
      </c>
      <c r="O278" s="9" t="str">
        <f t="shared" si="73"/>
        <v/>
      </c>
      <c r="P278" s="9" t="str">
        <f t="shared" si="74"/>
        <v/>
      </c>
      <c r="Q278" s="9" t="str">
        <f t="shared" si="75"/>
        <v/>
      </c>
      <c r="R278" s="9" t="str">
        <f t="shared" ca="1" si="76"/>
        <v/>
      </c>
      <c r="T278" s="6" t="str">
        <f t="shared" si="85"/>
        <v/>
      </c>
      <c r="U278" s="6" t="str">
        <f t="shared" si="77"/>
        <v/>
      </c>
      <c r="V278" s="10" t="str">
        <f t="shared" si="78"/>
        <v/>
      </c>
      <c r="W278" s="8" t="str">
        <f t="shared" si="79"/>
        <v/>
      </c>
      <c r="X278" s="9">
        <f t="shared" si="86"/>
        <v>0</v>
      </c>
      <c r="Y278" s="9">
        <f t="shared" si="88"/>
        <v>0</v>
      </c>
    </row>
    <row r="279" spans="2:25" x14ac:dyDescent="0.3">
      <c r="B279" s="6">
        <v>242</v>
      </c>
      <c r="C279" s="79" t="str">
        <f t="shared" si="87"/>
        <v/>
      </c>
      <c r="D279" s="6" t="str">
        <f t="shared" si="68"/>
        <v/>
      </c>
      <c r="E279" s="79" t="str">
        <f t="shared" si="80"/>
        <v/>
      </c>
      <c r="F279" s="79" t="str">
        <f>IF(B278&gt;$C$18,"",IF(COUNTIF(Feriados!$A$2:$B$17,EDATE($C$38,B278))=0,EDATE($C$38,B278),EDATE($C$38,B278)+VLOOKUP(EDATE($C$38,B278),Feriados!$A$2:$B$17,2,FALSE)))</f>
        <v/>
      </c>
      <c r="G279" s="6" t="str">
        <f t="shared" si="81"/>
        <v/>
      </c>
      <c r="H279" s="6" t="str">
        <f t="shared" si="82"/>
        <v/>
      </c>
      <c r="I279" s="8" t="str">
        <f t="shared" si="83"/>
        <v/>
      </c>
      <c r="J279" s="8" t="str">
        <f t="shared" si="69"/>
        <v/>
      </c>
      <c r="K279" s="9" t="str">
        <f t="shared" si="70"/>
        <v/>
      </c>
      <c r="L279" s="9" t="str">
        <f t="shared" si="84"/>
        <v/>
      </c>
      <c r="M279" s="10" t="str">
        <f t="shared" si="71"/>
        <v/>
      </c>
      <c r="N279" s="6" t="str">
        <f t="shared" si="72"/>
        <v/>
      </c>
      <c r="O279" s="9" t="str">
        <f t="shared" si="73"/>
        <v/>
      </c>
      <c r="P279" s="9" t="str">
        <f t="shared" si="74"/>
        <v/>
      </c>
      <c r="Q279" s="9" t="str">
        <f t="shared" si="75"/>
        <v/>
      </c>
      <c r="R279" s="9" t="str">
        <f t="shared" ca="1" si="76"/>
        <v/>
      </c>
      <c r="T279" s="6" t="str">
        <f t="shared" si="85"/>
        <v/>
      </c>
      <c r="U279" s="6" t="str">
        <f t="shared" si="77"/>
        <v/>
      </c>
      <c r="V279" s="10" t="str">
        <f t="shared" si="78"/>
        <v/>
      </c>
      <c r="W279" s="8" t="str">
        <f t="shared" si="79"/>
        <v/>
      </c>
      <c r="X279" s="9">
        <f t="shared" si="86"/>
        <v>0</v>
      </c>
      <c r="Y279" s="9">
        <f t="shared" si="88"/>
        <v>0</v>
      </c>
    </row>
    <row r="280" spans="2:25" x14ac:dyDescent="0.3">
      <c r="B280" s="6">
        <v>243</v>
      </c>
      <c r="C280" s="79" t="str">
        <f t="shared" si="87"/>
        <v/>
      </c>
      <c r="D280" s="6" t="str">
        <f t="shared" si="68"/>
        <v/>
      </c>
      <c r="E280" s="79" t="str">
        <f t="shared" si="80"/>
        <v/>
      </c>
      <c r="F280" s="79" t="str">
        <f>IF(B279&gt;$C$18,"",IF(COUNTIF(Feriados!$A$2:$B$17,EDATE($C$38,B279))=0,EDATE($C$38,B279),EDATE($C$38,B279)+VLOOKUP(EDATE($C$38,B279),Feriados!$A$2:$B$17,2,FALSE)))</f>
        <v/>
      </c>
      <c r="G280" s="6" t="str">
        <f t="shared" si="81"/>
        <v/>
      </c>
      <c r="H280" s="6" t="str">
        <f t="shared" si="82"/>
        <v/>
      </c>
      <c r="I280" s="8" t="str">
        <f t="shared" si="83"/>
        <v/>
      </c>
      <c r="J280" s="8" t="str">
        <f t="shared" si="69"/>
        <v/>
      </c>
      <c r="K280" s="9" t="str">
        <f t="shared" si="70"/>
        <v/>
      </c>
      <c r="L280" s="9" t="str">
        <f t="shared" si="84"/>
        <v/>
      </c>
      <c r="M280" s="10" t="str">
        <f t="shared" si="71"/>
        <v/>
      </c>
      <c r="N280" s="6" t="str">
        <f t="shared" si="72"/>
        <v/>
      </c>
      <c r="O280" s="9" t="str">
        <f t="shared" si="73"/>
        <v/>
      </c>
      <c r="P280" s="9" t="str">
        <f t="shared" si="74"/>
        <v/>
      </c>
      <c r="Q280" s="9" t="str">
        <f t="shared" si="75"/>
        <v/>
      </c>
      <c r="R280" s="9" t="str">
        <f t="shared" ca="1" si="76"/>
        <v/>
      </c>
      <c r="T280" s="6" t="str">
        <f t="shared" si="85"/>
        <v/>
      </c>
      <c r="U280" s="6" t="str">
        <f t="shared" si="77"/>
        <v/>
      </c>
      <c r="V280" s="10" t="str">
        <f t="shared" si="78"/>
        <v/>
      </c>
      <c r="W280" s="8" t="str">
        <f t="shared" si="79"/>
        <v/>
      </c>
      <c r="X280" s="9">
        <f t="shared" si="86"/>
        <v>0</v>
      </c>
      <c r="Y280" s="9">
        <f t="shared" si="88"/>
        <v>0</v>
      </c>
    </row>
    <row r="281" spans="2:25" x14ac:dyDescent="0.3">
      <c r="B281" s="6">
        <v>244</v>
      </c>
      <c r="C281" s="79" t="str">
        <f t="shared" si="87"/>
        <v/>
      </c>
      <c r="D281" s="6" t="str">
        <f t="shared" si="68"/>
        <v/>
      </c>
      <c r="E281" s="79" t="str">
        <f t="shared" si="80"/>
        <v/>
      </c>
      <c r="F281" s="79" t="str">
        <f>IF(B280&gt;$C$18,"",IF(COUNTIF(Feriados!$A$2:$B$17,EDATE($C$38,B280))=0,EDATE($C$38,B280),EDATE($C$38,B280)+VLOOKUP(EDATE($C$38,B280),Feriados!$A$2:$B$17,2,FALSE)))</f>
        <v/>
      </c>
      <c r="G281" s="6" t="str">
        <f t="shared" si="81"/>
        <v/>
      </c>
      <c r="H281" s="6" t="str">
        <f t="shared" si="82"/>
        <v/>
      </c>
      <c r="I281" s="8" t="str">
        <f t="shared" si="83"/>
        <v/>
      </c>
      <c r="J281" s="8" t="str">
        <f t="shared" si="69"/>
        <v/>
      </c>
      <c r="K281" s="9" t="str">
        <f t="shared" si="70"/>
        <v/>
      </c>
      <c r="L281" s="9" t="str">
        <f t="shared" si="84"/>
        <v/>
      </c>
      <c r="M281" s="10" t="str">
        <f t="shared" si="71"/>
        <v/>
      </c>
      <c r="N281" s="6" t="str">
        <f t="shared" si="72"/>
        <v/>
      </c>
      <c r="O281" s="9" t="str">
        <f t="shared" si="73"/>
        <v/>
      </c>
      <c r="P281" s="9" t="str">
        <f t="shared" si="74"/>
        <v/>
      </c>
      <c r="Q281" s="9" t="str">
        <f t="shared" si="75"/>
        <v/>
      </c>
      <c r="R281" s="9" t="str">
        <f t="shared" ca="1" si="76"/>
        <v/>
      </c>
      <c r="T281" s="6" t="str">
        <f t="shared" si="85"/>
        <v/>
      </c>
      <c r="U281" s="6" t="str">
        <f t="shared" si="77"/>
        <v/>
      </c>
      <c r="V281" s="10" t="str">
        <f t="shared" si="78"/>
        <v/>
      </c>
      <c r="W281" s="8" t="str">
        <f t="shared" si="79"/>
        <v/>
      </c>
      <c r="X281" s="9">
        <f t="shared" si="86"/>
        <v>0</v>
      </c>
      <c r="Y281" s="9">
        <f t="shared" si="88"/>
        <v>0</v>
      </c>
    </row>
    <row r="282" spans="2:25" x14ac:dyDescent="0.3">
      <c r="B282" s="6">
        <v>245</v>
      </c>
      <c r="C282" s="79" t="str">
        <f t="shared" si="87"/>
        <v/>
      </c>
      <c r="D282" s="6" t="str">
        <f t="shared" si="68"/>
        <v/>
      </c>
      <c r="E282" s="79" t="str">
        <f t="shared" si="80"/>
        <v/>
      </c>
      <c r="F282" s="79" t="str">
        <f>IF(B281&gt;$C$18,"",IF(COUNTIF(Feriados!$A$2:$B$17,EDATE($C$38,B281))=0,EDATE($C$38,B281),EDATE($C$38,B281)+VLOOKUP(EDATE($C$38,B281),Feriados!$A$2:$B$17,2,FALSE)))</f>
        <v/>
      </c>
      <c r="G282" s="6" t="str">
        <f t="shared" si="81"/>
        <v/>
      </c>
      <c r="H282" s="6" t="str">
        <f t="shared" si="82"/>
        <v/>
      </c>
      <c r="I282" s="8" t="str">
        <f t="shared" si="83"/>
        <v/>
      </c>
      <c r="J282" s="8" t="str">
        <f t="shared" si="69"/>
        <v/>
      </c>
      <c r="K282" s="9" t="str">
        <f t="shared" si="70"/>
        <v/>
      </c>
      <c r="L282" s="9" t="str">
        <f t="shared" si="84"/>
        <v/>
      </c>
      <c r="M282" s="10" t="str">
        <f t="shared" si="71"/>
        <v/>
      </c>
      <c r="N282" s="6" t="str">
        <f t="shared" si="72"/>
        <v/>
      </c>
      <c r="O282" s="9" t="str">
        <f t="shared" si="73"/>
        <v/>
      </c>
      <c r="P282" s="9" t="str">
        <f t="shared" si="74"/>
        <v/>
      </c>
      <c r="Q282" s="9" t="str">
        <f t="shared" si="75"/>
        <v/>
      </c>
      <c r="R282" s="9" t="str">
        <f t="shared" ca="1" si="76"/>
        <v/>
      </c>
      <c r="T282" s="6" t="str">
        <f t="shared" si="85"/>
        <v/>
      </c>
      <c r="U282" s="6" t="str">
        <f t="shared" si="77"/>
        <v/>
      </c>
      <c r="V282" s="10" t="str">
        <f t="shared" si="78"/>
        <v/>
      </c>
      <c r="W282" s="8" t="str">
        <f t="shared" si="79"/>
        <v/>
      </c>
      <c r="X282" s="9">
        <f t="shared" si="86"/>
        <v>0</v>
      </c>
      <c r="Y282" s="9">
        <f t="shared" si="88"/>
        <v>0</v>
      </c>
    </row>
    <row r="283" spans="2:25" x14ac:dyDescent="0.3">
      <c r="B283" s="6">
        <v>246</v>
      </c>
      <c r="C283" s="79" t="str">
        <f t="shared" si="87"/>
        <v/>
      </c>
      <c r="D283" s="6" t="str">
        <f t="shared" si="68"/>
        <v/>
      </c>
      <c r="E283" s="79" t="str">
        <f t="shared" si="80"/>
        <v/>
      </c>
      <c r="F283" s="79" t="str">
        <f>IF(B282&gt;$C$18,"",IF(COUNTIF(Feriados!$A$2:$B$17,EDATE($C$38,B282))=0,EDATE($C$38,B282),EDATE($C$38,B282)+VLOOKUP(EDATE($C$38,B282),Feriados!$A$2:$B$17,2,FALSE)))</f>
        <v/>
      </c>
      <c r="G283" s="6" t="str">
        <f t="shared" si="81"/>
        <v/>
      </c>
      <c r="H283" s="6" t="str">
        <f t="shared" si="82"/>
        <v/>
      </c>
      <c r="I283" s="8" t="str">
        <f t="shared" si="83"/>
        <v/>
      </c>
      <c r="J283" s="8" t="str">
        <f t="shared" si="69"/>
        <v/>
      </c>
      <c r="K283" s="9" t="str">
        <f t="shared" si="70"/>
        <v/>
      </c>
      <c r="L283" s="9" t="str">
        <f t="shared" si="84"/>
        <v/>
      </c>
      <c r="M283" s="10" t="str">
        <f t="shared" si="71"/>
        <v/>
      </c>
      <c r="N283" s="6" t="str">
        <f t="shared" si="72"/>
        <v/>
      </c>
      <c r="O283" s="9" t="str">
        <f t="shared" si="73"/>
        <v/>
      </c>
      <c r="P283" s="9" t="str">
        <f t="shared" si="74"/>
        <v/>
      </c>
      <c r="Q283" s="9" t="str">
        <f t="shared" si="75"/>
        <v/>
      </c>
      <c r="R283" s="9" t="str">
        <f t="shared" ca="1" si="76"/>
        <v/>
      </c>
      <c r="T283" s="6" t="str">
        <f t="shared" si="85"/>
        <v/>
      </c>
      <c r="U283" s="6" t="str">
        <f t="shared" si="77"/>
        <v/>
      </c>
      <c r="V283" s="10" t="str">
        <f t="shared" si="78"/>
        <v/>
      </c>
      <c r="W283" s="8" t="str">
        <f t="shared" si="79"/>
        <v/>
      </c>
      <c r="X283" s="9">
        <f t="shared" si="86"/>
        <v>0</v>
      </c>
      <c r="Y283" s="9">
        <f t="shared" si="88"/>
        <v>0</v>
      </c>
    </row>
    <row r="284" spans="2:25" x14ac:dyDescent="0.3">
      <c r="B284" s="6">
        <v>247</v>
      </c>
      <c r="C284" s="79" t="str">
        <f t="shared" si="87"/>
        <v/>
      </c>
      <c r="D284" s="6" t="str">
        <f t="shared" si="68"/>
        <v/>
      </c>
      <c r="E284" s="79" t="str">
        <f t="shared" si="80"/>
        <v/>
      </c>
      <c r="F284" s="79" t="str">
        <f>IF(B283&gt;$C$18,"",IF(COUNTIF(Feriados!$A$2:$B$17,EDATE($C$38,B283))=0,EDATE($C$38,B283),EDATE($C$38,B283)+VLOOKUP(EDATE($C$38,B283),Feriados!$A$2:$B$17,2,FALSE)))</f>
        <v/>
      </c>
      <c r="G284" s="6" t="str">
        <f t="shared" si="81"/>
        <v/>
      </c>
      <c r="H284" s="6" t="str">
        <f t="shared" si="82"/>
        <v/>
      </c>
      <c r="I284" s="8" t="str">
        <f t="shared" si="83"/>
        <v/>
      </c>
      <c r="J284" s="8" t="str">
        <f t="shared" si="69"/>
        <v/>
      </c>
      <c r="K284" s="9" t="str">
        <f t="shared" si="70"/>
        <v/>
      </c>
      <c r="L284" s="9" t="str">
        <f t="shared" si="84"/>
        <v/>
      </c>
      <c r="M284" s="10" t="str">
        <f t="shared" si="71"/>
        <v/>
      </c>
      <c r="N284" s="6" t="str">
        <f t="shared" si="72"/>
        <v/>
      </c>
      <c r="O284" s="9" t="str">
        <f t="shared" si="73"/>
        <v/>
      </c>
      <c r="P284" s="9" t="str">
        <f t="shared" si="74"/>
        <v/>
      </c>
      <c r="Q284" s="9" t="str">
        <f t="shared" si="75"/>
        <v/>
      </c>
      <c r="R284" s="9" t="str">
        <f t="shared" ca="1" si="76"/>
        <v/>
      </c>
      <c r="T284" s="6" t="str">
        <f t="shared" si="85"/>
        <v/>
      </c>
      <c r="U284" s="6" t="str">
        <f t="shared" si="77"/>
        <v/>
      </c>
      <c r="V284" s="10" t="str">
        <f t="shared" si="78"/>
        <v/>
      </c>
      <c r="W284" s="8" t="str">
        <f t="shared" si="79"/>
        <v/>
      </c>
      <c r="X284" s="9">
        <f t="shared" si="86"/>
        <v>0</v>
      </c>
      <c r="Y284" s="9">
        <f t="shared" si="88"/>
        <v>0</v>
      </c>
    </row>
    <row r="285" spans="2:25" x14ac:dyDescent="0.3">
      <c r="B285" s="6">
        <v>248</v>
      </c>
      <c r="C285" s="79" t="str">
        <f t="shared" si="87"/>
        <v/>
      </c>
      <c r="D285" s="6" t="str">
        <f t="shared" si="68"/>
        <v/>
      </c>
      <c r="E285" s="79" t="str">
        <f t="shared" si="80"/>
        <v/>
      </c>
      <c r="F285" s="79" t="str">
        <f>IF(B284&gt;$C$18,"",IF(COUNTIF(Feriados!$A$2:$B$17,EDATE($C$38,B284))=0,EDATE($C$38,B284),EDATE($C$38,B284)+VLOOKUP(EDATE($C$38,B284),Feriados!$A$2:$B$17,2,FALSE)))</f>
        <v/>
      </c>
      <c r="G285" s="6" t="str">
        <f t="shared" si="81"/>
        <v/>
      </c>
      <c r="H285" s="6" t="str">
        <f t="shared" si="82"/>
        <v/>
      </c>
      <c r="I285" s="8" t="str">
        <f t="shared" si="83"/>
        <v/>
      </c>
      <c r="J285" s="8" t="str">
        <f t="shared" si="69"/>
        <v/>
      </c>
      <c r="K285" s="9" t="str">
        <f t="shared" si="70"/>
        <v/>
      </c>
      <c r="L285" s="9" t="str">
        <f t="shared" si="84"/>
        <v/>
      </c>
      <c r="M285" s="10" t="str">
        <f t="shared" si="71"/>
        <v/>
      </c>
      <c r="N285" s="6" t="str">
        <f t="shared" si="72"/>
        <v/>
      </c>
      <c r="O285" s="9" t="str">
        <f t="shared" si="73"/>
        <v/>
      </c>
      <c r="P285" s="9" t="str">
        <f t="shared" si="74"/>
        <v/>
      </c>
      <c r="Q285" s="9" t="str">
        <f t="shared" si="75"/>
        <v/>
      </c>
      <c r="R285" s="9" t="str">
        <f t="shared" ca="1" si="76"/>
        <v/>
      </c>
      <c r="T285" s="6" t="str">
        <f t="shared" si="85"/>
        <v/>
      </c>
      <c r="U285" s="6" t="str">
        <f t="shared" si="77"/>
        <v/>
      </c>
      <c r="V285" s="10" t="str">
        <f t="shared" si="78"/>
        <v/>
      </c>
      <c r="W285" s="8" t="str">
        <f t="shared" si="79"/>
        <v/>
      </c>
      <c r="X285" s="9">
        <f t="shared" si="86"/>
        <v>0</v>
      </c>
      <c r="Y285" s="9">
        <f t="shared" si="88"/>
        <v>0</v>
      </c>
    </row>
    <row r="286" spans="2:25" x14ac:dyDescent="0.3">
      <c r="B286" s="6">
        <v>249</v>
      </c>
      <c r="C286" s="79" t="str">
        <f t="shared" si="87"/>
        <v/>
      </c>
      <c r="D286" s="6" t="str">
        <f t="shared" si="68"/>
        <v/>
      </c>
      <c r="E286" s="79" t="str">
        <f t="shared" si="80"/>
        <v/>
      </c>
      <c r="F286" s="79" t="str">
        <f>IF(B285&gt;$C$18,"",IF(COUNTIF(Feriados!$A$2:$B$17,EDATE($C$38,B285))=0,EDATE($C$38,B285),EDATE($C$38,B285)+VLOOKUP(EDATE($C$38,B285),Feriados!$A$2:$B$17,2,FALSE)))</f>
        <v/>
      </c>
      <c r="G286" s="6" t="str">
        <f t="shared" si="81"/>
        <v/>
      </c>
      <c r="H286" s="6" t="str">
        <f t="shared" si="82"/>
        <v/>
      </c>
      <c r="I286" s="8" t="str">
        <f t="shared" si="83"/>
        <v/>
      </c>
      <c r="J286" s="8" t="str">
        <f t="shared" si="69"/>
        <v/>
      </c>
      <c r="K286" s="9" t="str">
        <f t="shared" si="70"/>
        <v/>
      </c>
      <c r="L286" s="9" t="str">
        <f t="shared" si="84"/>
        <v/>
      </c>
      <c r="M286" s="10" t="str">
        <f t="shared" si="71"/>
        <v/>
      </c>
      <c r="N286" s="6" t="str">
        <f t="shared" si="72"/>
        <v/>
      </c>
      <c r="O286" s="9" t="str">
        <f t="shared" si="73"/>
        <v/>
      </c>
      <c r="P286" s="9" t="str">
        <f t="shared" si="74"/>
        <v/>
      </c>
      <c r="Q286" s="9" t="str">
        <f t="shared" si="75"/>
        <v/>
      </c>
      <c r="R286" s="9" t="str">
        <f t="shared" ca="1" si="76"/>
        <v/>
      </c>
      <c r="T286" s="6" t="str">
        <f t="shared" si="85"/>
        <v/>
      </c>
      <c r="U286" s="6" t="str">
        <f t="shared" si="77"/>
        <v/>
      </c>
      <c r="V286" s="10" t="str">
        <f t="shared" si="78"/>
        <v/>
      </c>
      <c r="W286" s="8" t="str">
        <f t="shared" si="79"/>
        <v/>
      </c>
      <c r="X286" s="9">
        <f t="shared" si="86"/>
        <v>0</v>
      </c>
      <c r="Y286" s="9">
        <f t="shared" si="88"/>
        <v>0</v>
      </c>
    </row>
    <row r="287" spans="2:25" x14ac:dyDescent="0.3">
      <c r="B287" s="6">
        <v>250</v>
      </c>
      <c r="C287" s="79" t="str">
        <f t="shared" si="87"/>
        <v/>
      </c>
      <c r="D287" s="6" t="str">
        <f t="shared" si="68"/>
        <v/>
      </c>
      <c r="E287" s="79" t="str">
        <f t="shared" si="80"/>
        <v/>
      </c>
      <c r="F287" s="79" t="str">
        <f>IF(B286&gt;$C$18,"",IF(COUNTIF(Feriados!$A$2:$B$17,EDATE($C$38,B286))=0,EDATE($C$38,B286),EDATE($C$38,B286)+VLOOKUP(EDATE($C$38,B286),Feriados!$A$2:$B$17,2,FALSE)))</f>
        <v/>
      </c>
      <c r="G287" s="6" t="str">
        <f t="shared" si="81"/>
        <v/>
      </c>
      <c r="H287" s="6" t="str">
        <f t="shared" si="82"/>
        <v/>
      </c>
      <c r="I287" s="8" t="str">
        <f t="shared" si="83"/>
        <v/>
      </c>
      <c r="J287" s="8" t="str">
        <f t="shared" si="69"/>
        <v/>
      </c>
      <c r="K287" s="9" t="str">
        <f t="shared" si="70"/>
        <v/>
      </c>
      <c r="L287" s="9" t="str">
        <f t="shared" si="84"/>
        <v/>
      </c>
      <c r="M287" s="10" t="str">
        <f t="shared" si="71"/>
        <v/>
      </c>
      <c r="N287" s="6" t="str">
        <f t="shared" si="72"/>
        <v/>
      </c>
      <c r="O287" s="9" t="str">
        <f t="shared" si="73"/>
        <v/>
      </c>
      <c r="P287" s="9" t="str">
        <f t="shared" si="74"/>
        <v/>
      </c>
      <c r="Q287" s="9" t="str">
        <f t="shared" si="75"/>
        <v/>
      </c>
      <c r="R287" s="9" t="str">
        <f t="shared" ca="1" si="76"/>
        <v/>
      </c>
      <c r="T287" s="6" t="str">
        <f t="shared" si="85"/>
        <v/>
      </c>
      <c r="U287" s="6" t="str">
        <f t="shared" si="77"/>
        <v/>
      </c>
      <c r="V287" s="10" t="str">
        <f t="shared" si="78"/>
        <v/>
      </c>
      <c r="W287" s="8" t="str">
        <f t="shared" si="79"/>
        <v/>
      </c>
      <c r="X287" s="9">
        <f t="shared" si="86"/>
        <v>0</v>
      </c>
      <c r="Y287" s="9">
        <f t="shared" si="88"/>
        <v>0</v>
      </c>
    </row>
    <row r="288" spans="2:25" x14ac:dyDescent="0.3">
      <c r="B288" s="6">
        <v>251</v>
      </c>
      <c r="C288" s="79" t="str">
        <f t="shared" si="87"/>
        <v/>
      </c>
      <c r="D288" s="6" t="str">
        <f t="shared" si="68"/>
        <v/>
      </c>
      <c r="E288" s="79" t="str">
        <f t="shared" si="80"/>
        <v/>
      </c>
      <c r="F288" s="79" t="str">
        <f>IF(B287&gt;$C$18,"",IF(COUNTIF(Feriados!$A$2:$B$17,EDATE($C$38,B287))=0,EDATE($C$38,B287),EDATE($C$38,B287)+VLOOKUP(EDATE($C$38,B287),Feriados!$A$2:$B$17,2,FALSE)))</f>
        <v/>
      </c>
      <c r="G288" s="6" t="str">
        <f t="shared" si="81"/>
        <v/>
      </c>
      <c r="H288" s="6" t="str">
        <f t="shared" si="82"/>
        <v/>
      </c>
      <c r="I288" s="8" t="str">
        <f t="shared" si="83"/>
        <v/>
      </c>
      <c r="J288" s="8" t="str">
        <f t="shared" si="69"/>
        <v/>
      </c>
      <c r="K288" s="9" t="str">
        <f t="shared" si="70"/>
        <v/>
      </c>
      <c r="L288" s="9" t="str">
        <f t="shared" si="84"/>
        <v/>
      </c>
      <c r="M288" s="10" t="str">
        <f t="shared" si="71"/>
        <v/>
      </c>
      <c r="N288" s="6" t="str">
        <f t="shared" si="72"/>
        <v/>
      </c>
      <c r="O288" s="9" t="str">
        <f t="shared" si="73"/>
        <v/>
      </c>
      <c r="P288" s="9" t="str">
        <f t="shared" si="74"/>
        <v/>
      </c>
      <c r="Q288" s="9" t="str">
        <f t="shared" si="75"/>
        <v/>
      </c>
      <c r="R288" s="9" t="str">
        <f t="shared" ca="1" si="76"/>
        <v/>
      </c>
      <c r="T288" s="6" t="str">
        <f t="shared" si="85"/>
        <v/>
      </c>
      <c r="U288" s="6" t="str">
        <f t="shared" si="77"/>
        <v/>
      </c>
      <c r="V288" s="10" t="str">
        <f t="shared" si="78"/>
        <v/>
      </c>
      <c r="W288" s="8" t="str">
        <f t="shared" si="79"/>
        <v/>
      </c>
      <c r="X288" s="9">
        <f t="shared" si="86"/>
        <v>0</v>
      </c>
      <c r="Y288" s="9">
        <f t="shared" si="88"/>
        <v>0</v>
      </c>
    </row>
    <row r="289" spans="2:25" x14ac:dyDescent="0.3">
      <c r="B289" s="6">
        <v>252</v>
      </c>
      <c r="C289" s="79" t="str">
        <f t="shared" si="87"/>
        <v/>
      </c>
      <c r="D289" s="6" t="str">
        <f t="shared" si="68"/>
        <v/>
      </c>
      <c r="E289" s="79" t="str">
        <f t="shared" si="80"/>
        <v/>
      </c>
      <c r="F289" s="79" t="str">
        <f>IF(B288&gt;$C$18,"",IF(COUNTIF(Feriados!$A$2:$B$17,EDATE($C$38,B288))=0,EDATE($C$38,B288),EDATE($C$38,B288)+VLOOKUP(EDATE($C$38,B288),Feriados!$A$2:$B$17,2,FALSE)))</f>
        <v/>
      </c>
      <c r="G289" s="6" t="str">
        <f t="shared" si="81"/>
        <v/>
      </c>
      <c r="H289" s="6" t="str">
        <f t="shared" si="82"/>
        <v/>
      </c>
      <c r="I289" s="8" t="str">
        <f t="shared" si="83"/>
        <v/>
      </c>
      <c r="J289" s="8" t="str">
        <f t="shared" si="69"/>
        <v/>
      </c>
      <c r="K289" s="9" t="str">
        <f t="shared" si="70"/>
        <v/>
      </c>
      <c r="L289" s="9" t="str">
        <f t="shared" si="84"/>
        <v/>
      </c>
      <c r="M289" s="10" t="str">
        <f t="shared" si="71"/>
        <v/>
      </c>
      <c r="N289" s="6" t="str">
        <f t="shared" si="72"/>
        <v/>
      </c>
      <c r="O289" s="9" t="str">
        <f t="shared" si="73"/>
        <v/>
      </c>
      <c r="P289" s="9" t="str">
        <f t="shared" si="74"/>
        <v/>
      </c>
      <c r="Q289" s="9" t="str">
        <f t="shared" si="75"/>
        <v/>
      </c>
      <c r="R289" s="9" t="str">
        <f t="shared" ca="1" si="76"/>
        <v/>
      </c>
      <c r="T289" s="6" t="str">
        <f t="shared" si="85"/>
        <v/>
      </c>
      <c r="U289" s="6" t="str">
        <f t="shared" si="77"/>
        <v/>
      </c>
      <c r="V289" s="10" t="str">
        <f t="shared" si="78"/>
        <v/>
      </c>
      <c r="W289" s="8" t="str">
        <f t="shared" si="79"/>
        <v/>
      </c>
      <c r="X289" s="9">
        <f t="shared" si="86"/>
        <v>0</v>
      </c>
      <c r="Y289" s="9">
        <f t="shared" si="88"/>
        <v>0</v>
      </c>
    </row>
    <row r="290" spans="2:25" x14ac:dyDescent="0.3">
      <c r="B290" s="6">
        <v>253</v>
      </c>
      <c r="C290" s="79" t="str">
        <f t="shared" si="87"/>
        <v/>
      </c>
      <c r="D290" s="6" t="str">
        <f t="shared" si="68"/>
        <v/>
      </c>
      <c r="E290" s="79" t="str">
        <f t="shared" si="80"/>
        <v/>
      </c>
      <c r="F290" s="79" t="str">
        <f>IF(B289&gt;$C$18,"",IF(COUNTIF(Feriados!$A$2:$B$17,EDATE($C$38,B289))=0,EDATE($C$38,B289),EDATE($C$38,B289)+VLOOKUP(EDATE($C$38,B289),Feriados!$A$2:$B$17,2,FALSE)))</f>
        <v/>
      </c>
      <c r="G290" s="6" t="str">
        <f t="shared" si="81"/>
        <v/>
      </c>
      <c r="H290" s="6" t="str">
        <f t="shared" si="82"/>
        <v/>
      </c>
      <c r="I290" s="8" t="str">
        <f t="shared" si="83"/>
        <v/>
      </c>
      <c r="J290" s="8" t="str">
        <f t="shared" si="69"/>
        <v/>
      </c>
      <c r="K290" s="9" t="str">
        <f t="shared" si="70"/>
        <v/>
      </c>
      <c r="L290" s="9" t="str">
        <f t="shared" si="84"/>
        <v/>
      </c>
      <c r="M290" s="10" t="str">
        <f t="shared" si="71"/>
        <v/>
      </c>
      <c r="N290" s="6" t="str">
        <f t="shared" si="72"/>
        <v/>
      </c>
      <c r="O290" s="9" t="str">
        <f t="shared" si="73"/>
        <v/>
      </c>
      <c r="P290" s="9" t="str">
        <f t="shared" si="74"/>
        <v/>
      </c>
      <c r="Q290" s="9" t="str">
        <f t="shared" si="75"/>
        <v/>
      </c>
      <c r="R290" s="9" t="str">
        <f t="shared" ca="1" si="76"/>
        <v/>
      </c>
      <c r="T290" s="6" t="str">
        <f t="shared" si="85"/>
        <v/>
      </c>
      <c r="U290" s="6" t="str">
        <f t="shared" si="77"/>
        <v/>
      </c>
      <c r="V290" s="10" t="str">
        <f t="shared" si="78"/>
        <v/>
      </c>
      <c r="W290" s="8" t="str">
        <f t="shared" si="79"/>
        <v/>
      </c>
      <c r="X290" s="9">
        <f t="shared" si="86"/>
        <v>0</v>
      </c>
      <c r="Y290" s="9">
        <f t="shared" si="88"/>
        <v>0</v>
      </c>
    </row>
    <row r="291" spans="2:25" x14ac:dyDescent="0.3">
      <c r="B291" s="6">
        <v>254</v>
      </c>
      <c r="C291" s="79" t="str">
        <f t="shared" si="87"/>
        <v/>
      </c>
      <c r="D291" s="6" t="str">
        <f t="shared" si="68"/>
        <v/>
      </c>
      <c r="E291" s="79" t="str">
        <f t="shared" si="80"/>
        <v/>
      </c>
      <c r="F291" s="79" t="str">
        <f>IF(B290&gt;$C$18,"",IF(COUNTIF(Feriados!$A$2:$B$17,EDATE($C$38,B290))=0,EDATE($C$38,B290),EDATE($C$38,B290)+VLOOKUP(EDATE($C$38,B290),Feriados!$A$2:$B$17,2,FALSE)))</f>
        <v/>
      </c>
      <c r="G291" s="6" t="str">
        <f t="shared" si="81"/>
        <v/>
      </c>
      <c r="H291" s="6" t="str">
        <f t="shared" si="82"/>
        <v/>
      </c>
      <c r="I291" s="8" t="str">
        <f t="shared" si="83"/>
        <v/>
      </c>
      <c r="J291" s="8" t="str">
        <f t="shared" si="69"/>
        <v/>
      </c>
      <c r="K291" s="9" t="str">
        <f t="shared" si="70"/>
        <v/>
      </c>
      <c r="L291" s="9" t="str">
        <f t="shared" si="84"/>
        <v/>
      </c>
      <c r="M291" s="10" t="str">
        <f t="shared" si="71"/>
        <v/>
      </c>
      <c r="N291" s="6" t="str">
        <f t="shared" si="72"/>
        <v/>
      </c>
      <c r="O291" s="9" t="str">
        <f t="shared" si="73"/>
        <v/>
      </c>
      <c r="P291" s="9" t="str">
        <f t="shared" si="74"/>
        <v/>
      </c>
      <c r="Q291" s="9" t="str">
        <f t="shared" si="75"/>
        <v/>
      </c>
      <c r="R291" s="9" t="str">
        <f t="shared" ca="1" si="76"/>
        <v/>
      </c>
      <c r="T291" s="6" t="str">
        <f t="shared" si="85"/>
        <v/>
      </c>
      <c r="U291" s="6" t="str">
        <f t="shared" si="77"/>
        <v/>
      </c>
      <c r="V291" s="10" t="str">
        <f t="shared" si="78"/>
        <v/>
      </c>
      <c r="W291" s="8" t="str">
        <f t="shared" si="79"/>
        <v/>
      </c>
      <c r="X291" s="9">
        <f t="shared" si="86"/>
        <v>0</v>
      </c>
      <c r="Y291" s="9">
        <f t="shared" si="88"/>
        <v>0</v>
      </c>
    </row>
    <row r="292" spans="2:25" x14ac:dyDescent="0.3">
      <c r="B292" s="6">
        <v>255</v>
      </c>
      <c r="C292" s="79" t="str">
        <f t="shared" si="87"/>
        <v/>
      </c>
      <c r="D292" s="6" t="str">
        <f t="shared" si="68"/>
        <v/>
      </c>
      <c r="E292" s="79" t="str">
        <f t="shared" si="80"/>
        <v/>
      </c>
      <c r="F292" s="79" t="str">
        <f>IF(B291&gt;$C$18,"",IF(COUNTIF(Feriados!$A$2:$B$17,EDATE($C$38,B291))=0,EDATE($C$38,B291),EDATE($C$38,B291)+VLOOKUP(EDATE($C$38,B291),Feriados!$A$2:$B$17,2,FALSE)))</f>
        <v/>
      </c>
      <c r="G292" s="6" t="str">
        <f t="shared" si="81"/>
        <v/>
      </c>
      <c r="H292" s="6" t="str">
        <f t="shared" si="82"/>
        <v/>
      </c>
      <c r="I292" s="8" t="str">
        <f t="shared" si="83"/>
        <v/>
      </c>
      <c r="J292" s="8" t="str">
        <f t="shared" si="69"/>
        <v/>
      </c>
      <c r="K292" s="9" t="str">
        <f t="shared" si="70"/>
        <v/>
      </c>
      <c r="L292" s="9" t="str">
        <f t="shared" si="84"/>
        <v/>
      </c>
      <c r="M292" s="10" t="str">
        <f t="shared" si="71"/>
        <v/>
      </c>
      <c r="N292" s="6" t="str">
        <f t="shared" si="72"/>
        <v/>
      </c>
      <c r="O292" s="9" t="str">
        <f t="shared" si="73"/>
        <v/>
      </c>
      <c r="P292" s="9" t="str">
        <f t="shared" si="74"/>
        <v/>
      </c>
      <c r="Q292" s="9" t="str">
        <f t="shared" si="75"/>
        <v/>
      </c>
      <c r="R292" s="9" t="str">
        <f t="shared" ca="1" si="76"/>
        <v/>
      </c>
      <c r="T292" s="6" t="str">
        <f t="shared" si="85"/>
        <v/>
      </c>
      <c r="U292" s="6" t="str">
        <f t="shared" si="77"/>
        <v/>
      </c>
      <c r="V292" s="10" t="str">
        <f t="shared" si="78"/>
        <v/>
      </c>
      <c r="W292" s="8" t="str">
        <f t="shared" si="79"/>
        <v/>
      </c>
      <c r="X292" s="9">
        <f t="shared" si="86"/>
        <v>0</v>
      </c>
      <c r="Y292" s="9">
        <f t="shared" si="88"/>
        <v>0</v>
      </c>
    </row>
    <row r="293" spans="2:25" x14ac:dyDescent="0.3">
      <c r="B293" s="6">
        <v>256</v>
      </c>
      <c r="C293" s="79" t="str">
        <f t="shared" si="87"/>
        <v/>
      </c>
      <c r="D293" s="6" t="str">
        <f t="shared" si="68"/>
        <v/>
      </c>
      <c r="E293" s="79" t="str">
        <f t="shared" si="80"/>
        <v/>
      </c>
      <c r="F293" s="79" t="str">
        <f>IF(B292&gt;$C$18,"",IF(COUNTIF(Feriados!$A$2:$B$17,EDATE($C$38,B292))=0,EDATE($C$38,B292),EDATE($C$38,B292)+VLOOKUP(EDATE($C$38,B292),Feriados!$A$2:$B$17,2,FALSE)))</f>
        <v/>
      </c>
      <c r="G293" s="6" t="str">
        <f t="shared" si="81"/>
        <v/>
      </c>
      <c r="H293" s="6" t="str">
        <f t="shared" si="82"/>
        <v/>
      </c>
      <c r="I293" s="8" t="str">
        <f t="shared" si="83"/>
        <v/>
      </c>
      <c r="J293" s="8" t="str">
        <f t="shared" si="69"/>
        <v/>
      </c>
      <c r="K293" s="9" t="str">
        <f t="shared" si="70"/>
        <v/>
      </c>
      <c r="L293" s="9" t="str">
        <f t="shared" si="84"/>
        <v/>
      </c>
      <c r="M293" s="10" t="str">
        <f t="shared" si="71"/>
        <v/>
      </c>
      <c r="N293" s="6" t="str">
        <f t="shared" si="72"/>
        <v/>
      </c>
      <c r="O293" s="9" t="str">
        <f t="shared" si="73"/>
        <v/>
      </c>
      <c r="P293" s="9" t="str">
        <f t="shared" si="74"/>
        <v/>
      </c>
      <c r="Q293" s="9" t="str">
        <f t="shared" si="75"/>
        <v/>
      </c>
      <c r="R293" s="9" t="str">
        <f t="shared" ca="1" si="76"/>
        <v/>
      </c>
      <c r="T293" s="6" t="str">
        <f t="shared" si="85"/>
        <v/>
      </c>
      <c r="U293" s="6" t="str">
        <f t="shared" si="77"/>
        <v/>
      </c>
      <c r="V293" s="10" t="str">
        <f t="shared" si="78"/>
        <v/>
      </c>
      <c r="W293" s="8" t="str">
        <f t="shared" si="79"/>
        <v/>
      </c>
      <c r="X293" s="9">
        <f t="shared" si="86"/>
        <v>0</v>
      </c>
      <c r="Y293" s="9">
        <f t="shared" si="88"/>
        <v>0</v>
      </c>
    </row>
    <row r="294" spans="2:25" x14ac:dyDescent="0.3">
      <c r="B294" s="6">
        <v>257</v>
      </c>
      <c r="C294" s="79" t="str">
        <f t="shared" si="87"/>
        <v/>
      </c>
      <c r="D294" s="6" t="str">
        <f t="shared" ref="D294:D357" si="89">IF(B294&lt;=$C$18,WEEKDAY(C294,2),"")</f>
        <v/>
      </c>
      <c r="E294" s="79" t="str">
        <f t="shared" si="80"/>
        <v/>
      </c>
      <c r="F294" s="79" t="str">
        <f>IF(B293&gt;$C$18,"",IF(COUNTIF(Feriados!$A$2:$B$17,EDATE($C$38,B293))=0,EDATE($C$38,B293),EDATE($C$38,B293)+VLOOKUP(EDATE($C$38,B293),Feriados!$A$2:$B$17,2,FALSE)))</f>
        <v/>
      </c>
      <c r="G294" s="6" t="str">
        <f t="shared" si="81"/>
        <v/>
      </c>
      <c r="H294" s="6" t="str">
        <f t="shared" si="82"/>
        <v/>
      </c>
      <c r="I294" s="8" t="str">
        <f t="shared" si="83"/>
        <v/>
      </c>
      <c r="J294" s="8" t="str">
        <f t="shared" ref="J294:J357" si="90">IF(B294&gt;C$18,"",O294-N294-M294-L294-K294)</f>
        <v/>
      </c>
      <c r="K294" s="9" t="str">
        <f t="shared" ref="K294:K357" si="91">IF(B294&gt;C$18,"",((1+C$25)^(G294/360)-1)*I294)</f>
        <v/>
      </c>
      <c r="L294" s="9" t="str">
        <f t="shared" si="84"/>
        <v/>
      </c>
      <c r="M294" s="10" t="str">
        <f t="shared" ref="M294:M357" si="92">IF(B294&gt;C$18,"",C$27*C$28)</f>
        <v/>
      </c>
      <c r="N294" s="6" t="str">
        <f t="shared" ref="N294:N357" si="93">IF(B294&gt;C$18,"",C$29)</f>
        <v/>
      </c>
      <c r="O294" s="9" t="str">
        <f t="shared" ref="O294:O357" si="94">IF(B294&gt;C$18,"",IF(B294=C$18,I294+K294+L294+M294+N294,IF(AND(C$23=2,MONTH(E294)=7),2*C$30,IF(AND(C$24=2,MONTH(E294)=12),2*C$30,C$30))))</f>
        <v/>
      </c>
      <c r="P294" s="9" t="str">
        <f t="shared" ref="P294:P357" si="95">IF(B294&gt;C$18,"",I294-J294)</f>
        <v/>
      </c>
      <c r="Q294" s="9" t="str">
        <f t="shared" ref="Q294:Q357" si="96">IFERROR(IF(AND(MONTH(E294)=7,C$23=2),2/(1+C$26)^(H294/360),IF(AND(MONTH(E294)=12,C$24=2),2/(1+C$26)^(H294/360),1/(1+C$26)^(H294/360))),"")</f>
        <v/>
      </c>
      <c r="R294" s="9" t="str">
        <f t="shared" ref="R294:R357" ca="1" si="97">IFERROR(1/(1+C$26)^(H294/360),"")</f>
        <v/>
      </c>
      <c r="T294" s="6" t="str">
        <f t="shared" si="85"/>
        <v/>
      </c>
      <c r="U294" s="6" t="str">
        <f t="shared" ref="U294:U357" si="98">H294</f>
        <v/>
      </c>
      <c r="V294" s="10" t="str">
        <f t="shared" ref="V294:V357" si="99">IFERROR((1+C$32)^(U294/360),"")</f>
        <v/>
      </c>
      <c r="W294" s="8" t="str">
        <f t="shared" ref="W294:W357" si="100">IFERROR(ROUND(T294/V294,2),"")</f>
        <v/>
      </c>
      <c r="X294" s="9">
        <f t="shared" si="86"/>
        <v>0</v>
      </c>
      <c r="Y294" s="9">
        <f t="shared" si="88"/>
        <v>0</v>
      </c>
    </row>
    <row r="295" spans="2:25" x14ac:dyDescent="0.3">
      <c r="B295" s="6">
        <v>258</v>
      </c>
      <c r="C295" s="79" t="str">
        <f t="shared" si="87"/>
        <v/>
      </c>
      <c r="D295" s="6" t="str">
        <f t="shared" si="89"/>
        <v/>
      </c>
      <c r="E295" s="79" t="str">
        <f t="shared" ref="E295:E358" si="101">IF(D295=7,C295+1,C295)</f>
        <v/>
      </c>
      <c r="F295" s="79" t="str">
        <f>IF(B294&gt;$C$18,"",IF(COUNTIF(Feriados!$A$2:$B$17,EDATE($C$38,B294))=0,EDATE($C$38,B294),EDATE($C$38,B294)+VLOOKUP(EDATE($C$38,B294),Feriados!$A$2:$B$17,2,FALSE)))</f>
        <v/>
      </c>
      <c r="G295" s="6" t="str">
        <f t="shared" ref="G295:G358" si="102">IF(B295&gt;C$18,"",E295-E294)</f>
        <v/>
      </c>
      <c r="H295" s="6" t="str">
        <f t="shared" ref="H295:H358" si="103">IFERROR(G295+H294,"")</f>
        <v/>
      </c>
      <c r="I295" s="8" t="str">
        <f t="shared" ref="I295:I358" si="104">IF(B295&gt;C$18,"",P294)</f>
        <v/>
      </c>
      <c r="J295" s="8" t="str">
        <f t="shared" si="90"/>
        <v/>
      </c>
      <c r="K295" s="9" t="str">
        <f t="shared" si="91"/>
        <v/>
      </c>
      <c r="L295" s="9" t="str">
        <f t="shared" ref="L295:L358" si="105">IF(B295&gt;C$18,"",((1+C$13)^(G295/30)-1)*I295)</f>
        <v/>
      </c>
      <c r="M295" s="10" t="str">
        <f t="shared" si="92"/>
        <v/>
      </c>
      <c r="N295" s="6" t="str">
        <f t="shared" si="93"/>
        <v/>
      </c>
      <c r="O295" s="9" t="str">
        <f t="shared" si="94"/>
        <v/>
      </c>
      <c r="P295" s="9" t="str">
        <f t="shared" si="95"/>
        <v/>
      </c>
      <c r="Q295" s="9" t="str">
        <f t="shared" si="96"/>
        <v/>
      </c>
      <c r="R295" s="9" t="str">
        <f t="shared" ca="1" si="97"/>
        <v/>
      </c>
      <c r="T295" s="6" t="str">
        <f t="shared" ref="T295:T358" si="106">IFERROR(J295+K295+L295+M295+N295,"")</f>
        <v/>
      </c>
      <c r="U295" s="6" t="str">
        <f t="shared" si="98"/>
        <v/>
      </c>
      <c r="V295" s="10" t="str">
        <f t="shared" si="99"/>
        <v/>
      </c>
      <c r="W295" s="8" t="str">
        <f t="shared" si="100"/>
        <v/>
      </c>
      <c r="X295" s="9">
        <f t="shared" ref="X295:X358" si="107">IF(O295="",0,L295/((1+$I$9)^B295))</f>
        <v>0</v>
      </c>
      <c r="Y295" s="9">
        <f t="shared" si="88"/>
        <v>0</v>
      </c>
    </row>
    <row r="296" spans="2:25" x14ac:dyDescent="0.3">
      <c r="B296" s="6">
        <v>259</v>
      </c>
      <c r="C296" s="79" t="str">
        <f t="shared" ref="C296:C359" si="108">IF(B296&gt;$C$18,"",IF(WEEKDAY(F296,2)=7,F296+1,F296))</f>
        <v/>
      </c>
      <c r="D296" s="6" t="str">
        <f t="shared" si="89"/>
        <v/>
      </c>
      <c r="E296" s="79" t="str">
        <f t="shared" si="101"/>
        <v/>
      </c>
      <c r="F296" s="79" t="str">
        <f>IF(B295&gt;$C$18,"",IF(COUNTIF(Feriados!$A$2:$B$17,EDATE($C$38,B295))=0,EDATE($C$38,B295),EDATE($C$38,B295)+VLOOKUP(EDATE($C$38,B295),Feriados!$A$2:$B$17,2,FALSE)))</f>
        <v/>
      </c>
      <c r="G296" s="6" t="str">
        <f t="shared" si="102"/>
        <v/>
      </c>
      <c r="H296" s="6" t="str">
        <f t="shared" si="103"/>
        <v/>
      </c>
      <c r="I296" s="8" t="str">
        <f t="shared" si="104"/>
        <v/>
      </c>
      <c r="J296" s="8" t="str">
        <f t="shared" si="90"/>
        <v/>
      </c>
      <c r="K296" s="9" t="str">
        <f t="shared" si="91"/>
        <v/>
      </c>
      <c r="L296" s="9" t="str">
        <f t="shared" si="105"/>
        <v/>
      </c>
      <c r="M296" s="10" t="str">
        <f t="shared" si="92"/>
        <v/>
      </c>
      <c r="N296" s="6" t="str">
        <f t="shared" si="93"/>
        <v/>
      </c>
      <c r="O296" s="9" t="str">
        <f t="shared" si="94"/>
        <v/>
      </c>
      <c r="P296" s="9" t="str">
        <f t="shared" si="95"/>
        <v/>
      </c>
      <c r="Q296" s="9" t="str">
        <f t="shared" si="96"/>
        <v/>
      </c>
      <c r="R296" s="9" t="str">
        <f t="shared" ca="1" si="97"/>
        <v/>
      </c>
      <c r="T296" s="6" t="str">
        <f t="shared" si="106"/>
        <v/>
      </c>
      <c r="U296" s="6" t="str">
        <f t="shared" si="98"/>
        <v/>
      </c>
      <c r="V296" s="10" t="str">
        <f t="shared" si="99"/>
        <v/>
      </c>
      <c r="W296" s="8" t="str">
        <f t="shared" si="100"/>
        <v/>
      </c>
      <c r="X296" s="9">
        <f t="shared" si="107"/>
        <v>0</v>
      </c>
      <c r="Y296" s="9">
        <f t="shared" ref="Y296:Y359" si="109">IF(O296="",0,L296/((1+$Q$30)^B296))</f>
        <v>0</v>
      </c>
    </row>
    <row r="297" spans="2:25" x14ac:dyDescent="0.3">
      <c r="B297" s="6">
        <v>260</v>
      </c>
      <c r="C297" s="79" t="str">
        <f t="shared" si="108"/>
        <v/>
      </c>
      <c r="D297" s="6" t="str">
        <f t="shared" si="89"/>
        <v/>
      </c>
      <c r="E297" s="79" t="str">
        <f t="shared" si="101"/>
        <v/>
      </c>
      <c r="F297" s="79" t="str">
        <f>IF(B296&gt;$C$18,"",IF(COUNTIF(Feriados!$A$2:$B$17,EDATE($C$38,B296))=0,EDATE($C$38,B296),EDATE($C$38,B296)+VLOOKUP(EDATE($C$38,B296),Feriados!$A$2:$B$17,2,FALSE)))</f>
        <v/>
      </c>
      <c r="G297" s="6" t="str">
        <f t="shared" si="102"/>
        <v/>
      </c>
      <c r="H297" s="6" t="str">
        <f t="shared" si="103"/>
        <v/>
      </c>
      <c r="I297" s="8" t="str">
        <f t="shared" si="104"/>
        <v/>
      </c>
      <c r="J297" s="8" t="str">
        <f t="shared" si="90"/>
        <v/>
      </c>
      <c r="K297" s="9" t="str">
        <f t="shared" si="91"/>
        <v/>
      </c>
      <c r="L297" s="9" t="str">
        <f t="shared" si="105"/>
        <v/>
      </c>
      <c r="M297" s="10" t="str">
        <f t="shared" si="92"/>
        <v/>
      </c>
      <c r="N297" s="6" t="str">
        <f t="shared" si="93"/>
        <v/>
      </c>
      <c r="O297" s="9" t="str">
        <f t="shared" si="94"/>
        <v/>
      </c>
      <c r="P297" s="9" t="str">
        <f t="shared" si="95"/>
        <v/>
      </c>
      <c r="Q297" s="9" t="str">
        <f t="shared" si="96"/>
        <v/>
      </c>
      <c r="R297" s="9" t="str">
        <f t="shared" ca="1" si="97"/>
        <v/>
      </c>
      <c r="T297" s="6" t="str">
        <f t="shared" si="106"/>
        <v/>
      </c>
      <c r="U297" s="6" t="str">
        <f t="shared" si="98"/>
        <v/>
      </c>
      <c r="V297" s="10" t="str">
        <f t="shared" si="99"/>
        <v/>
      </c>
      <c r="W297" s="8" t="str">
        <f t="shared" si="100"/>
        <v/>
      </c>
      <c r="X297" s="9">
        <f t="shared" si="107"/>
        <v>0</v>
      </c>
      <c r="Y297" s="9">
        <f t="shared" si="109"/>
        <v>0</v>
      </c>
    </row>
    <row r="298" spans="2:25" x14ac:dyDescent="0.3">
      <c r="B298" s="6">
        <v>261</v>
      </c>
      <c r="C298" s="79" t="str">
        <f t="shared" si="108"/>
        <v/>
      </c>
      <c r="D298" s="6" t="str">
        <f t="shared" si="89"/>
        <v/>
      </c>
      <c r="E298" s="79" t="str">
        <f t="shared" si="101"/>
        <v/>
      </c>
      <c r="F298" s="79" t="str">
        <f>IF(B297&gt;$C$18,"",IF(COUNTIF(Feriados!$A$2:$B$17,EDATE($C$38,B297))=0,EDATE($C$38,B297),EDATE($C$38,B297)+VLOOKUP(EDATE($C$38,B297),Feriados!$A$2:$B$17,2,FALSE)))</f>
        <v/>
      </c>
      <c r="G298" s="6" t="str">
        <f t="shared" si="102"/>
        <v/>
      </c>
      <c r="H298" s="6" t="str">
        <f t="shared" si="103"/>
        <v/>
      </c>
      <c r="I298" s="8" t="str">
        <f t="shared" si="104"/>
        <v/>
      </c>
      <c r="J298" s="8" t="str">
        <f t="shared" si="90"/>
        <v/>
      </c>
      <c r="K298" s="9" t="str">
        <f t="shared" si="91"/>
        <v/>
      </c>
      <c r="L298" s="9" t="str">
        <f t="shared" si="105"/>
        <v/>
      </c>
      <c r="M298" s="10" t="str">
        <f t="shared" si="92"/>
        <v/>
      </c>
      <c r="N298" s="6" t="str">
        <f t="shared" si="93"/>
        <v/>
      </c>
      <c r="O298" s="9" t="str">
        <f t="shared" si="94"/>
        <v/>
      </c>
      <c r="P298" s="9" t="str">
        <f t="shared" si="95"/>
        <v/>
      </c>
      <c r="Q298" s="9" t="str">
        <f t="shared" si="96"/>
        <v/>
      </c>
      <c r="R298" s="9" t="str">
        <f t="shared" ca="1" si="97"/>
        <v/>
      </c>
      <c r="T298" s="6" t="str">
        <f t="shared" si="106"/>
        <v/>
      </c>
      <c r="U298" s="6" t="str">
        <f t="shared" si="98"/>
        <v/>
      </c>
      <c r="V298" s="10" t="str">
        <f t="shared" si="99"/>
        <v/>
      </c>
      <c r="W298" s="8" t="str">
        <f t="shared" si="100"/>
        <v/>
      </c>
      <c r="X298" s="9">
        <f t="shared" si="107"/>
        <v>0</v>
      </c>
      <c r="Y298" s="9">
        <f t="shared" si="109"/>
        <v>0</v>
      </c>
    </row>
    <row r="299" spans="2:25" x14ac:dyDescent="0.3">
      <c r="B299" s="6">
        <v>262</v>
      </c>
      <c r="C299" s="79" t="str">
        <f t="shared" si="108"/>
        <v/>
      </c>
      <c r="D299" s="6" t="str">
        <f t="shared" si="89"/>
        <v/>
      </c>
      <c r="E299" s="79" t="str">
        <f t="shared" si="101"/>
        <v/>
      </c>
      <c r="F299" s="79" t="str">
        <f>IF(B298&gt;$C$18,"",IF(COUNTIF(Feriados!$A$2:$B$17,EDATE($C$38,B298))=0,EDATE($C$38,B298),EDATE($C$38,B298)+VLOOKUP(EDATE($C$38,B298),Feriados!$A$2:$B$17,2,FALSE)))</f>
        <v/>
      </c>
      <c r="G299" s="6" t="str">
        <f t="shared" si="102"/>
        <v/>
      </c>
      <c r="H299" s="6" t="str">
        <f t="shared" si="103"/>
        <v/>
      </c>
      <c r="I299" s="8" t="str">
        <f t="shared" si="104"/>
        <v/>
      </c>
      <c r="J299" s="8" t="str">
        <f t="shared" si="90"/>
        <v/>
      </c>
      <c r="K299" s="9" t="str">
        <f t="shared" si="91"/>
        <v/>
      </c>
      <c r="L299" s="9" t="str">
        <f t="shared" si="105"/>
        <v/>
      </c>
      <c r="M299" s="10" t="str">
        <f t="shared" si="92"/>
        <v/>
      </c>
      <c r="N299" s="6" t="str">
        <f t="shared" si="93"/>
        <v/>
      </c>
      <c r="O299" s="9" t="str">
        <f t="shared" si="94"/>
        <v/>
      </c>
      <c r="P299" s="9" t="str">
        <f t="shared" si="95"/>
        <v/>
      </c>
      <c r="Q299" s="9" t="str">
        <f t="shared" si="96"/>
        <v/>
      </c>
      <c r="R299" s="9" t="str">
        <f t="shared" ca="1" si="97"/>
        <v/>
      </c>
      <c r="T299" s="6" t="str">
        <f t="shared" si="106"/>
        <v/>
      </c>
      <c r="U299" s="6" t="str">
        <f t="shared" si="98"/>
        <v/>
      </c>
      <c r="V299" s="10" t="str">
        <f t="shared" si="99"/>
        <v/>
      </c>
      <c r="W299" s="8" t="str">
        <f t="shared" si="100"/>
        <v/>
      </c>
      <c r="X299" s="9">
        <f t="shared" si="107"/>
        <v>0</v>
      </c>
      <c r="Y299" s="9">
        <f t="shared" si="109"/>
        <v>0</v>
      </c>
    </row>
    <row r="300" spans="2:25" x14ac:dyDescent="0.3">
      <c r="B300" s="6">
        <v>263</v>
      </c>
      <c r="C300" s="79" t="str">
        <f t="shared" si="108"/>
        <v/>
      </c>
      <c r="D300" s="6" t="str">
        <f t="shared" si="89"/>
        <v/>
      </c>
      <c r="E300" s="79" t="str">
        <f t="shared" si="101"/>
        <v/>
      </c>
      <c r="F300" s="79" t="str">
        <f>IF(B299&gt;$C$18,"",IF(COUNTIF(Feriados!$A$2:$B$17,EDATE($C$38,B299))=0,EDATE($C$38,B299),EDATE($C$38,B299)+VLOOKUP(EDATE($C$38,B299),Feriados!$A$2:$B$17,2,FALSE)))</f>
        <v/>
      </c>
      <c r="G300" s="6" t="str">
        <f t="shared" si="102"/>
        <v/>
      </c>
      <c r="H300" s="6" t="str">
        <f t="shared" si="103"/>
        <v/>
      </c>
      <c r="I300" s="8" t="str">
        <f t="shared" si="104"/>
        <v/>
      </c>
      <c r="J300" s="8" t="str">
        <f t="shared" si="90"/>
        <v/>
      </c>
      <c r="K300" s="9" t="str">
        <f t="shared" si="91"/>
        <v/>
      </c>
      <c r="L300" s="9" t="str">
        <f t="shared" si="105"/>
        <v/>
      </c>
      <c r="M300" s="10" t="str">
        <f t="shared" si="92"/>
        <v/>
      </c>
      <c r="N300" s="6" t="str">
        <f t="shared" si="93"/>
        <v/>
      </c>
      <c r="O300" s="9" t="str">
        <f t="shared" si="94"/>
        <v/>
      </c>
      <c r="P300" s="9" t="str">
        <f t="shared" si="95"/>
        <v/>
      </c>
      <c r="Q300" s="9" t="str">
        <f t="shared" si="96"/>
        <v/>
      </c>
      <c r="R300" s="9" t="str">
        <f t="shared" ca="1" si="97"/>
        <v/>
      </c>
      <c r="T300" s="6" t="str">
        <f t="shared" si="106"/>
        <v/>
      </c>
      <c r="U300" s="6" t="str">
        <f t="shared" si="98"/>
        <v/>
      </c>
      <c r="V300" s="10" t="str">
        <f t="shared" si="99"/>
        <v/>
      </c>
      <c r="W300" s="8" t="str">
        <f t="shared" si="100"/>
        <v/>
      </c>
      <c r="X300" s="9">
        <f t="shared" si="107"/>
        <v>0</v>
      </c>
      <c r="Y300" s="9">
        <f t="shared" si="109"/>
        <v>0</v>
      </c>
    </row>
    <row r="301" spans="2:25" x14ac:dyDescent="0.3">
      <c r="B301" s="6">
        <v>264</v>
      </c>
      <c r="C301" s="79" t="str">
        <f t="shared" si="108"/>
        <v/>
      </c>
      <c r="D301" s="6" t="str">
        <f t="shared" si="89"/>
        <v/>
      </c>
      <c r="E301" s="79" t="str">
        <f t="shared" si="101"/>
        <v/>
      </c>
      <c r="F301" s="79" t="str">
        <f>IF(B300&gt;$C$18,"",IF(COUNTIF(Feriados!$A$2:$B$17,EDATE($C$38,B300))=0,EDATE($C$38,B300),EDATE($C$38,B300)+VLOOKUP(EDATE($C$38,B300),Feriados!$A$2:$B$17,2,FALSE)))</f>
        <v/>
      </c>
      <c r="G301" s="6" t="str">
        <f t="shared" si="102"/>
        <v/>
      </c>
      <c r="H301" s="6" t="str">
        <f t="shared" si="103"/>
        <v/>
      </c>
      <c r="I301" s="8" t="str">
        <f t="shared" si="104"/>
        <v/>
      </c>
      <c r="J301" s="8" t="str">
        <f t="shared" si="90"/>
        <v/>
      </c>
      <c r="K301" s="9" t="str">
        <f t="shared" si="91"/>
        <v/>
      </c>
      <c r="L301" s="9" t="str">
        <f t="shared" si="105"/>
        <v/>
      </c>
      <c r="M301" s="10" t="str">
        <f t="shared" si="92"/>
        <v/>
      </c>
      <c r="N301" s="6" t="str">
        <f t="shared" si="93"/>
        <v/>
      </c>
      <c r="O301" s="9" t="str">
        <f t="shared" si="94"/>
        <v/>
      </c>
      <c r="P301" s="9" t="str">
        <f t="shared" si="95"/>
        <v/>
      </c>
      <c r="Q301" s="9" t="str">
        <f t="shared" si="96"/>
        <v/>
      </c>
      <c r="R301" s="9" t="str">
        <f t="shared" ca="1" si="97"/>
        <v/>
      </c>
      <c r="T301" s="6" t="str">
        <f t="shared" si="106"/>
        <v/>
      </c>
      <c r="U301" s="6" t="str">
        <f t="shared" si="98"/>
        <v/>
      </c>
      <c r="V301" s="10" t="str">
        <f t="shared" si="99"/>
        <v/>
      </c>
      <c r="W301" s="8" t="str">
        <f t="shared" si="100"/>
        <v/>
      </c>
      <c r="X301" s="9">
        <f t="shared" si="107"/>
        <v>0</v>
      </c>
      <c r="Y301" s="9">
        <f t="shared" si="109"/>
        <v>0</v>
      </c>
    </row>
    <row r="302" spans="2:25" x14ac:dyDescent="0.3">
      <c r="B302" s="6">
        <v>265</v>
      </c>
      <c r="C302" s="79" t="str">
        <f t="shared" si="108"/>
        <v/>
      </c>
      <c r="D302" s="6" t="str">
        <f t="shared" si="89"/>
        <v/>
      </c>
      <c r="E302" s="79" t="str">
        <f t="shared" si="101"/>
        <v/>
      </c>
      <c r="F302" s="79" t="str">
        <f>IF(B301&gt;$C$18,"",IF(COUNTIF(Feriados!$A$2:$B$17,EDATE($C$38,B301))=0,EDATE($C$38,B301),EDATE($C$38,B301)+VLOOKUP(EDATE($C$38,B301),Feriados!$A$2:$B$17,2,FALSE)))</f>
        <v/>
      </c>
      <c r="G302" s="6" t="str">
        <f t="shared" si="102"/>
        <v/>
      </c>
      <c r="H302" s="6" t="str">
        <f t="shared" si="103"/>
        <v/>
      </c>
      <c r="I302" s="8" t="str">
        <f t="shared" si="104"/>
        <v/>
      </c>
      <c r="J302" s="8" t="str">
        <f t="shared" si="90"/>
        <v/>
      </c>
      <c r="K302" s="9" t="str">
        <f t="shared" si="91"/>
        <v/>
      </c>
      <c r="L302" s="9" t="str">
        <f t="shared" si="105"/>
        <v/>
      </c>
      <c r="M302" s="10" t="str">
        <f t="shared" si="92"/>
        <v/>
      </c>
      <c r="N302" s="6" t="str">
        <f t="shared" si="93"/>
        <v/>
      </c>
      <c r="O302" s="9" t="str">
        <f t="shared" si="94"/>
        <v/>
      </c>
      <c r="P302" s="9" t="str">
        <f t="shared" si="95"/>
        <v/>
      </c>
      <c r="Q302" s="9" t="str">
        <f t="shared" si="96"/>
        <v/>
      </c>
      <c r="R302" s="9" t="str">
        <f t="shared" ca="1" si="97"/>
        <v/>
      </c>
      <c r="T302" s="6" t="str">
        <f t="shared" si="106"/>
        <v/>
      </c>
      <c r="U302" s="6" t="str">
        <f t="shared" si="98"/>
        <v/>
      </c>
      <c r="V302" s="10" t="str">
        <f t="shared" si="99"/>
        <v/>
      </c>
      <c r="W302" s="8" t="str">
        <f t="shared" si="100"/>
        <v/>
      </c>
      <c r="X302" s="9">
        <f t="shared" si="107"/>
        <v>0</v>
      </c>
      <c r="Y302" s="9">
        <f t="shared" si="109"/>
        <v>0</v>
      </c>
    </row>
    <row r="303" spans="2:25" x14ac:dyDescent="0.3">
      <c r="B303" s="6">
        <v>266</v>
      </c>
      <c r="C303" s="79" t="str">
        <f t="shared" si="108"/>
        <v/>
      </c>
      <c r="D303" s="6" t="str">
        <f t="shared" si="89"/>
        <v/>
      </c>
      <c r="E303" s="79" t="str">
        <f t="shared" si="101"/>
        <v/>
      </c>
      <c r="F303" s="79" t="str">
        <f>IF(B302&gt;$C$18,"",IF(COUNTIF(Feriados!$A$2:$B$17,EDATE($C$38,B302))=0,EDATE($C$38,B302),EDATE($C$38,B302)+VLOOKUP(EDATE($C$38,B302),Feriados!$A$2:$B$17,2,FALSE)))</f>
        <v/>
      </c>
      <c r="G303" s="6" t="str">
        <f t="shared" si="102"/>
        <v/>
      </c>
      <c r="H303" s="6" t="str">
        <f t="shared" si="103"/>
        <v/>
      </c>
      <c r="I303" s="8" t="str">
        <f t="shared" si="104"/>
        <v/>
      </c>
      <c r="J303" s="8" t="str">
        <f t="shared" si="90"/>
        <v/>
      </c>
      <c r="K303" s="9" t="str">
        <f t="shared" si="91"/>
        <v/>
      </c>
      <c r="L303" s="9" t="str">
        <f t="shared" si="105"/>
        <v/>
      </c>
      <c r="M303" s="10" t="str">
        <f t="shared" si="92"/>
        <v/>
      </c>
      <c r="N303" s="6" t="str">
        <f t="shared" si="93"/>
        <v/>
      </c>
      <c r="O303" s="9" t="str">
        <f t="shared" si="94"/>
        <v/>
      </c>
      <c r="P303" s="9" t="str">
        <f t="shared" si="95"/>
        <v/>
      </c>
      <c r="Q303" s="9" t="str">
        <f t="shared" si="96"/>
        <v/>
      </c>
      <c r="R303" s="9" t="str">
        <f t="shared" ca="1" si="97"/>
        <v/>
      </c>
      <c r="T303" s="6" t="str">
        <f t="shared" si="106"/>
        <v/>
      </c>
      <c r="U303" s="6" t="str">
        <f t="shared" si="98"/>
        <v/>
      </c>
      <c r="V303" s="10" t="str">
        <f t="shared" si="99"/>
        <v/>
      </c>
      <c r="W303" s="8" t="str">
        <f t="shared" si="100"/>
        <v/>
      </c>
      <c r="X303" s="9">
        <f t="shared" si="107"/>
        <v>0</v>
      </c>
      <c r="Y303" s="9">
        <f t="shared" si="109"/>
        <v>0</v>
      </c>
    </row>
    <row r="304" spans="2:25" x14ac:dyDescent="0.3">
      <c r="B304" s="6">
        <v>267</v>
      </c>
      <c r="C304" s="79" t="str">
        <f t="shared" si="108"/>
        <v/>
      </c>
      <c r="D304" s="6" t="str">
        <f t="shared" si="89"/>
        <v/>
      </c>
      <c r="E304" s="79" t="str">
        <f t="shared" si="101"/>
        <v/>
      </c>
      <c r="F304" s="79" t="str">
        <f>IF(B303&gt;$C$18,"",IF(COUNTIF(Feriados!$A$2:$B$17,EDATE($C$38,B303))=0,EDATE($C$38,B303),EDATE($C$38,B303)+VLOOKUP(EDATE($C$38,B303),Feriados!$A$2:$B$17,2,FALSE)))</f>
        <v/>
      </c>
      <c r="G304" s="6" t="str">
        <f t="shared" si="102"/>
        <v/>
      </c>
      <c r="H304" s="6" t="str">
        <f t="shared" si="103"/>
        <v/>
      </c>
      <c r="I304" s="8" t="str">
        <f t="shared" si="104"/>
        <v/>
      </c>
      <c r="J304" s="8" t="str">
        <f t="shared" si="90"/>
        <v/>
      </c>
      <c r="K304" s="9" t="str">
        <f t="shared" si="91"/>
        <v/>
      </c>
      <c r="L304" s="9" t="str">
        <f t="shared" si="105"/>
        <v/>
      </c>
      <c r="M304" s="10" t="str">
        <f t="shared" si="92"/>
        <v/>
      </c>
      <c r="N304" s="6" t="str">
        <f t="shared" si="93"/>
        <v/>
      </c>
      <c r="O304" s="9" t="str">
        <f t="shared" si="94"/>
        <v/>
      </c>
      <c r="P304" s="9" t="str">
        <f t="shared" si="95"/>
        <v/>
      </c>
      <c r="Q304" s="9" t="str">
        <f t="shared" si="96"/>
        <v/>
      </c>
      <c r="R304" s="9" t="str">
        <f t="shared" ca="1" si="97"/>
        <v/>
      </c>
      <c r="T304" s="6" t="str">
        <f t="shared" si="106"/>
        <v/>
      </c>
      <c r="U304" s="6" t="str">
        <f t="shared" si="98"/>
        <v/>
      </c>
      <c r="V304" s="10" t="str">
        <f t="shared" si="99"/>
        <v/>
      </c>
      <c r="W304" s="8" t="str">
        <f t="shared" si="100"/>
        <v/>
      </c>
      <c r="X304" s="9">
        <f t="shared" si="107"/>
        <v>0</v>
      </c>
      <c r="Y304" s="9">
        <f t="shared" si="109"/>
        <v>0</v>
      </c>
    </row>
    <row r="305" spans="2:25" x14ac:dyDescent="0.3">
      <c r="B305" s="6">
        <v>268</v>
      </c>
      <c r="C305" s="79" t="str">
        <f t="shared" si="108"/>
        <v/>
      </c>
      <c r="D305" s="6" t="str">
        <f t="shared" si="89"/>
        <v/>
      </c>
      <c r="E305" s="79" t="str">
        <f t="shared" si="101"/>
        <v/>
      </c>
      <c r="F305" s="79" t="str">
        <f>IF(B304&gt;$C$18,"",IF(COUNTIF(Feriados!$A$2:$B$17,EDATE($C$38,B304))=0,EDATE($C$38,B304),EDATE($C$38,B304)+VLOOKUP(EDATE($C$38,B304),Feriados!$A$2:$B$17,2,FALSE)))</f>
        <v/>
      </c>
      <c r="G305" s="6" t="str">
        <f t="shared" si="102"/>
        <v/>
      </c>
      <c r="H305" s="6" t="str">
        <f t="shared" si="103"/>
        <v/>
      </c>
      <c r="I305" s="8" t="str">
        <f t="shared" si="104"/>
        <v/>
      </c>
      <c r="J305" s="8" t="str">
        <f t="shared" si="90"/>
        <v/>
      </c>
      <c r="K305" s="9" t="str">
        <f t="shared" si="91"/>
        <v/>
      </c>
      <c r="L305" s="9" t="str">
        <f t="shared" si="105"/>
        <v/>
      </c>
      <c r="M305" s="10" t="str">
        <f t="shared" si="92"/>
        <v/>
      </c>
      <c r="N305" s="6" t="str">
        <f t="shared" si="93"/>
        <v/>
      </c>
      <c r="O305" s="9" t="str">
        <f t="shared" si="94"/>
        <v/>
      </c>
      <c r="P305" s="9" t="str">
        <f t="shared" si="95"/>
        <v/>
      </c>
      <c r="Q305" s="9" t="str">
        <f t="shared" si="96"/>
        <v/>
      </c>
      <c r="R305" s="9" t="str">
        <f t="shared" ca="1" si="97"/>
        <v/>
      </c>
      <c r="T305" s="6" t="str">
        <f t="shared" si="106"/>
        <v/>
      </c>
      <c r="U305" s="6" t="str">
        <f t="shared" si="98"/>
        <v/>
      </c>
      <c r="V305" s="10" t="str">
        <f t="shared" si="99"/>
        <v/>
      </c>
      <c r="W305" s="8" t="str">
        <f t="shared" si="100"/>
        <v/>
      </c>
      <c r="X305" s="9">
        <f t="shared" si="107"/>
        <v>0</v>
      </c>
      <c r="Y305" s="9">
        <f t="shared" si="109"/>
        <v>0</v>
      </c>
    </row>
    <row r="306" spans="2:25" x14ac:dyDescent="0.3">
      <c r="B306" s="6">
        <v>269</v>
      </c>
      <c r="C306" s="79" t="str">
        <f t="shared" si="108"/>
        <v/>
      </c>
      <c r="D306" s="6" t="str">
        <f t="shared" si="89"/>
        <v/>
      </c>
      <c r="E306" s="79" t="str">
        <f t="shared" si="101"/>
        <v/>
      </c>
      <c r="F306" s="79" t="str">
        <f>IF(B305&gt;$C$18,"",IF(COUNTIF(Feriados!$A$2:$B$17,EDATE($C$38,B305))=0,EDATE($C$38,B305),EDATE($C$38,B305)+VLOOKUP(EDATE($C$38,B305),Feriados!$A$2:$B$17,2,FALSE)))</f>
        <v/>
      </c>
      <c r="G306" s="6" t="str">
        <f t="shared" si="102"/>
        <v/>
      </c>
      <c r="H306" s="6" t="str">
        <f t="shared" si="103"/>
        <v/>
      </c>
      <c r="I306" s="8" t="str">
        <f t="shared" si="104"/>
        <v/>
      </c>
      <c r="J306" s="8" t="str">
        <f t="shared" si="90"/>
        <v/>
      </c>
      <c r="K306" s="9" t="str">
        <f t="shared" si="91"/>
        <v/>
      </c>
      <c r="L306" s="9" t="str">
        <f t="shared" si="105"/>
        <v/>
      </c>
      <c r="M306" s="10" t="str">
        <f t="shared" si="92"/>
        <v/>
      </c>
      <c r="N306" s="6" t="str">
        <f t="shared" si="93"/>
        <v/>
      </c>
      <c r="O306" s="9" t="str">
        <f t="shared" si="94"/>
        <v/>
      </c>
      <c r="P306" s="9" t="str">
        <f t="shared" si="95"/>
        <v/>
      </c>
      <c r="Q306" s="9" t="str">
        <f t="shared" si="96"/>
        <v/>
      </c>
      <c r="R306" s="9" t="str">
        <f t="shared" ca="1" si="97"/>
        <v/>
      </c>
      <c r="T306" s="6" t="str">
        <f t="shared" si="106"/>
        <v/>
      </c>
      <c r="U306" s="6" t="str">
        <f t="shared" si="98"/>
        <v/>
      </c>
      <c r="V306" s="10" t="str">
        <f t="shared" si="99"/>
        <v/>
      </c>
      <c r="W306" s="8" t="str">
        <f t="shared" si="100"/>
        <v/>
      </c>
      <c r="X306" s="9">
        <f t="shared" si="107"/>
        <v>0</v>
      </c>
      <c r="Y306" s="9">
        <f t="shared" si="109"/>
        <v>0</v>
      </c>
    </row>
    <row r="307" spans="2:25" x14ac:dyDescent="0.3">
      <c r="B307" s="6">
        <v>270</v>
      </c>
      <c r="C307" s="79" t="str">
        <f t="shared" si="108"/>
        <v/>
      </c>
      <c r="D307" s="6" t="str">
        <f t="shared" si="89"/>
        <v/>
      </c>
      <c r="E307" s="79" t="str">
        <f t="shared" si="101"/>
        <v/>
      </c>
      <c r="F307" s="79" t="str">
        <f>IF(B306&gt;$C$18,"",IF(COUNTIF(Feriados!$A$2:$B$17,EDATE($C$38,B306))=0,EDATE($C$38,B306),EDATE($C$38,B306)+VLOOKUP(EDATE($C$38,B306),Feriados!$A$2:$B$17,2,FALSE)))</f>
        <v/>
      </c>
      <c r="G307" s="6" t="str">
        <f t="shared" si="102"/>
        <v/>
      </c>
      <c r="H307" s="6" t="str">
        <f t="shared" si="103"/>
        <v/>
      </c>
      <c r="I307" s="8" t="str">
        <f t="shared" si="104"/>
        <v/>
      </c>
      <c r="J307" s="8" t="str">
        <f t="shared" si="90"/>
        <v/>
      </c>
      <c r="K307" s="9" t="str">
        <f t="shared" si="91"/>
        <v/>
      </c>
      <c r="L307" s="9" t="str">
        <f t="shared" si="105"/>
        <v/>
      </c>
      <c r="M307" s="10" t="str">
        <f t="shared" si="92"/>
        <v/>
      </c>
      <c r="N307" s="6" t="str">
        <f t="shared" si="93"/>
        <v/>
      </c>
      <c r="O307" s="9" t="str">
        <f t="shared" si="94"/>
        <v/>
      </c>
      <c r="P307" s="9" t="str">
        <f t="shared" si="95"/>
        <v/>
      </c>
      <c r="Q307" s="9" t="str">
        <f t="shared" si="96"/>
        <v/>
      </c>
      <c r="R307" s="9" t="str">
        <f t="shared" ca="1" si="97"/>
        <v/>
      </c>
      <c r="T307" s="6" t="str">
        <f t="shared" si="106"/>
        <v/>
      </c>
      <c r="U307" s="6" t="str">
        <f t="shared" si="98"/>
        <v/>
      </c>
      <c r="V307" s="10" t="str">
        <f t="shared" si="99"/>
        <v/>
      </c>
      <c r="W307" s="8" t="str">
        <f t="shared" si="100"/>
        <v/>
      </c>
      <c r="X307" s="9">
        <f t="shared" si="107"/>
        <v>0</v>
      </c>
      <c r="Y307" s="9">
        <f t="shared" si="109"/>
        <v>0</v>
      </c>
    </row>
    <row r="308" spans="2:25" x14ac:dyDescent="0.3">
      <c r="B308" s="6">
        <v>271</v>
      </c>
      <c r="C308" s="79" t="str">
        <f t="shared" si="108"/>
        <v/>
      </c>
      <c r="D308" s="6" t="str">
        <f t="shared" si="89"/>
        <v/>
      </c>
      <c r="E308" s="79" t="str">
        <f t="shared" si="101"/>
        <v/>
      </c>
      <c r="F308" s="79" t="str">
        <f>IF(B307&gt;$C$18,"",IF(COUNTIF(Feriados!$A$2:$B$17,EDATE($C$38,B307))=0,EDATE($C$38,B307),EDATE($C$38,B307)+VLOOKUP(EDATE($C$38,B307),Feriados!$A$2:$B$17,2,FALSE)))</f>
        <v/>
      </c>
      <c r="G308" s="6" t="str">
        <f t="shared" si="102"/>
        <v/>
      </c>
      <c r="H308" s="6" t="str">
        <f t="shared" si="103"/>
        <v/>
      </c>
      <c r="I308" s="8" t="str">
        <f t="shared" si="104"/>
        <v/>
      </c>
      <c r="J308" s="8" t="str">
        <f t="shared" si="90"/>
        <v/>
      </c>
      <c r="K308" s="9" t="str">
        <f t="shared" si="91"/>
        <v/>
      </c>
      <c r="L308" s="9" t="str">
        <f t="shared" si="105"/>
        <v/>
      </c>
      <c r="M308" s="10" t="str">
        <f t="shared" si="92"/>
        <v/>
      </c>
      <c r="N308" s="6" t="str">
        <f t="shared" si="93"/>
        <v/>
      </c>
      <c r="O308" s="9" t="str">
        <f t="shared" si="94"/>
        <v/>
      </c>
      <c r="P308" s="9" t="str">
        <f t="shared" si="95"/>
        <v/>
      </c>
      <c r="Q308" s="9" t="str">
        <f t="shared" si="96"/>
        <v/>
      </c>
      <c r="R308" s="9" t="str">
        <f t="shared" ca="1" si="97"/>
        <v/>
      </c>
      <c r="T308" s="6" t="str">
        <f t="shared" si="106"/>
        <v/>
      </c>
      <c r="U308" s="6" t="str">
        <f t="shared" si="98"/>
        <v/>
      </c>
      <c r="V308" s="10" t="str">
        <f t="shared" si="99"/>
        <v/>
      </c>
      <c r="W308" s="8" t="str">
        <f t="shared" si="100"/>
        <v/>
      </c>
      <c r="X308" s="9">
        <f t="shared" si="107"/>
        <v>0</v>
      </c>
      <c r="Y308" s="9">
        <f t="shared" si="109"/>
        <v>0</v>
      </c>
    </row>
    <row r="309" spans="2:25" x14ac:dyDescent="0.3">
      <c r="B309" s="6">
        <v>272</v>
      </c>
      <c r="C309" s="79" t="str">
        <f t="shared" si="108"/>
        <v/>
      </c>
      <c r="D309" s="6" t="str">
        <f t="shared" si="89"/>
        <v/>
      </c>
      <c r="E309" s="79" t="str">
        <f t="shared" si="101"/>
        <v/>
      </c>
      <c r="F309" s="79" t="str">
        <f>IF(B308&gt;$C$18,"",IF(COUNTIF(Feriados!$A$2:$B$17,EDATE($C$38,B308))=0,EDATE($C$38,B308),EDATE($C$38,B308)+VLOOKUP(EDATE($C$38,B308),Feriados!$A$2:$B$17,2,FALSE)))</f>
        <v/>
      </c>
      <c r="G309" s="6" t="str">
        <f t="shared" si="102"/>
        <v/>
      </c>
      <c r="H309" s="6" t="str">
        <f t="shared" si="103"/>
        <v/>
      </c>
      <c r="I309" s="8" t="str">
        <f t="shared" si="104"/>
        <v/>
      </c>
      <c r="J309" s="8" t="str">
        <f t="shared" si="90"/>
        <v/>
      </c>
      <c r="K309" s="9" t="str">
        <f t="shared" si="91"/>
        <v/>
      </c>
      <c r="L309" s="9" t="str">
        <f t="shared" si="105"/>
        <v/>
      </c>
      <c r="M309" s="10" t="str">
        <f t="shared" si="92"/>
        <v/>
      </c>
      <c r="N309" s="6" t="str">
        <f t="shared" si="93"/>
        <v/>
      </c>
      <c r="O309" s="9" t="str">
        <f t="shared" si="94"/>
        <v/>
      </c>
      <c r="P309" s="9" t="str">
        <f t="shared" si="95"/>
        <v/>
      </c>
      <c r="Q309" s="9" t="str">
        <f t="shared" si="96"/>
        <v/>
      </c>
      <c r="R309" s="9" t="str">
        <f t="shared" ca="1" si="97"/>
        <v/>
      </c>
      <c r="T309" s="6" t="str">
        <f t="shared" si="106"/>
        <v/>
      </c>
      <c r="U309" s="6" t="str">
        <f t="shared" si="98"/>
        <v/>
      </c>
      <c r="V309" s="10" t="str">
        <f t="shared" si="99"/>
        <v/>
      </c>
      <c r="W309" s="8" t="str">
        <f t="shared" si="100"/>
        <v/>
      </c>
      <c r="X309" s="9">
        <f t="shared" si="107"/>
        <v>0</v>
      </c>
      <c r="Y309" s="9">
        <f t="shared" si="109"/>
        <v>0</v>
      </c>
    </row>
    <row r="310" spans="2:25" x14ac:dyDescent="0.3">
      <c r="B310" s="6">
        <v>273</v>
      </c>
      <c r="C310" s="79" t="str">
        <f t="shared" si="108"/>
        <v/>
      </c>
      <c r="D310" s="6" t="str">
        <f t="shared" si="89"/>
        <v/>
      </c>
      <c r="E310" s="79" t="str">
        <f t="shared" si="101"/>
        <v/>
      </c>
      <c r="F310" s="79" t="str">
        <f>IF(B309&gt;$C$18,"",IF(COUNTIF(Feriados!$A$2:$B$17,EDATE($C$38,B309))=0,EDATE($C$38,B309),EDATE($C$38,B309)+VLOOKUP(EDATE($C$38,B309),Feriados!$A$2:$B$17,2,FALSE)))</f>
        <v/>
      </c>
      <c r="G310" s="6" t="str">
        <f t="shared" si="102"/>
        <v/>
      </c>
      <c r="H310" s="6" t="str">
        <f t="shared" si="103"/>
        <v/>
      </c>
      <c r="I310" s="8" t="str">
        <f t="shared" si="104"/>
        <v/>
      </c>
      <c r="J310" s="8" t="str">
        <f t="shared" si="90"/>
        <v/>
      </c>
      <c r="K310" s="9" t="str">
        <f t="shared" si="91"/>
        <v/>
      </c>
      <c r="L310" s="9" t="str">
        <f t="shared" si="105"/>
        <v/>
      </c>
      <c r="M310" s="10" t="str">
        <f t="shared" si="92"/>
        <v/>
      </c>
      <c r="N310" s="6" t="str">
        <f t="shared" si="93"/>
        <v/>
      </c>
      <c r="O310" s="9" t="str">
        <f t="shared" si="94"/>
        <v/>
      </c>
      <c r="P310" s="9" t="str">
        <f t="shared" si="95"/>
        <v/>
      </c>
      <c r="Q310" s="9" t="str">
        <f t="shared" si="96"/>
        <v/>
      </c>
      <c r="R310" s="9" t="str">
        <f t="shared" ca="1" si="97"/>
        <v/>
      </c>
      <c r="T310" s="6" t="str">
        <f t="shared" si="106"/>
        <v/>
      </c>
      <c r="U310" s="6" t="str">
        <f t="shared" si="98"/>
        <v/>
      </c>
      <c r="V310" s="10" t="str">
        <f t="shared" si="99"/>
        <v/>
      </c>
      <c r="W310" s="8" t="str">
        <f t="shared" si="100"/>
        <v/>
      </c>
      <c r="X310" s="9">
        <f t="shared" si="107"/>
        <v>0</v>
      </c>
      <c r="Y310" s="9">
        <f t="shared" si="109"/>
        <v>0</v>
      </c>
    </row>
    <row r="311" spans="2:25" x14ac:dyDescent="0.3">
      <c r="B311" s="6">
        <v>274</v>
      </c>
      <c r="C311" s="79" t="str">
        <f t="shared" si="108"/>
        <v/>
      </c>
      <c r="D311" s="6" t="str">
        <f t="shared" si="89"/>
        <v/>
      </c>
      <c r="E311" s="79" t="str">
        <f t="shared" si="101"/>
        <v/>
      </c>
      <c r="F311" s="79" t="str">
        <f>IF(B310&gt;$C$18,"",IF(COUNTIF(Feriados!$A$2:$B$17,EDATE($C$38,B310))=0,EDATE($C$38,B310),EDATE($C$38,B310)+VLOOKUP(EDATE($C$38,B310),Feriados!$A$2:$B$17,2,FALSE)))</f>
        <v/>
      </c>
      <c r="G311" s="6" t="str">
        <f t="shared" si="102"/>
        <v/>
      </c>
      <c r="H311" s="6" t="str">
        <f t="shared" si="103"/>
        <v/>
      </c>
      <c r="I311" s="8" t="str">
        <f t="shared" si="104"/>
        <v/>
      </c>
      <c r="J311" s="8" t="str">
        <f t="shared" si="90"/>
        <v/>
      </c>
      <c r="K311" s="9" t="str">
        <f t="shared" si="91"/>
        <v/>
      </c>
      <c r="L311" s="9" t="str">
        <f t="shared" si="105"/>
        <v/>
      </c>
      <c r="M311" s="10" t="str">
        <f t="shared" si="92"/>
        <v/>
      </c>
      <c r="N311" s="6" t="str">
        <f t="shared" si="93"/>
        <v/>
      </c>
      <c r="O311" s="9" t="str">
        <f t="shared" si="94"/>
        <v/>
      </c>
      <c r="P311" s="9" t="str">
        <f t="shared" si="95"/>
        <v/>
      </c>
      <c r="Q311" s="9" t="str">
        <f t="shared" si="96"/>
        <v/>
      </c>
      <c r="R311" s="9" t="str">
        <f t="shared" ca="1" si="97"/>
        <v/>
      </c>
      <c r="T311" s="6" t="str">
        <f t="shared" si="106"/>
        <v/>
      </c>
      <c r="U311" s="6" t="str">
        <f t="shared" si="98"/>
        <v/>
      </c>
      <c r="V311" s="10" t="str">
        <f t="shared" si="99"/>
        <v/>
      </c>
      <c r="W311" s="8" t="str">
        <f t="shared" si="100"/>
        <v/>
      </c>
      <c r="X311" s="9">
        <f t="shared" si="107"/>
        <v>0</v>
      </c>
      <c r="Y311" s="9">
        <f t="shared" si="109"/>
        <v>0</v>
      </c>
    </row>
    <row r="312" spans="2:25" x14ac:dyDescent="0.3">
      <c r="B312" s="6">
        <v>275</v>
      </c>
      <c r="C312" s="79" t="str">
        <f t="shared" si="108"/>
        <v/>
      </c>
      <c r="D312" s="6" t="str">
        <f t="shared" si="89"/>
        <v/>
      </c>
      <c r="E312" s="79" t="str">
        <f t="shared" si="101"/>
        <v/>
      </c>
      <c r="F312" s="79" t="str">
        <f>IF(B311&gt;$C$18,"",IF(COUNTIF(Feriados!$A$2:$B$17,EDATE($C$38,B311))=0,EDATE($C$38,B311),EDATE($C$38,B311)+VLOOKUP(EDATE($C$38,B311),Feriados!$A$2:$B$17,2,FALSE)))</f>
        <v/>
      </c>
      <c r="G312" s="6" t="str">
        <f t="shared" si="102"/>
        <v/>
      </c>
      <c r="H312" s="6" t="str">
        <f t="shared" si="103"/>
        <v/>
      </c>
      <c r="I312" s="8" t="str">
        <f t="shared" si="104"/>
        <v/>
      </c>
      <c r="J312" s="8" t="str">
        <f t="shared" si="90"/>
        <v/>
      </c>
      <c r="K312" s="9" t="str">
        <f t="shared" si="91"/>
        <v/>
      </c>
      <c r="L312" s="9" t="str">
        <f t="shared" si="105"/>
        <v/>
      </c>
      <c r="M312" s="10" t="str">
        <f t="shared" si="92"/>
        <v/>
      </c>
      <c r="N312" s="6" t="str">
        <f t="shared" si="93"/>
        <v/>
      </c>
      <c r="O312" s="9" t="str">
        <f t="shared" si="94"/>
        <v/>
      </c>
      <c r="P312" s="9" t="str">
        <f t="shared" si="95"/>
        <v/>
      </c>
      <c r="Q312" s="9" t="str">
        <f t="shared" si="96"/>
        <v/>
      </c>
      <c r="R312" s="9" t="str">
        <f t="shared" ca="1" si="97"/>
        <v/>
      </c>
      <c r="T312" s="6" t="str">
        <f t="shared" si="106"/>
        <v/>
      </c>
      <c r="U312" s="6" t="str">
        <f t="shared" si="98"/>
        <v/>
      </c>
      <c r="V312" s="10" t="str">
        <f t="shared" si="99"/>
        <v/>
      </c>
      <c r="W312" s="8" t="str">
        <f t="shared" si="100"/>
        <v/>
      </c>
      <c r="X312" s="9">
        <f t="shared" si="107"/>
        <v>0</v>
      </c>
      <c r="Y312" s="9">
        <f t="shared" si="109"/>
        <v>0</v>
      </c>
    </row>
    <row r="313" spans="2:25" x14ac:dyDescent="0.3">
      <c r="B313" s="6">
        <v>276</v>
      </c>
      <c r="C313" s="79" t="str">
        <f t="shared" si="108"/>
        <v/>
      </c>
      <c r="D313" s="6" t="str">
        <f t="shared" si="89"/>
        <v/>
      </c>
      <c r="E313" s="79" t="str">
        <f t="shared" si="101"/>
        <v/>
      </c>
      <c r="F313" s="79" t="str">
        <f>IF(B312&gt;$C$18,"",IF(COUNTIF(Feriados!$A$2:$B$17,EDATE($C$38,B312))=0,EDATE($C$38,B312),EDATE($C$38,B312)+VLOOKUP(EDATE($C$38,B312),Feriados!$A$2:$B$17,2,FALSE)))</f>
        <v/>
      </c>
      <c r="G313" s="6" t="str">
        <f t="shared" si="102"/>
        <v/>
      </c>
      <c r="H313" s="6" t="str">
        <f t="shared" si="103"/>
        <v/>
      </c>
      <c r="I313" s="8" t="str">
        <f t="shared" si="104"/>
        <v/>
      </c>
      <c r="J313" s="8" t="str">
        <f t="shared" si="90"/>
        <v/>
      </c>
      <c r="K313" s="9" t="str">
        <f t="shared" si="91"/>
        <v/>
      </c>
      <c r="L313" s="9" t="str">
        <f t="shared" si="105"/>
        <v/>
      </c>
      <c r="M313" s="10" t="str">
        <f t="shared" si="92"/>
        <v/>
      </c>
      <c r="N313" s="6" t="str">
        <f t="shared" si="93"/>
        <v/>
      </c>
      <c r="O313" s="9" t="str">
        <f t="shared" si="94"/>
        <v/>
      </c>
      <c r="P313" s="9" t="str">
        <f t="shared" si="95"/>
        <v/>
      </c>
      <c r="Q313" s="9" t="str">
        <f t="shared" si="96"/>
        <v/>
      </c>
      <c r="R313" s="9" t="str">
        <f t="shared" ca="1" si="97"/>
        <v/>
      </c>
      <c r="T313" s="6" t="str">
        <f t="shared" si="106"/>
        <v/>
      </c>
      <c r="U313" s="6" t="str">
        <f t="shared" si="98"/>
        <v/>
      </c>
      <c r="V313" s="10" t="str">
        <f t="shared" si="99"/>
        <v/>
      </c>
      <c r="W313" s="8" t="str">
        <f t="shared" si="100"/>
        <v/>
      </c>
      <c r="X313" s="9">
        <f t="shared" si="107"/>
        <v>0</v>
      </c>
      <c r="Y313" s="9">
        <f t="shared" si="109"/>
        <v>0</v>
      </c>
    </row>
    <row r="314" spans="2:25" x14ac:dyDescent="0.3">
      <c r="B314" s="6">
        <v>277</v>
      </c>
      <c r="C314" s="79" t="str">
        <f t="shared" si="108"/>
        <v/>
      </c>
      <c r="D314" s="6" t="str">
        <f t="shared" si="89"/>
        <v/>
      </c>
      <c r="E314" s="79" t="str">
        <f t="shared" si="101"/>
        <v/>
      </c>
      <c r="F314" s="79" t="str">
        <f>IF(B313&gt;$C$18,"",IF(COUNTIF(Feriados!$A$2:$B$17,EDATE($C$38,B313))=0,EDATE($C$38,B313),EDATE($C$38,B313)+VLOOKUP(EDATE($C$38,B313),Feriados!$A$2:$B$17,2,FALSE)))</f>
        <v/>
      </c>
      <c r="G314" s="6" t="str">
        <f t="shared" si="102"/>
        <v/>
      </c>
      <c r="H314" s="6" t="str">
        <f t="shared" si="103"/>
        <v/>
      </c>
      <c r="I314" s="8" t="str">
        <f t="shared" si="104"/>
        <v/>
      </c>
      <c r="J314" s="8" t="str">
        <f t="shared" si="90"/>
        <v/>
      </c>
      <c r="K314" s="9" t="str">
        <f t="shared" si="91"/>
        <v/>
      </c>
      <c r="L314" s="9" t="str">
        <f t="shared" si="105"/>
        <v/>
      </c>
      <c r="M314" s="10" t="str">
        <f t="shared" si="92"/>
        <v/>
      </c>
      <c r="N314" s="6" t="str">
        <f t="shared" si="93"/>
        <v/>
      </c>
      <c r="O314" s="9" t="str">
        <f t="shared" si="94"/>
        <v/>
      </c>
      <c r="P314" s="9" t="str">
        <f t="shared" si="95"/>
        <v/>
      </c>
      <c r="Q314" s="9" t="str">
        <f t="shared" si="96"/>
        <v/>
      </c>
      <c r="R314" s="9" t="str">
        <f t="shared" ca="1" si="97"/>
        <v/>
      </c>
      <c r="T314" s="6" t="str">
        <f t="shared" si="106"/>
        <v/>
      </c>
      <c r="U314" s="6" t="str">
        <f t="shared" si="98"/>
        <v/>
      </c>
      <c r="V314" s="10" t="str">
        <f t="shared" si="99"/>
        <v/>
      </c>
      <c r="W314" s="8" t="str">
        <f t="shared" si="100"/>
        <v/>
      </c>
      <c r="X314" s="9">
        <f t="shared" si="107"/>
        <v>0</v>
      </c>
      <c r="Y314" s="9">
        <f t="shared" si="109"/>
        <v>0</v>
      </c>
    </row>
    <row r="315" spans="2:25" x14ac:dyDescent="0.3">
      <c r="B315" s="6">
        <v>278</v>
      </c>
      <c r="C315" s="79" t="str">
        <f t="shared" si="108"/>
        <v/>
      </c>
      <c r="D315" s="6" t="str">
        <f t="shared" si="89"/>
        <v/>
      </c>
      <c r="E315" s="79" t="str">
        <f t="shared" si="101"/>
        <v/>
      </c>
      <c r="F315" s="79" t="str">
        <f>IF(B314&gt;$C$18,"",IF(COUNTIF(Feriados!$A$2:$B$17,EDATE($C$38,B314))=0,EDATE($C$38,B314),EDATE($C$38,B314)+VLOOKUP(EDATE($C$38,B314),Feriados!$A$2:$B$17,2,FALSE)))</f>
        <v/>
      </c>
      <c r="G315" s="6" t="str">
        <f t="shared" si="102"/>
        <v/>
      </c>
      <c r="H315" s="6" t="str">
        <f t="shared" si="103"/>
        <v/>
      </c>
      <c r="I315" s="8" t="str">
        <f t="shared" si="104"/>
        <v/>
      </c>
      <c r="J315" s="8" t="str">
        <f t="shared" si="90"/>
        <v/>
      </c>
      <c r="K315" s="9" t="str">
        <f t="shared" si="91"/>
        <v/>
      </c>
      <c r="L315" s="9" t="str">
        <f t="shared" si="105"/>
        <v/>
      </c>
      <c r="M315" s="10" t="str">
        <f t="shared" si="92"/>
        <v/>
      </c>
      <c r="N315" s="6" t="str">
        <f t="shared" si="93"/>
        <v/>
      </c>
      <c r="O315" s="9" t="str">
        <f t="shared" si="94"/>
        <v/>
      </c>
      <c r="P315" s="9" t="str">
        <f t="shared" si="95"/>
        <v/>
      </c>
      <c r="Q315" s="9" t="str">
        <f t="shared" si="96"/>
        <v/>
      </c>
      <c r="R315" s="9" t="str">
        <f t="shared" ca="1" si="97"/>
        <v/>
      </c>
      <c r="T315" s="6" t="str">
        <f t="shared" si="106"/>
        <v/>
      </c>
      <c r="U315" s="6" t="str">
        <f t="shared" si="98"/>
        <v/>
      </c>
      <c r="V315" s="10" t="str">
        <f t="shared" si="99"/>
        <v/>
      </c>
      <c r="W315" s="8" t="str">
        <f t="shared" si="100"/>
        <v/>
      </c>
      <c r="X315" s="9">
        <f t="shared" si="107"/>
        <v>0</v>
      </c>
      <c r="Y315" s="9">
        <f t="shared" si="109"/>
        <v>0</v>
      </c>
    </row>
    <row r="316" spans="2:25" x14ac:dyDescent="0.3">
      <c r="B316" s="6">
        <v>279</v>
      </c>
      <c r="C316" s="79" t="str">
        <f t="shared" si="108"/>
        <v/>
      </c>
      <c r="D316" s="6" t="str">
        <f t="shared" si="89"/>
        <v/>
      </c>
      <c r="E316" s="79" t="str">
        <f t="shared" si="101"/>
        <v/>
      </c>
      <c r="F316" s="79" t="str">
        <f>IF(B315&gt;$C$18,"",IF(COUNTIF(Feriados!$A$2:$B$17,EDATE($C$38,B315))=0,EDATE($C$38,B315),EDATE($C$38,B315)+VLOOKUP(EDATE($C$38,B315),Feriados!$A$2:$B$17,2,FALSE)))</f>
        <v/>
      </c>
      <c r="G316" s="6" t="str">
        <f t="shared" si="102"/>
        <v/>
      </c>
      <c r="H316" s="6" t="str">
        <f t="shared" si="103"/>
        <v/>
      </c>
      <c r="I316" s="8" t="str">
        <f t="shared" si="104"/>
        <v/>
      </c>
      <c r="J316" s="8" t="str">
        <f t="shared" si="90"/>
        <v/>
      </c>
      <c r="K316" s="9" t="str">
        <f t="shared" si="91"/>
        <v/>
      </c>
      <c r="L316" s="9" t="str">
        <f t="shared" si="105"/>
        <v/>
      </c>
      <c r="M316" s="10" t="str">
        <f t="shared" si="92"/>
        <v/>
      </c>
      <c r="N316" s="6" t="str">
        <f t="shared" si="93"/>
        <v/>
      </c>
      <c r="O316" s="9" t="str">
        <f t="shared" si="94"/>
        <v/>
      </c>
      <c r="P316" s="9" t="str">
        <f t="shared" si="95"/>
        <v/>
      </c>
      <c r="Q316" s="9" t="str">
        <f t="shared" si="96"/>
        <v/>
      </c>
      <c r="R316" s="9" t="str">
        <f t="shared" ca="1" si="97"/>
        <v/>
      </c>
      <c r="T316" s="6" t="str">
        <f t="shared" si="106"/>
        <v/>
      </c>
      <c r="U316" s="6" t="str">
        <f t="shared" si="98"/>
        <v/>
      </c>
      <c r="V316" s="10" t="str">
        <f t="shared" si="99"/>
        <v/>
      </c>
      <c r="W316" s="8" t="str">
        <f t="shared" si="100"/>
        <v/>
      </c>
      <c r="X316" s="9">
        <f t="shared" si="107"/>
        <v>0</v>
      </c>
      <c r="Y316" s="9">
        <f t="shared" si="109"/>
        <v>0</v>
      </c>
    </row>
    <row r="317" spans="2:25" x14ac:dyDescent="0.3">
      <c r="B317" s="6">
        <v>280</v>
      </c>
      <c r="C317" s="79" t="str">
        <f t="shared" si="108"/>
        <v/>
      </c>
      <c r="D317" s="6" t="str">
        <f t="shared" si="89"/>
        <v/>
      </c>
      <c r="E317" s="79" t="str">
        <f t="shared" si="101"/>
        <v/>
      </c>
      <c r="F317" s="79" t="str">
        <f>IF(B316&gt;$C$18,"",IF(COUNTIF(Feriados!$A$2:$B$17,EDATE($C$38,B316))=0,EDATE($C$38,B316),EDATE($C$38,B316)+VLOOKUP(EDATE($C$38,B316),Feriados!$A$2:$B$17,2,FALSE)))</f>
        <v/>
      </c>
      <c r="G317" s="6" t="str">
        <f t="shared" si="102"/>
        <v/>
      </c>
      <c r="H317" s="6" t="str">
        <f t="shared" si="103"/>
        <v/>
      </c>
      <c r="I317" s="8" t="str">
        <f t="shared" si="104"/>
        <v/>
      </c>
      <c r="J317" s="8" t="str">
        <f t="shared" si="90"/>
        <v/>
      </c>
      <c r="K317" s="9" t="str">
        <f t="shared" si="91"/>
        <v/>
      </c>
      <c r="L317" s="9" t="str">
        <f t="shared" si="105"/>
        <v/>
      </c>
      <c r="M317" s="10" t="str">
        <f t="shared" si="92"/>
        <v/>
      </c>
      <c r="N317" s="6" t="str">
        <f t="shared" si="93"/>
        <v/>
      </c>
      <c r="O317" s="9" t="str">
        <f t="shared" si="94"/>
        <v/>
      </c>
      <c r="P317" s="9" t="str">
        <f t="shared" si="95"/>
        <v/>
      </c>
      <c r="Q317" s="9" t="str">
        <f t="shared" si="96"/>
        <v/>
      </c>
      <c r="R317" s="9" t="str">
        <f t="shared" ca="1" si="97"/>
        <v/>
      </c>
      <c r="T317" s="6" t="str">
        <f t="shared" si="106"/>
        <v/>
      </c>
      <c r="U317" s="6" t="str">
        <f t="shared" si="98"/>
        <v/>
      </c>
      <c r="V317" s="10" t="str">
        <f t="shared" si="99"/>
        <v/>
      </c>
      <c r="W317" s="8" t="str">
        <f t="shared" si="100"/>
        <v/>
      </c>
      <c r="X317" s="9">
        <f t="shared" si="107"/>
        <v>0</v>
      </c>
      <c r="Y317" s="9">
        <f t="shared" si="109"/>
        <v>0</v>
      </c>
    </row>
    <row r="318" spans="2:25" x14ac:dyDescent="0.3">
      <c r="B318" s="6">
        <v>281</v>
      </c>
      <c r="C318" s="79" t="str">
        <f t="shared" si="108"/>
        <v/>
      </c>
      <c r="D318" s="6" t="str">
        <f t="shared" si="89"/>
        <v/>
      </c>
      <c r="E318" s="79" t="str">
        <f t="shared" si="101"/>
        <v/>
      </c>
      <c r="F318" s="79" t="str">
        <f>IF(B317&gt;$C$18,"",IF(COUNTIF(Feriados!$A$2:$B$17,EDATE($C$38,B317))=0,EDATE($C$38,B317),EDATE($C$38,B317)+VLOOKUP(EDATE($C$38,B317),Feriados!$A$2:$B$17,2,FALSE)))</f>
        <v/>
      </c>
      <c r="G318" s="6" t="str">
        <f t="shared" si="102"/>
        <v/>
      </c>
      <c r="H318" s="6" t="str">
        <f t="shared" si="103"/>
        <v/>
      </c>
      <c r="I318" s="8" t="str">
        <f t="shared" si="104"/>
        <v/>
      </c>
      <c r="J318" s="8" t="str">
        <f t="shared" si="90"/>
        <v/>
      </c>
      <c r="K318" s="9" t="str">
        <f t="shared" si="91"/>
        <v/>
      </c>
      <c r="L318" s="9" t="str">
        <f t="shared" si="105"/>
        <v/>
      </c>
      <c r="M318" s="10" t="str">
        <f t="shared" si="92"/>
        <v/>
      </c>
      <c r="N318" s="6" t="str">
        <f t="shared" si="93"/>
        <v/>
      </c>
      <c r="O318" s="9" t="str">
        <f t="shared" si="94"/>
        <v/>
      </c>
      <c r="P318" s="9" t="str">
        <f t="shared" si="95"/>
        <v/>
      </c>
      <c r="Q318" s="9" t="str">
        <f t="shared" si="96"/>
        <v/>
      </c>
      <c r="R318" s="9" t="str">
        <f t="shared" ca="1" si="97"/>
        <v/>
      </c>
      <c r="T318" s="6" t="str">
        <f t="shared" si="106"/>
        <v/>
      </c>
      <c r="U318" s="6" t="str">
        <f t="shared" si="98"/>
        <v/>
      </c>
      <c r="V318" s="10" t="str">
        <f t="shared" si="99"/>
        <v/>
      </c>
      <c r="W318" s="8" t="str">
        <f t="shared" si="100"/>
        <v/>
      </c>
      <c r="X318" s="9">
        <f t="shared" si="107"/>
        <v>0</v>
      </c>
      <c r="Y318" s="9">
        <f t="shared" si="109"/>
        <v>0</v>
      </c>
    </row>
    <row r="319" spans="2:25" x14ac:dyDescent="0.3">
      <c r="B319" s="6">
        <v>282</v>
      </c>
      <c r="C319" s="79" t="str">
        <f t="shared" si="108"/>
        <v/>
      </c>
      <c r="D319" s="6" t="str">
        <f t="shared" si="89"/>
        <v/>
      </c>
      <c r="E319" s="79" t="str">
        <f t="shared" si="101"/>
        <v/>
      </c>
      <c r="F319" s="79" t="str">
        <f>IF(B318&gt;$C$18,"",IF(COUNTIF(Feriados!$A$2:$B$17,EDATE($C$38,B318))=0,EDATE($C$38,B318),EDATE($C$38,B318)+VLOOKUP(EDATE($C$38,B318),Feriados!$A$2:$B$17,2,FALSE)))</f>
        <v/>
      </c>
      <c r="G319" s="6" t="str">
        <f t="shared" si="102"/>
        <v/>
      </c>
      <c r="H319" s="6" t="str">
        <f t="shared" si="103"/>
        <v/>
      </c>
      <c r="I319" s="8" t="str">
        <f t="shared" si="104"/>
        <v/>
      </c>
      <c r="J319" s="8" t="str">
        <f t="shared" si="90"/>
        <v/>
      </c>
      <c r="K319" s="9" t="str">
        <f t="shared" si="91"/>
        <v/>
      </c>
      <c r="L319" s="9" t="str">
        <f t="shared" si="105"/>
        <v/>
      </c>
      <c r="M319" s="10" t="str">
        <f t="shared" si="92"/>
        <v/>
      </c>
      <c r="N319" s="6" t="str">
        <f t="shared" si="93"/>
        <v/>
      </c>
      <c r="O319" s="9" t="str">
        <f t="shared" si="94"/>
        <v/>
      </c>
      <c r="P319" s="9" t="str">
        <f t="shared" si="95"/>
        <v/>
      </c>
      <c r="Q319" s="9" t="str">
        <f t="shared" si="96"/>
        <v/>
      </c>
      <c r="R319" s="9" t="str">
        <f t="shared" ca="1" si="97"/>
        <v/>
      </c>
      <c r="T319" s="6" t="str">
        <f t="shared" si="106"/>
        <v/>
      </c>
      <c r="U319" s="6" t="str">
        <f t="shared" si="98"/>
        <v/>
      </c>
      <c r="V319" s="10" t="str">
        <f t="shared" si="99"/>
        <v/>
      </c>
      <c r="W319" s="8" t="str">
        <f t="shared" si="100"/>
        <v/>
      </c>
      <c r="X319" s="9">
        <f t="shared" si="107"/>
        <v>0</v>
      </c>
      <c r="Y319" s="9">
        <f t="shared" si="109"/>
        <v>0</v>
      </c>
    </row>
    <row r="320" spans="2:25" x14ac:dyDescent="0.3">
      <c r="B320" s="6">
        <v>283</v>
      </c>
      <c r="C320" s="79" t="str">
        <f t="shared" si="108"/>
        <v/>
      </c>
      <c r="D320" s="6" t="str">
        <f t="shared" si="89"/>
        <v/>
      </c>
      <c r="E320" s="79" t="str">
        <f t="shared" si="101"/>
        <v/>
      </c>
      <c r="F320" s="79" t="str">
        <f>IF(B319&gt;$C$18,"",IF(COUNTIF(Feriados!$A$2:$B$17,EDATE($C$38,B319))=0,EDATE($C$38,B319),EDATE($C$38,B319)+VLOOKUP(EDATE($C$38,B319),Feriados!$A$2:$B$17,2,FALSE)))</f>
        <v/>
      </c>
      <c r="G320" s="6" t="str">
        <f t="shared" si="102"/>
        <v/>
      </c>
      <c r="H320" s="6" t="str">
        <f t="shared" si="103"/>
        <v/>
      </c>
      <c r="I320" s="8" t="str">
        <f t="shared" si="104"/>
        <v/>
      </c>
      <c r="J320" s="8" t="str">
        <f t="shared" si="90"/>
        <v/>
      </c>
      <c r="K320" s="9" t="str">
        <f t="shared" si="91"/>
        <v/>
      </c>
      <c r="L320" s="9" t="str">
        <f t="shared" si="105"/>
        <v/>
      </c>
      <c r="M320" s="10" t="str">
        <f t="shared" si="92"/>
        <v/>
      </c>
      <c r="N320" s="6" t="str">
        <f t="shared" si="93"/>
        <v/>
      </c>
      <c r="O320" s="9" t="str">
        <f t="shared" si="94"/>
        <v/>
      </c>
      <c r="P320" s="9" t="str">
        <f t="shared" si="95"/>
        <v/>
      </c>
      <c r="Q320" s="9" t="str">
        <f t="shared" si="96"/>
        <v/>
      </c>
      <c r="R320" s="9" t="str">
        <f t="shared" ca="1" si="97"/>
        <v/>
      </c>
      <c r="T320" s="6" t="str">
        <f t="shared" si="106"/>
        <v/>
      </c>
      <c r="U320" s="6" t="str">
        <f t="shared" si="98"/>
        <v/>
      </c>
      <c r="V320" s="10" t="str">
        <f t="shared" si="99"/>
        <v/>
      </c>
      <c r="W320" s="8" t="str">
        <f t="shared" si="100"/>
        <v/>
      </c>
      <c r="X320" s="9">
        <f t="shared" si="107"/>
        <v>0</v>
      </c>
      <c r="Y320" s="9">
        <f t="shared" si="109"/>
        <v>0</v>
      </c>
    </row>
    <row r="321" spans="2:25" x14ac:dyDescent="0.3">
      <c r="B321" s="6">
        <v>284</v>
      </c>
      <c r="C321" s="79" t="str">
        <f t="shared" si="108"/>
        <v/>
      </c>
      <c r="D321" s="6" t="str">
        <f t="shared" si="89"/>
        <v/>
      </c>
      <c r="E321" s="79" t="str">
        <f t="shared" si="101"/>
        <v/>
      </c>
      <c r="F321" s="79" t="str">
        <f>IF(B320&gt;$C$18,"",IF(COUNTIF(Feriados!$A$2:$B$17,EDATE($C$38,B320))=0,EDATE($C$38,B320),EDATE($C$38,B320)+VLOOKUP(EDATE($C$38,B320),Feriados!$A$2:$B$17,2,FALSE)))</f>
        <v/>
      </c>
      <c r="G321" s="6" t="str">
        <f t="shared" si="102"/>
        <v/>
      </c>
      <c r="H321" s="6" t="str">
        <f t="shared" si="103"/>
        <v/>
      </c>
      <c r="I321" s="8" t="str">
        <f t="shared" si="104"/>
        <v/>
      </c>
      <c r="J321" s="8" t="str">
        <f t="shared" si="90"/>
        <v/>
      </c>
      <c r="K321" s="9" t="str">
        <f t="shared" si="91"/>
        <v/>
      </c>
      <c r="L321" s="9" t="str">
        <f t="shared" si="105"/>
        <v/>
      </c>
      <c r="M321" s="10" t="str">
        <f t="shared" si="92"/>
        <v/>
      </c>
      <c r="N321" s="6" t="str">
        <f t="shared" si="93"/>
        <v/>
      </c>
      <c r="O321" s="9" t="str">
        <f t="shared" si="94"/>
        <v/>
      </c>
      <c r="P321" s="9" t="str">
        <f t="shared" si="95"/>
        <v/>
      </c>
      <c r="Q321" s="9" t="str">
        <f t="shared" si="96"/>
        <v/>
      </c>
      <c r="R321" s="9" t="str">
        <f t="shared" ca="1" si="97"/>
        <v/>
      </c>
      <c r="T321" s="6" t="str">
        <f t="shared" si="106"/>
        <v/>
      </c>
      <c r="U321" s="6" t="str">
        <f t="shared" si="98"/>
        <v/>
      </c>
      <c r="V321" s="10" t="str">
        <f t="shared" si="99"/>
        <v/>
      </c>
      <c r="W321" s="8" t="str">
        <f t="shared" si="100"/>
        <v/>
      </c>
      <c r="X321" s="9">
        <f t="shared" si="107"/>
        <v>0</v>
      </c>
      <c r="Y321" s="9">
        <f t="shared" si="109"/>
        <v>0</v>
      </c>
    </row>
    <row r="322" spans="2:25" x14ac:dyDescent="0.3">
      <c r="B322" s="6">
        <v>285</v>
      </c>
      <c r="C322" s="79" t="str">
        <f t="shared" si="108"/>
        <v/>
      </c>
      <c r="D322" s="6" t="str">
        <f t="shared" si="89"/>
        <v/>
      </c>
      <c r="E322" s="79" t="str">
        <f t="shared" si="101"/>
        <v/>
      </c>
      <c r="F322" s="79" t="str">
        <f>IF(B321&gt;$C$18,"",IF(COUNTIF(Feriados!$A$2:$B$17,EDATE($C$38,B321))=0,EDATE($C$38,B321),EDATE($C$38,B321)+VLOOKUP(EDATE($C$38,B321),Feriados!$A$2:$B$17,2,FALSE)))</f>
        <v/>
      </c>
      <c r="G322" s="6" t="str">
        <f t="shared" si="102"/>
        <v/>
      </c>
      <c r="H322" s="6" t="str">
        <f t="shared" si="103"/>
        <v/>
      </c>
      <c r="I322" s="8" t="str">
        <f t="shared" si="104"/>
        <v/>
      </c>
      <c r="J322" s="8" t="str">
        <f t="shared" si="90"/>
        <v/>
      </c>
      <c r="K322" s="9" t="str">
        <f t="shared" si="91"/>
        <v/>
      </c>
      <c r="L322" s="9" t="str">
        <f t="shared" si="105"/>
        <v/>
      </c>
      <c r="M322" s="10" t="str">
        <f t="shared" si="92"/>
        <v/>
      </c>
      <c r="N322" s="6" t="str">
        <f t="shared" si="93"/>
        <v/>
      </c>
      <c r="O322" s="9" t="str">
        <f t="shared" si="94"/>
        <v/>
      </c>
      <c r="P322" s="9" t="str">
        <f t="shared" si="95"/>
        <v/>
      </c>
      <c r="Q322" s="9" t="str">
        <f t="shared" si="96"/>
        <v/>
      </c>
      <c r="R322" s="9" t="str">
        <f t="shared" ca="1" si="97"/>
        <v/>
      </c>
      <c r="T322" s="6" t="str">
        <f t="shared" si="106"/>
        <v/>
      </c>
      <c r="U322" s="6" t="str">
        <f t="shared" si="98"/>
        <v/>
      </c>
      <c r="V322" s="10" t="str">
        <f t="shared" si="99"/>
        <v/>
      </c>
      <c r="W322" s="8" t="str">
        <f t="shared" si="100"/>
        <v/>
      </c>
      <c r="X322" s="9">
        <f t="shared" si="107"/>
        <v>0</v>
      </c>
      <c r="Y322" s="9">
        <f t="shared" si="109"/>
        <v>0</v>
      </c>
    </row>
    <row r="323" spans="2:25" x14ac:dyDescent="0.3">
      <c r="B323" s="6">
        <v>286</v>
      </c>
      <c r="C323" s="79" t="str">
        <f t="shared" si="108"/>
        <v/>
      </c>
      <c r="D323" s="6" t="str">
        <f t="shared" si="89"/>
        <v/>
      </c>
      <c r="E323" s="79" t="str">
        <f t="shared" si="101"/>
        <v/>
      </c>
      <c r="F323" s="79" t="str">
        <f>IF(B322&gt;$C$18,"",IF(COUNTIF(Feriados!$A$2:$B$17,EDATE($C$38,B322))=0,EDATE($C$38,B322),EDATE($C$38,B322)+VLOOKUP(EDATE($C$38,B322),Feriados!$A$2:$B$17,2,FALSE)))</f>
        <v/>
      </c>
      <c r="G323" s="6" t="str">
        <f t="shared" si="102"/>
        <v/>
      </c>
      <c r="H323" s="6" t="str">
        <f t="shared" si="103"/>
        <v/>
      </c>
      <c r="I323" s="8" t="str">
        <f t="shared" si="104"/>
        <v/>
      </c>
      <c r="J323" s="8" t="str">
        <f t="shared" si="90"/>
        <v/>
      </c>
      <c r="K323" s="9" t="str">
        <f t="shared" si="91"/>
        <v/>
      </c>
      <c r="L323" s="9" t="str">
        <f t="shared" si="105"/>
        <v/>
      </c>
      <c r="M323" s="10" t="str">
        <f t="shared" si="92"/>
        <v/>
      </c>
      <c r="N323" s="6" t="str">
        <f t="shared" si="93"/>
        <v/>
      </c>
      <c r="O323" s="9" t="str">
        <f t="shared" si="94"/>
        <v/>
      </c>
      <c r="P323" s="9" t="str">
        <f t="shared" si="95"/>
        <v/>
      </c>
      <c r="Q323" s="9" t="str">
        <f t="shared" si="96"/>
        <v/>
      </c>
      <c r="R323" s="9" t="str">
        <f t="shared" ca="1" si="97"/>
        <v/>
      </c>
      <c r="T323" s="6" t="str">
        <f t="shared" si="106"/>
        <v/>
      </c>
      <c r="U323" s="6" t="str">
        <f t="shared" si="98"/>
        <v/>
      </c>
      <c r="V323" s="10" t="str">
        <f t="shared" si="99"/>
        <v/>
      </c>
      <c r="W323" s="8" t="str">
        <f t="shared" si="100"/>
        <v/>
      </c>
      <c r="X323" s="9">
        <f t="shared" si="107"/>
        <v>0</v>
      </c>
      <c r="Y323" s="9">
        <f t="shared" si="109"/>
        <v>0</v>
      </c>
    </row>
    <row r="324" spans="2:25" x14ac:dyDescent="0.3">
      <c r="B324" s="6">
        <v>287</v>
      </c>
      <c r="C324" s="79" t="str">
        <f t="shared" si="108"/>
        <v/>
      </c>
      <c r="D324" s="6" t="str">
        <f t="shared" si="89"/>
        <v/>
      </c>
      <c r="E324" s="79" t="str">
        <f t="shared" si="101"/>
        <v/>
      </c>
      <c r="F324" s="79" t="str">
        <f>IF(B323&gt;$C$18,"",IF(COUNTIF(Feriados!$A$2:$B$17,EDATE($C$38,B323))=0,EDATE($C$38,B323),EDATE($C$38,B323)+VLOOKUP(EDATE($C$38,B323),Feriados!$A$2:$B$17,2,FALSE)))</f>
        <v/>
      </c>
      <c r="G324" s="6" t="str">
        <f t="shared" si="102"/>
        <v/>
      </c>
      <c r="H324" s="6" t="str">
        <f t="shared" si="103"/>
        <v/>
      </c>
      <c r="I324" s="8" t="str">
        <f t="shared" si="104"/>
        <v/>
      </c>
      <c r="J324" s="8" t="str">
        <f t="shared" si="90"/>
        <v/>
      </c>
      <c r="K324" s="9" t="str">
        <f t="shared" si="91"/>
        <v/>
      </c>
      <c r="L324" s="9" t="str">
        <f t="shared" si="105"/>
        <v/>
      </c>
      <c r="M324" s="10" t="str">
        <f t="shared" si="92"/>
        <v/>
      </c>
      <c r="N324" s="6" t="str">
        <f t="shared" si="93"/>
        <v/>
      </c>
      <c r="O324" s="9" t="str">
        <f t="shared" si="94"/>
        <v/>
      </c>
      <c r="P324" s="9" t="str">
        <f t="shared" si="95"/>
        <v/>
      </c>
      <c r="Q324" s="9" t="str">
        <f t="shared" si="96"/>
        <v/>
      </c>
      <c r="R324" s="9" t="str">
        <f t="shared" ca="1" si="97"/>
        <v/>
      </c>
      <c r="T324" s="6" t="str">
        <f t="shared" si="106"/>
        <v/>
      </c>
      <c r="U324" s="6" t="str">
        <f t="shared" si="98"/>
        <v/>
      </c>
      <c r="V324" s="10" t="str">
        <f t="shared" si="99"/>
        <v/>
      </c>
      <c r="W324" s="8" t="str">
        <f t="shared" si="100"/>
        <v/>
      </c>
      <c r="X324" s="9">
        <f t="shared" si="107"/>
        <v>0</v>
      </c>
      <c r="Y324" s="9">
        <f t="shared" si="109"/>
        <v>0</v>
      </c>
    </row>
    <row r="325" spans="2:25" x14ac:dyDescent="0.3">
      <c r="B325" s="6">
        <v>288</v>
      </c>
      <c r="C325" s="79" t="str">
        <f t="shared" si="108"/>
        <v/>
      </c>
      <c r="D325" s="6" t="str">
        <f t="shared" si="89"/>
        <v/>
      </c>
      <c r="E325" s="79" t="str">
        <f t="shared" si="101"/>
        <v/>
      </c>
      <c r="F325" s="79" t="str">
        <f>IF(B324&gt;$C$18,"",IF(COUNTIF(Feriados!$A$2:$B$17,EDATE($C$38,B324))=0,EDATE($C$38,B324),EDATE($C$38,B324)+VLOOKUP(EDATE($C$38,B324),Feriados!$A$2:$B$17,2,FALSE)))</f>
        <v/>
      </c>
      <c r="G325" s="6" t="str">
        <f t="shared" si="102"/>
        <v/>
      </c>
      <c r="H325" s="6" t="str">
        <f t="shared" si="103"/>
        <v/>
      </c>
      <c r="I325" s="8" t="str">
        <f t="shared" si="104"/>
        <v/>
      </c>
      <c r="J325" s="8" t="str">
        <f t="shared" si="90"/>
        <v/>
      </c>
      <c r="K325" s="9" t="str">
        <f t="shared" si="91"/>
        <v/>
      </c>
      <c r="L325" s="9" t="str">
        <f t="shared" si="105"/>
        <v/>
      </c>
      <c r="M325" s="10" t="str">
        <f t="shared" si="92"/>
        <v/>
      </c>
      <c r="N325" s="6" t="str">
        <f t="shared" si="93"/>
        <v/>
      </c>
      <c r="O325" s="9" t="str">
        <f t="shared" si="94"/>
        <v/>
      </c>
      <c r="P325" s="9" t="str">
        <f t="shared" si="95"/>
        <v/>
      </c>
      <c r="Q325" s="9" t="str">
        <f t="shared" si="96"/>
        <v/>
      </c>
      <c r="R325" s="9" t="str">
        <f t="shared" ca="1" si="97"/>
        <v/>
      </c>
      <c r="T325" s="6" t="str">
        <f t="shared" si="106"/>
        <v/>
      </c>
      <c r="U325" s="6" t="str">
        <f t="shared" si="98"/>
        <v/>
      </c>
      <c r="V325" s="10" t="str">
        <f t="shared" si="99"/>
        <v/>
      </c>
      <c r="W325" s="8" t="str">
        <f t="shared" si="100"/>
        <v/>
      </c>
      <c r="X325" s="9">
        <f t="shared" si="107"/>
        <v>0</v>
      </c>
      <c r="Y325" s="9">
        <f t="shared" si="109"/>
        <v>0</v>
      </c>
    </row>
    <row r="326" spans="2:25" x14ac:dyDescent="0.3">
      <c r="B326" s="6">
        <v>289</v>
      </c>
      <c r="C326" s="79" t="str">
        <f t="shared" si="108"/>
        <v/>
      </c>
      <c r="D326" s="6" t="str">
        <f t="shared" si="89"/>
        <v/>
      </c>
      <c r="E326" s="79" t="str">
        <f t="shared" si="101"/>
        <v/>
      </c>
      <c r="F326" s="79" t="str">
        <f>IF(B325&gt;$C$18,"",IF(COUNTIF(Feriados!$A$2:$B$17,EDATE($C$38,B325))=0,EDATE($C$38,B325),EDATE($C$38,B325)+VLOOKUP(EDATE($C$38,B325),Feriados!$A$2:$B$17,2,FALSE)))</f>
        <v/>
      </c>
      <c r="G326" s="6" t="str">
        <f t="shared" si="102"/>
        <v/>
      </c>
      <c r="H326" s="6" t="str">
        <f t="shared" si="103"/>
        <v/>
      </c>
      <c r="I326" s="8" t="str">
        <f t="shared" si="104"/>
        <v/>
      </c>
      <c r="J326" s="8" t="str">
        <f t="shared" si="90"/>
        <v/>
      </c>
      <c r="K326" s="9" t="str">
        <f t="shared" si="91"/>
        <v/>
      </c>
      <c r="L326" s="9" t="str">
        <f t="shared" si="105"/>
        <v/>
      </c>
      <c r="M326" s="10" t="str">
        <f t="shared" si="92"/>
        <v/>
      </c>
      <c r="N326" s="6" t="str">
        <f t="shared" si="93"/>
        <v/>
      </c>
      <c r="O326" s="9" t="str">
        <f t="shared" si="94"/>
        <v/>
      </c>
      <c r="P326" s="9" t="str">
        <f t="shared" si="95"/>
        <v/>
      </c>
      <c r="Q326" s="9" t="str">
        <f t="shared" si="96"/>
        <v/>
      </c>
      <c r="R326" s="9" t="str">
        <f t="shared" ca="1" si="97"/>
        <v/>
      </c>
      <c r="T326" s="6" t="str">
        <f t="shared" si="106"/>
        <v/>
      </c>
      <c r="U326" s="6" t="str">
        <f t="shared" si="98"/>
        <v/>
      </c>
      <c r="V326" s="10" t="str">
        <f t="shared" si="99"/>
        <v/>
      </c>
      <c r="W326" s="8" t="str">
        <f t="shared" si="100"/>
        <v/>
      </c>
      <c r="X326" s="9">
        <f t="shared" si="107"/>
        <v>0</v>
      </c>
      <c r="Y326" s="9">
        <f t="shared" si="109"/>
        <v>0</v>
      </c>
    </row>
    <row r="327" spans="2:25" x14ac:dyDescent="0.3">
      <c r="B327" s="6">
        <v>290</v>
      </c>
      <c r="C327" s="79" t="str">
        <f t="shared" si="108"/>
        <v/>
      </c>
      <c r="D327" s="6" t="str">
        <f t="shared" si="89"/>
        <v/>
      </c>
      <c r="E327" s="79" t="str">
        <f t="shared" si="101"/>
        <v/>
      </c>
      <c r="F327" s="79" t="str">
        <f>IF(B326&gt;$C$18,"",IF(COUNTIF(Feriados!$A$2:$B$17,EDATE($C$38,B326))=0,EDATE($C$38,B326),EDATE($C$38,B326)+VLOOKUP(EDATE($C$38,B326),Feriados!$A$2:$B$17,2,FALSE)))</f>
        <v/>
      </c>
      <c r="G327" s="6" t="str">
        <f t="shared" si="102"/>
        <v/>
      </c>
      <c r="H327" s="6" t="str">
        <f t="shared" si="103"/>
        <v/>
      </c>
      <c r="I327" s="8" t="str">
        <f t="shared" si="104"/>
        <v/>
      </c>
      <c r="J327" s="8" t="str">
        <f t="shared" si="90"/>
        <v/>
      </c>
      <c r="K327" s="9" t="str">
        <f t="shared" si="91"/>
        <v/>
      </c>
      <c r="L327" s="9" t="str">
        <f t="shared" si="105"/>
        <v/>
      </c>
      <c r="M327" s="10" t="str">
        <f t="shared" si="92"/>
        <v/>
      </c>
      <c r="N327" s="6" t="str">
        <f t="shared" si="93"/>
        <v/>
      </c>
      <c r="O327" s="9" t="str">
        <f t="shared" si="94"/>
        <v/>
      </c>
      <c r="P327" s="9" t="str">
        <f t="shared" si="95"/>
        <v/>
      </c>
      <c r="Q327" s="9" t="str">
        <f t="shared" si="96"/>
        <v/>
      </c>
      <c r="R327" s="9" t="str">
        <f t="shared" ca="1" si="97"/>
        <v/>
      </c>
      <c r="T327" s="6" t="str">
        <f t="shared" si="106"/>
        <v/>
      </c>
      <c r="U327" s="6" t="str">
        <f t="shared" si="98"/>
        <v/>
      </c>
      <c r="V327" s="10" t="str">
        <f t="shared" si="99"/>
        <v/>
      </c>
      <c r="W327" s="8" t="str">
        <f t="shared" si="100"/>
        <v/>
      </c>
      <c r="X327" s="9">
        <f t="shared" si="107"/>
        <v>0</v>
      </c>
      <c r="Y327" s="9">
        <f t="shared" si="109"/>
        <v>0</v>
      </c>
    </row>
    <row r="328" spans="2:25" x14ac:dyDescent="0.3">
      <c r="B328" s="6">
        <v>291</v>
      </c>
      <c r="C328" s="79" t="str">
        <f t="shared" si="108"/>
        <v/>
      </c>
      <c r="D328" s="6" t="str">
        <f t="shared" si="89"/>
        <v/>
      </c>
      <c r="E328" s="79" t="str">
        <f t="shared" si="101"/>
        <v/>
      </c>
      <c r="F328" s="79" t="str">
        <f>IF(B327&gt;$C$18,"",IF(COUNTIF(Feriados!$A$2:$B$17,EDATE($C$38,B327))=0,EDATE($C$38,B327),EDATE($C$38,B327)+VLOOKUP(EDATE($C$38,B327),Feriados!$A$2:$B$17,2,FALSE)))</f>
        <v/>
      </c>
      <c r="G328" s="6" t="str">
        <f t="shared" si="102"/>
        <v/>
      </c>
      <c r="H328" s="6" t="str">
        <f t="shared" si="103"/>
        <v/>
      </c>
      <c r="I328" s="8" t="str">
        <f t="shared" si="104"/>
        <v/>
      </c>
      <c r="J328" s="8" t="str">
        <f t="shared" si="90"/>
        <v/>
      </c>
      <c r="K328" s="9" t="str">
        <f t="shared" si="91"/>
        <v/>
      </c>
      <c r="L328" s="9" t="str">
        <f t="shared" si="105"/>
        <v/>
      </c>
      <c r="M328" s="10" t="str">
        <f t="shared" si="92"/>
        <v/>
      </c>
      <c r="N328" s="6" t="str">
        <f t="shared" si="93"/>
        <v/>
      </c>
      <c r="O328" s="9" t="str">
        <f t="shared" si="94"/>
        <v/>
      </c>
      <c r="P328" s="9" t="str">
        <f t="shared" si="95"/>
        <v/>
      </c>
      <c r="Q328" s="9" t="str">
        <f t="shared" si="96"/>
        <v/>
      </c>
      <c r="R328" s="9" t="str">
        <f t="shared" ca="1" si="97"/>
        <v/>
      </c>
      <c r="T328" s="6" t="str">
        <f t="shared" si="106"/>
        <v/>
      </c>
      <c r="U328" s="6" t="str">
        <f t="shared" si="98"/>
        <v/>
      </c>
      <c r="V328" s="10" t="str">
        <f t="shared" si="99"/>
        <v/>
      </c>
      <c r="W328" s="8" t="str">
        <f t="shared" si="100"/>
        <v/>
      </c>
      <c r="X328" s="9">
        <f t="shared" si="107"/>
        <v>0</v>
      </c>
      <c r="Y328" s="9">
        <f t="shared" si="109"/>
        <v>0</v>
      </c>
    </row>
    <row r="329" spans="2:25" x14ac:dyDescent="0.3">
      <c r="B329" s="6">
        <v>292</v>
      </c>
      <c r="C329" s="79" t="str">
        <f t="shared" si="108"/>
        <v/>
      </c>
      <c r="D329" s="6" t="str">
        <f t="shared" si="89"/>
        <v/>
      </c>
      <c r="E329" s="79" t="str">
        <f t="shared" si="101"/>
        <v/>
      </c>
      <c r="F329" s="79" t="str">
        <f>IF(B328&gt;$C$18,"",IF(COUNTIF(Feriados!$A$2:$B$17,EDATE($C$38,B328))=0,EDATE($C$38,B328),EDATE($C$38,B328)+VLOOKUP(EDATE($C$38,B328),Feriados!$A$2:$B$17,2,FALSE)))</f>
        <v/>
      </c>
      <c r="G329" s="6" t="str">
        <f t="shared" si="102"/>
        <v/>
      </c>
      <c r="H329" s="6" t="str">
        <f t="shared" si="103"/>
        <v/>
      </c>
      <c r="I329" s="8" t="str">
        <f t="shared" si="104"/>
        <v/>
      </c>
      <c r="J329" s="8" t="str">
        <f t="shared" si="90"/>
        <v/>
      </c>
      <c r="K329" s="9" t="str">
        <f t="shared" si="91"/>
        <v/>
      </c>
      <c r="L329" s="9" t="str">
        <f t="shared" si="105"/>
        <v/>
      </c>
      <c r="M329" s="10" t="str">
        <f t="shared" si="92"/>
        <v/>
      </c>
      <c r="N329" s="6" t="str">
        <f t="shared" si="93"/>
        <v/>
      </c>
      <c r="O329" s="9" t="str">
        <f t="shared" si="94"/>
        <v/>
      </c>
      <c r="P329" s="9" t="str">
        <f t="shared" si="95"/>
        <v/>
      </c>
      <c r="Q329" s="9" t="str">
        <f t="shared" si="96"/>
        <v/>
      </c>
      <c r="R329" s="9" t="str">
        <f t="shared" ca="1" si="97"/>
        <v/>
      </c>
      <c r="T329" s="6" t="str">
        <f t="shared" si="106"/>
        <v/>
      </c>
      <c r="U329" s="6" t="str">
        <f t="shared" si="98"/>
        <v/>
      </c>
      <c r="V329" s="10" t="str">
        <f t="shared" si="99"/>
        <v/>
      </c>
      <c r="W329" s="8" t="str">
        <f t="shared" si="100"/>
        <v/>
      </c>
      <c r="X329" s="9">
        <f t="shared" si="107"/>
        <v>0</v>
      </c>
      <c r="Y329" s="9">
        <f t="shared" si="109"/>
        <v>0</v>
      </c>
    </row>
    <row r="330" spans="2:25" x14ac:dyDescent="0.3">
      <c r="B330" s="6">
        <v>293</v>
      </c>
      <c r="C330" s="79" t="str">
        <f t="shared" si="108"/>
        <v/>
      </c>
      <c r="D330" s="6" t="str">
        <f t="shared" si="89"/>
        <v/>
      </c>
      <c r="E330" s="79" t="str">
        <f t="shared" si="101"/>
        <v/>
      </c>
      <c r="F330" s="79" t="str">
        <f>IF(B329&gt;$C$18,"",IF(COUNTIF(Feriados!$A$2:$B$17,EDATE($C$38,B329))=0,EDATE($C$38,B329),EDATE($C$38,B329)+VLOOKUP(EDATE($C$38,B329),Feriados!$A$2:$B$17,2,FALSE)))</f>
        <v/>
      </c>
      <c r="G330" s="6" t="str">
        <f t="shared" si="102"/>
        <v/>
      </c>
      <c r="H330" s="6" t="str">
        <f t="shared" si="103"/>
        <v/>
      </c>
      <c r="I330" s="8" t="str">
        <f t="shared" si="104"/>
        <v/>
      </c>
      <c r="J330" s="8" t="str">
        <f t="shared" si="90"/>
        <v/>
      </c>
      <c r="K330" s="9" t="str">
        <f t="shared" si="91"/>
        <v/>
      </c>
      <c r="L330" s="9" t="str">
        <f t="shared" si="105"/>
        <v/>
      </c>
      <c r="M330" s="10" t="str">
        <f t="shared" si="92"/>
        <v/>
      </c>
      <c r="N330" s="6" t="str">
        <f t="shared" si="93"/>
        <v/>
      </c>
      <c r="O330" s="9" t="str">
        <f t="shared" si="94"/>
        <v/>
      </c>
      <c r="P330" s="9" t="str">
        <f t="shared" si="95"/>
        <v/>
      </c>
      <c r="Q330" s="9" t="str">
        <f t="shared" si="96"/>
        <v/>
      </c>
      <c r="R330" s="9" t="str">
        <f t="shared" ca="1" si="97"/>
        <v/>
      </c>
      <c r="T330" s="6" t="str">
        <f t="shared" si="106"/>
        <v/>
      </c>
      <c r="U330" s="6" t="str">
        <f t="shared" si="98"/>
        <v/>
      </c>
      <c r="V330" s="10" t="str">
        <f t="shared" si="99"/>
        <v/>
      </c>
      <c r="W330" s="8" t="str">
        <f t="shared" si="100"/>
        <v/>
      </c>
      <c r="X330" s="9">
        <f t="shared" si="107"/>
        <v>0</v>
      </c>
      <c r="Y330" s="9">
        <f t="shared" si="109"/>
        <v>0</v>
      </c>
    </row>
    <row r="331" spans="2:25" x14ac:dyDescent="0.3">
      <c r="B331" s="6">
        <v>294</v>
      </c>
      <c r="C331" s="79" t="str">
        <f t="shared" si="108"/>
        <v/>
      </c>
      <c r="D331" s="6" t="str">
        <f t="shared" si="89"/>
        <v/>
      </c>
      <c r="E331" s="79" t="str">
        <f t="shared" si="101"/>
        <v/>
      </c>
      <c r="F331" s="79" t="str">
        <f>IF(B330&gt;$C$18,"",IF(COUNTIF(Feriados!$A$2:$B$17,EDATE($C$38,B330))=0,EDATE($C$38,B330),EDATE($C$38,B330)+VLOOKUP(EDATE($C$38,B330),Feriados!$A$2:$B$17,2,FALSE)))</f>
        <v/>
      </c>
      <c r="G331" s="6" t="str">
        <f t="shared" si="102"/>
        <v/>
      </c>
      <c r="H331" s="6" t="str">
        <f t="shared" si="103"/>
        <v/>
      </c>
      <c r="I331" s="8" t="str">
        <f t="shared" si="104"/>
        <v/>
      </c>
      <c r="J331" s="8" t="str">
        <f t="shared" si="90"/>
        <v/>
      </c>
      <c r="K331" s="9" t="str">
        <f t="shared" si="91"/>
        <v/>
      </c>
      <c r="L331" s="9" t="str">
        <f t="shared" si="105"/>
        <v/>
      </c>
      <c r="M331" s="10" t="str">
        <f t="shared" si="92"/>
        <v/>
      </c>
      <c r="N331" s="6" t="str">
        <f t="shared" si="93"/>
        <v/>
      </c>
      <c r="O331" s="9" t="str">
        <f t="shared" si="94"/>
        <v/>
      </c>
      <c r="P331" s="9" t="str">
        <f t="shared" si="95"/>
        <v/>
      </c>
      <c r="Q331" s="9" t="str">
        <f t="shared" si="96"/>
        <v/>
      </c>
      <c r="R331" s="9" t="str">
        <f t="shared" ca="1" si="97"/>
        <v/>
      </c>
      <c r="T331" s="6" t="str">
        <f t="shared" si="106"/>
        <v/>
      </c>
      <c r="U331" s="6" t="str">
        <f t="shared" si="98"/>
        <v/>
      </c>
      <c r="V331" s="10" t="str">
        <f t="shared" si="99"/>
        <v/>
      </c>
      <c r="W331" s="8" t="str">
        <f t="shared" si="100"/>
        <v/>
      </c>
      <c r="X331" s="9">
        <f t="shared" si="107"/>
        <v>0</v>
      </c>
      <c r="Y331" s="9">
        <f t="shared" si="109"/>
        <v>0</v>
      </c>
    </row>
    <row r="332" spans="2:25" x14ac:dyDescent="0.3">
      <c r="B332" s="6">
        <v>295</v>
      </c>
      <c r="C332" s="79" t="str">
        <f t="shared" si="108"/>
        <v/>
      </c>
      <c r="D332" s="6" t="str">
        <f t="shared" si="89"/>
        <v/>
      </c>
      <c r="E332" s="79" t="str">
        <f t="shared" si="101"/>
        <v/>
      </c>
      <c r="F332" s="79" t="str">
        <f>IF(B331&gt;$C$18,"",IF(COUNTIF(Feriados!$A$2:$B$17,EDATE($C$38,B331))=0,EDATE($C$38,B331),EDATE($C$38,B331)+VLOOKUP(EDATE($C$38,B331),Feriados!$A$2:$B$17,2,FALSE)))</f>
        <v/>
      </c>
      <c r="G332" s="6" t="str">
        <f t="shared" si="102"/>
        <v/>
      </c>
      <c r="H332" s="6" t="str">
        <f t="shared" si="103"/>
        <v/>
      </c>
      <c r="I332" s="8" t="str">
        <f t="shared" si="104"/>
        <v/>
      </c>
      <c r="J332" s="8" t="str">
        <f t="shared" si="90"/>
        <v/>
      </c>
      <c r="K332" s="9" t="str">
        <f t="shared" si="91"/>
        <v/>
      </c>
      <c r="L332" s="9" t="str">
        <f t="shared" si="105"/>
        <v/>
      </c>
      <c r="M332" s="10" t="str">
        <f t="shared" si="92"/>
        <v/>
      </c>
      <c r="N332" s="6" t="str">
        <f t="shared" si="93"/>
        <v/>
      </c>
      <c r="O332" s="9" t="str">
        <f t="shared" si="94"/>
        <v/>
      </c>
      <c r="P332" s="9" t="str">
        <f t="shared" si="95"/>
        <v/>
      </c>
      <c r="Q332" s="9" t="str">
        <f t="shared" si="96"/>
        <v/>
      </c>
      <c r="R332" s="9" t="str">
        <f t="shared" ca="1" si="97"/>
        <v/>
      </c>
      <c r="T332" s="6" t="str">
        <f t="shared" si="106"/>
        <v/>
      </c>
      <c r="U332" s="6" t="str">
        <f t="shared" si="98"/>
        <v/>
      </c>
      <c r="V332" s="10" t="str">
        <f t="shared" si="99"/>
        <v/>
      </c>
      <c r="W332" s="8" t="str">
        <f t="shared" si="100"/>
        <v/>
      </c>
      <c r="X332" s="9">
        <f t="shared" si="107"/>
        <v>0</v>
      </c>
      <c r="Y332" s="9">
        <f t="shared" si="109"/>
        <v>0</v>
      </c>
    </row>
    <row r="333" spans="2:25" x14ac:dyDescent="0.3">
      <c r="B333" s="6">
        <v>296</v>
      </c>
      <c r="C333" s="79" t="str">
        <f t="shared" si="108"/>
        <v/>
      </c>
      <c r="D333" s="6" t="str">
        <f t="shared" si="89"/>
        <v/>
      </c>
      <c r="E333" s="79" t="str">
        <f t="shared" si="101"/>
        <v/>
      </c>
      <c r="F333" s="79" t="str">
        <f>IF(B332&gt;$C$18,"",IF(COUNTIF(Feriados!$A$2:$B$17,EDATE($C$38,B332))=0,EDATE($C$38,B332),EDATE($C$38,B332)+VLOOKUP(EDATE($C$38,B332),Feriados!$A$2:$B$17,2,FALSE)))</f>
        <v/>
      </c>
      <c r="G333" s="6" t="str">
        <f t="shared" si="102"/>
        <v/>
      </c>
      <c r="H333" s="6" t="str">
        <f t="shared" si="103"/>
        <v/>
      </c>
      <c r="I333" s="8" t="str">
        <f t="shared" si="104"/>
        <v/>
      </c>
      <c r="J333" s="8" t="str">
        <f t="shared" si="90"/>
        <v/>
      </c>
      <c r="K333" s="9" t="str">
        <f t="shared" si="91"/>
        <v/>
      </c>
      <c r="L333" s="9" t="str">
        <f t="shared" si="105"/>
        <v/>
      </c>
      <c r="M333" s="10" t="str">
        <f t="shared" si="92"/>
        <v/>
      </c>
      <c r="N333" s="6" t="str">
        <f t="shared" si="93"/>
        <v/>
      </c>
      <c r="O333" s="9" t="str">
        <f t="shared" si="94"/>
        <v/>
      </c>
      <c r="P333" s="9" t="str">
        <f t="shared" si="95"/>
        <v/>
      </c>
      <c r="Q333" s="9" t="str">
        <f t="shared" si="96"/>
        <v/>
      </c>
      <c r="R333" s="9" t="str">
        <f t="shared" ca="1" si="97"/>
        <v/>
      </c>
      <c r="T333" s="6" t="str">
        <f t="shared" si="106"/>
        <v/>
      </c>
      <c r="U333" s="6" t="str">
        <f t="shared" si="98"/>
        <v/>
      </c>
      <c r="V333" s="10" t="str">
        <f t="shared" si="99"/>
        <v/>
      </c>
      <c r="W333" s="8" t="str">
        <f t="shared" si="100"/>
        <v/>
      </c>
      <c r="X333" s="9">
        <f t="shared" si="107"/>
        <v>0</v>
      </c>
      <c r="Y333" s="9">
        <f t="shared" si="109"/>
        <v>0</v>
      </c>
    </row>
    <row r="334" spans="2:25" x14ac:dyDescent="0.3">
      <c r="B334" s="6">
        <v>297</v>
      </c>
      <c r="C334" s="79" t="str">
        <f t="shared" si="108"/>
        <v/>
      </c>
      <c r="D334" s="6" t="str">
        <f t="shared" si="89"/>
        <v/>
      </c>
      <c r="E334" s="79" t="str">
        <f t="shared" si="101"/>
        <v/>
      </c>
      <c r="F334" s="79" t="str">
        <f>IF(B333&gt;$C$18,"",IF(COUNTIF(Feriados!$A$2:$B$17,EDATE($C$38,B333))=0,EDATE($C$38,B333),EDATE($C$38,B333)+VLOOKUP(EDATE($C$38,B333),Feriados!$A$2:$B$17,2,FALSE)))</f>
        <v/>
      </c>
      <c r="G334" s="6" t="str">
        <f t="shared" si="102"/>
        <v/>
      </c>
      <c r="H334" s="6" t="str">
        <f t="shared" si="103"/>
        <v/>
      </c>
      <c r="I334" s="8" t="str">
        <f t="shared" si="104"/>
        <v/>
      </c>
      <c r="J334" s="8" t="str">
        <f t="shared" si="90"/>
        <v/>
      </c>
      <c r="K334" s="9" t="str">
        <f t="shared" si="91"/>
        <v/>
      </c>
      <c r="L334" s="9" t="str">
        <f t="shared" si="105"/>
        <v/>
      </c>
      <c r="M334" s="10" t="str">
        <f t="shared" si="92"/>
        <v/>
      </c>
      <c r="N334" s="6" t="str">
        <f t="shared" si="93"/>
        <v/>
      </c>
      <c r="O334" s="9" t="str">
        <f t="shared" si="94"/>
        <v/>
      </c>
      <c r="P334" s="9" t="str">
        <f t="shared" si="95"/>
        <v/>
      </c>
      <c r="Q334" s="9" t="str">
        <f t="shared" si="96"/>
        <v/>
      </c>
      <c r="R334" s="9" t="str">
        <f t="shared" ca="1" si="97"/>
        <v/>
      </c>
      <c r="T334" s="6" t="str">
        <f t="shared" si="106"/>
        <v/>
      </c>
      <c r="U334" s="6" t="str">
        <f t="shared" si="98"/>
        <v/>
      </c>
      <c r="V334" s="10" t="str">
        <f t="shared" si="99"/>
        <v/>
      </c>
      <c r="W334" s="8" t="str">
        <f t="shared" si="100"/>
        <v/>
      </c>
      <c r="X334" s="9">
        <f t="shared" si="107"/>
        <v>0</v>
      </c>
      <c r="Y334" s="9">
        <f t="shared" si="109"/>
        <v>0</v>
      </c>
    </row>
    <row r="335" spans="2:25" x14ac:dyDescent="0.3">
      <c r="B335" s="6">
        <v>298</v>
      </c>
      <c r="C335" s="79" t="str">
        <f t="shared" si="108"/>
        <v/>
      </c>
      <c r="D335" s="6" t="str">
        <f t="shared" si="89"/>
        <v/>
      </c>
      <c r="E335" s="79" t="str">
        <f t="shared" si="101"/>
        <v/>
      </c>
      <c r="F335" s="79" t="str">
        <f>IF(B334&gt;$C$18,"",IF(COUNTIF(Feriados!$A$2:$B$17,EDATE($C$38,B334))=0,EDATE($C$38,B334),EDATE($C$38,B334)+VLOOKUP(EDATE($C$38,B334),Feriados!$A$2:$B$17,2,FALSE)))</f>
        <v/>
      </c>
      <c r="G335" s="6" t="str">
        <f t="shared" si="102"/>
        <v/>
      </c>
      <c r="H335" s="6" t="str">
        <f t="shared" si="103"/>
        <v/>
      </c>
      <c r="I335" s="8" t="str">
        <f t="shared" si="104"/>
        <v/>
      </c>
      <c r="J335" s="8" t="str">
        <f t="shared" si="90"/>
        <v/>
      </c>
      <c r="K335" s="9" t="str">
        <f t="shared" si="91"/>
        <v/>
      </c>
      <c r="L335" s="9" t="str">
        <f t="shared" si="105"/>
        <v/>
      </c>
      <c r="M335" s="10" t="str">
        <f t="shared" si="92"/>
        <v/>
      </c>
      <c r="N335" s="6" t="str">
        <f t="shared" si="93"/>
        <v/>
      </c>
      <c r="O335" s="9" t="str">
        <f t="shared" si="94"/>
        <v/>
      </c>
      <c r="P335" s="9" t="str">
        <f t="shared" si="95"/>
        <v/>
      </c>
      <c r="Q335" s="9" t="str">
        <f t="shared" si="96"/>
        <v/>
      </c>
      <c r="R335" s="9" t="str">
        <f t="shared" ca="1" si="97"/>
        <v/>
      </c>
      <c r="T335" s="6" t="str">
        <f t="shared" si="106"/>
        <v/>
      </c>
      <c r="U335" s="6" t="str">
        <f t="shared" si="98"/>
        <v/>
      </c>
      <c r="V335" s="10" t="str">
        <f t="shared" si="99"/>
        <v/>
      </c>
      <c r="W335" s="8" t="str">
        <f t="shared" si="100"/>
        <v/>
      </c>
      <c r="X335" s="9">
        <f t="shared" si="107"/>
        <v>0</v>
      </c>
      <c r="Y335" s="9">
        <f t="shared" si="109"/>
        <v>0</v>
      </c>
    </row>
    <row r="336" spans="2:25" x14ac:dyDescent="0.3">
      <c r="B336" s="6">
        <v>299</v>
      </c>
      <c r="C336" s="79" t="str">
        <f t="shared" si="108"/>
        <v/>
      </c>
      <c r="D336" s="6" t="str">
        <f t="shared" si="89"/>
        <v/>
      </c>
      <c r="E336" s="79" t="str">
        <f t="shared" si="101"/>
        <v/>
      </c>
      <c r="F336" s="79" t="str">
        <f>IF(B335&gt;$C$18,"",IF(COUNTIF(Feriados!$A$2:$B$17,EDATE($C$38,B335))=0,EDATE($C$38,B335),EDATE($C$38,B335)+VLOOKUP(EDATE($C$38,B335),Feriados!$A$2:$B$17,2,FALSE)))</f>
        <v/>
      </c>
      <c r="G336" s="6" t="str">
        <f t="shared" si="102"/>
        <v/>
      </c>
      <c r="H336" s="6" t="str">
        <f t="shared" si="103"/>
        <v/>
      </c>
      <c r="I336" s="8" t="str">
        <f t="shared" si="104"/>
        <v/>
      </c>
      <c r="J336" s="8" t="str">
        <f t="shared" si="90"/>
        <v/>
      </c>
      <c r="K336" s="9" t="str">
        <f t="shared" si="91"/>
        <v/>
      </c>
      <c r="L336" s="9" t="str">
        <f t="shared" si="105"/>
        <v/>
      </c>
      <c r="M336" s="10" t="str">
        <f t="shared" si="92"/>
        <v/>
      </c>
      <c r="N336" s="6" t="str">
        <f t="shared" si="93"/>
        <v/>
      </c>
      <c r="O336" s="9" t="str">
        <f t="shared" si="94"/>
        <v/>
      </c>
      <c r="P336" s="9" t="str">
        <f t="shared" si="95"/>
        <v/>
      </c>
      <c r="Q336" s="9" t="str">
        <f t="shared" si="96"/>
        <v/>
      </c>
      <c r="R336" s="9" t="str">
        <f t="shared" ca="1" si="97"/>
        <v/>
      </c>
      <c r="T336" s="6" t="str">
        <f t="shared" si="106"/>
        <v/>
      </c>
      <c r="U336" s="6" t="str">
        <f t="shared" si="98"/>
        <v/>
      </c>
      <c r="V336" s="10" t="str">
        <f t="shared" si="99"/>
        <v/>
      </c>
      <c r="W336" s="8" t="str">
        <f t="shared" si="100"/>
        <v/>
      </c>
      <c r="X336" s="9">
        <f t="shared" si="107"/>
        <v>0</v>
      </c>
      <c r="Y336" s="9">
        <f t="shared" si="109"/>
        <v>0</v>
      </c>
    </row>
    <row r="337" spans="2:25" x14ac:dyDescent="0.3">
      <c r="B337" s="6">
        <v>300</v>
      </c>
      <c r="C337" s="79" t="str">
        <f t="shared" si="108"/>
        <v/>
      </c>
      <c r="D337" s="6" t="str">
        <f t="shared" si="89"/>
        <v/>
      </c>
      <c r="E337" s="79" t="str">
        <f t="shared" si="101"/>
        <v/>
      </c>
      <c r="F337" s="79" t="str">
        <f>IF(B336&gt;$C$18,"",IF(COUNTIF(Feriados!$A$2:$B$17,EDATE($C$38,B336))=0,EDATE($C$38,B336),EDATE($C$38,B336)+VLOOKUP(EDATE($C$38,B336),Feriados!$A$2:$B$17,2,FALSE)))</f>
        <v/>
      </c>
      <c r="G337" s="6" t="str">
        <f t="shared" si="102"/>
        <v/>
      </c>
      <c r="H337" s="6" t="str">
        <f t="shared" si="103"/>
        <v/>
      </c>
      <c r="I337" s="8" t="str">
        <f t="shared" si="104"/>
        <v/>
      </c>
      <c r="J337" s="8" t="str">
        <f t="shared" si="90"/>
        <v/>
      </c>
      <c r="K337" s="9" t="str">
        <f t="shared" si="91"/>
        <v/>
      </c>
      <c r="L337" s="9" t="str">
        <f t="shared" si="105"/>
        <v/>
      </c>
      <c r="M337" s="10" t="str">
        <f t="shared" si="92"/>
        <v/>
      </c>
      <c r="N337" s="6" t="str">
        <f t="shared" si="93"/>
        <v/>
      </c>
      <c r="O337" s="9" t="str">
        <f t="shared" si="94"/>
        <v/>
      </c>
      <c r="P337" s="9" t="str">
        <f t="shared" si="95"/>
        <v/>
      </c>
      <c r="Q337" s="9" t="str">
        <f t="shared" si="96"/>
        <v/>
      </c>
      <c r="R337" s="9" t="str">
        <f t="shared" ca="1" si="97"/>
        <v/>
      </c>
      <c r="T337" s="6" t="str">
        <f t="shared" si="106"/>
        <v/>
      </c>
      <c r="U337" s="6" t="str">
        <f t="shared" si="98"/>
        <v/>
      </c>
      <c r="V337" s="10" t="str">
        <f t="shared" si="99"/>
        <v/>
      </c>
      <c r="W337" s="8" t="str">
        <f t="shared" si="100"/>
        <v/>
      </c>
      <c r="X337" s="9">
        <f t="shared" si="107"/>
        <v>0</v>
      </c>
      <c r="Y337" s="9">
        <f t="shared" si="109"/>
        <v>0</v>
      </c>
    </row>
    <row r="338" spans="2:25" x14ac:dyDescent="0.3">
      <c r="B338" s="6">
        <v>301</v>
      </c>
      <c r="C338" s="79" t="str">
        <f t="shared" si="108"/>
        <v/>
      </c>
      <c r="D338" s="6" t="str">
        <f t="shared" si="89"/>
        <v/>
      </c>
      <c r="E338" s="79" t="str">
        <f t="shared" si="101"/>
        <v/>
      </c>
      <c r="F338" s="79" t="str">
        <f>IF(B337&gt;$C$18,"",IF(COUNTIF(Feriados!$A$2:$B$17,EDATE($C$38,B337))=0,EDATE($C$38,B337),EDATE($C$38,B337)+VLOOKUP(EDATE($C$38,B337),Feriados!$A$2:$B$17,2,FALSE)))</f>
        <v/>
      </c>
      <c r="G338" s="6" t="str">
        <f t="shared" si="102"/>
        <v/>
      </c>
      <c r="H338" s="6" t="str">
        <f t="shared" si="103"/>
        <v/>
      </c>
      <c r="I338" s="8" t="str">
        <f t="shared" si="104"/>
        <v/>
      </c>
      <c r="J338" s="8" t="str">
        <f t="shared" si="90"/>
        <v/>
      </c>
      <c r="K338" s="9" t="str">
        <f t="shared" si="91"/>
        <v/>
      </c>
      <c r="L338" s="9" t="str">
        <f t="shared" si="105"/>
        <v/>
      </c>
      <c r="M338" s="10" t="str">
        <f t="shared" si="92"/>
        <v/>
      </c>
      <c r="N338" s="6" t="str">
        <f t="shared" si="93"/>
        <v/>
      </c>
      <c r="O338" s="9" t="str">
        <f t="shared" si="94"/>
        <v/>
      </c>
      <c r="P338" s="9" t="str">
        <f t="shared" si="95"/>
        <v/>
      </c>
      <c r="Q338" s="9" t="str">
        <f t="shared" si="96"/>
        <v/>
      </c>
      <c r="R338" s="9" t="str">
        <f t="shared" ca="1" si="97"/>
        <v/>
      </c>
      <c r="T338" s="6" t="str">
        <f t="shared" si="106"/>
        <v/>
      </c>
      <c r="U338" s="6" t="str">
        <f t="shared" si="98"/>
        <v/>
      </c>
      <c r="V338" s="10" t="str">
        <f t="shared" si="99"/>
        <v/>
      </c>
      <c r="W338" s="8" t="str">
        <f t="shared" si="100"/>
        <v/>
      </c>
      <c r="X338" s="9">
        <f t="shared" si="107"/>
        <v>0</v>
      </c>
      <c r="Y338" s="9">
        <f t="shared" si="109"/>
        <v>0</v>
      </c>
    </row>
    <row r="339" spans="2:25" x14ac:dyDescent="0.3">
      <c r="B339" s="6">
        <v>302</v>
      </c>
      <c r="C339" s="79" t="str">
        <f t="shared" si="108"/>
        <v/>
      </c>
      <c r="D339" s="6" t="str">
        <f t="shared" si="89"/>
        <v/>
      </c>
      <c r="E339" s="79" t="str">
        <f t="shared" si="101"/>
        <v/>
      </c>
      <c r="F339" s="79" t="str">
        <f>IF(B338&gt;$C$18,"",IF(COUNTIF(Feriados!$A$2:$B$17,EDATE($C$38,B338))=0,EDATE($C$38,B338),EDATE($C$38,B338)+VLOOKUP(EDATE($C$38,B338),Feriados!$A$2:$B$17,2,FALSE)))</f>
        <v/>
      </c>
      <c r="G339" s="6" t="str">
        <f t="shared" si="102"/>
        <v/>
      </c>
      <c r="H339" s="6" t="str">
        <f t="shared" si="103"/>
        <v/>
      </c>
      <c r="I339" s="8" t="str">
        <f t="shared" si="104"/>
        <v/>
      </c>
      <c r="J339" s="8" t="str">
        <f t="shared" si="90"/>
        <v/>
      </c>
      <c r="K339" s="9" t="str">
        <f t="shared" si="91"/>
        <v/>
      </c>
      <c r="L339" s="9" t="str">
        <f t="shared" si="105"/>
        <v/>
      </c>
      <c r="M339" s="10" t="str">
        <f t="shared" si="92"/>
        <v/>
      </c>
      <c r="N339" s="6" t="str">
        <f t="shared" si="93"/>
        <v/>
      </c>
      <c r="O339" s="9" t="str">
        <f t="shared" si="94"/>
        <v/>
      </c>
      <c r="P339" s="9" t="str">
        <f t="shared" si="95"/>
        <v/>
      </c>
      <c r="Q339" s="9" t="str">
        <f t="shared" si="96"/>
        <v/>
      </c>
      <c r="R339" s="9" t="str">
        <f t="shared" ca="1" si="97"/>
        <v/>
      </c>
      <c r="T339" s="6" t="str">
        <f t="shared" si="106"/>
        <v/>
      </c>
      <c r="U339" s="6" t="str">
        <f t="shared" si="98"/>
        <v/>
      </c>
      <c r="V339" s="10" t="str">
        <f t="shared" si="99"/>
        <v/>
      </c>
      <c r="W339" s="8" t="str">
        <f t="shared" si="100"/>
        <v/>
      </c>
      <c r="X339" s="9">
        <f t="shared" si="107"/>
        <v>0</v>
      </c>
      <c r="Y339" s="9">
        <f t="shared" si="109"/>
        <v>0</v>
      </c>
    </row>
    <row r="340" spans="2:25" x14ac:dyDescent="0.3">
      <c r="B340" s="6">
        <v>303</v>
      </c>
      <c r="C340" s="79" t="str">
        <f t="shared" si="108"/>
        <v/>
      </c>
      <c r="D340" s="6" t="str">
        <f t="shared" si="89"/>
        <v/>
      </c>
      <c r="E340" s="79" t="str">
        <f t="shared" si="101"/>
        <v/>
      </c>
      <c r="F340" s="79" t="str">
        <f>IF(B339&gt;$C$18,"",IF(COUNTIF(Feriados!$A$2:$B$17,EDATE($C$38,B339))=0,EDATE($C$38,B339),EDATE($C$38,B339)+VLOOKUP(EDATE($C$38,B339),Feriados!$A$2:$B$17,2,FALSE)))</f>
        <v/>
      </c>
      <c r="G340" s="6" t="str">
        <f t="shared" si="102"/>
        <v/>
      </c>
      <c r="H340" s="6" t="str">
        <f t="shared" si="103"/>
        <v/>
      </c>
      <c r="I340" s="8" t="str">
        <f t="shared" si="104"/>
        <v/>
      </c>
      <c r="J340" s="8" t="str">
        <f t="shared" si="90"/>
        <v/>
      </c>
      <c r="K340" s="9" t="str">
        <f t="shared" si="91"/>
        <v/>
      </c>
      <c r="L340" s="9" t="str">
        <f t="shared" si="105"/>
        <v/>
      </c>
      <c r="M340" s="10" t="str">
        <f t="shared" si="92"/>
        <v/>
      </c>
      <c r="N340" s="6" t="str">
        <f t="shared" si="93"/>
        <v/>
      </c>
      <c r="O340" s="9" t="str">
        <f t="shared" si="94"/>
        <v/>
      </c>
      <c r="P340" s="9" t="str">
        <f t="shared" si="95"/>
        <v/>
      </c>
      <c r="Q340" s="9" t="str">
        <f t="shared" si="96"/>
        <v/>
      </c>
      <c r="R340" s="9" t="str">
        <f t="shared" ca="1" si="97"/>
        <v/>
      </c>
      <c r="T340" s="6" t="str">
        <f t="shared" si="106"/>
        <v/>
      </c>
      <c r="U340" s="6" t="str">
        <f t="shared" si="98"/>
        <v/>
      </c>
      <c r="V340" s="10" t="str">
        <f t="shared" si="99"/>
        <v/>
      </c>
      <c r="W340" s="8" t="str">
        <f t="shared" si="100"/>
        <v/>
      </c>
      <c r="X340" s="9">
        <f t="shared" si="107"/>
        <v>0</v>
      </c>
      <c r="Y340" s="9">
        <f t="shared" si="109"/>
        <v>0</v>
      </c>
    </row>
    <row r="341" spans="2:25" x14ac:dyDescent="0.3">
      <c r="B341" s="6">
        <v>304</v>
      </c>
      <c r="C341" s="79" t="str">
        <f t="shared" si="108"/>
        <v/>
      </c>
      <c r="D341" s="6" t="str">
        <f t="shared" si="89"/>
        <v/>
      </c>
      <c r="E341" s="79" t="str">
        <f t="shared" si="101"/>
        <v/>
      </c>
      <c r="F341" s="79" t="str">
        <f>IF(B340&gt;$C$18,"",IF(COUNTIF(Feriados!$A$2:$B$17,EDATE($C$38,B340))=0,EDATE($C$38,B340),EDATE($C$38,B340)+VLOOKUP(EDATE($C$38,B340),Feriados!$A$2:$B$17,2,FALSE)))</f>
        <v/>
      </c>
      <c r="G341" s="6" t="str">
        <f t="shared" si="102"/>
        <v/>
      </c>
      <c r="H341" s="6" t="str">
        <f t="shared" si="103"/>
        <v/>
      </c>
      <c r="I341" s="8" t="str">
        <f t="shared" si="104"/>
        <v/>
      </c>
      <c r="J341" s="8" t="str">
        <f t="shared" si="90"/>
        <v/>
      </c>
      <c r="K341" s="9" t="str">
        <f t="shared" si="91"/>
        <v/>
      </c>
      <c r="L341" s="9" t="str">
        <f t="shared" si="105"/>
        <v/>
      </c>
      <c r="M341" s="10" t="str">
        <f t="shared" si="92"/>
        <v/>
      </c>
      <c r="N341" s="6" t="str">
        <f t="shared" si="93"/>
        <v/>
      </c>
      <c r="O341" s="9" t="str">
        <f t="shared" si="94"/>
        <v/>
      </c>
      <c r="P341" s="9" t="str">
        <f t="shared" si="95"/>
        <v/>
      </c>
      <c r="Q341" s="9" t="str">
        <f t="shared" si="96"/>
        <v/>
      </c>
      <c r="R341" s="9" t="str">
        <f t="shared" ca="1" si="97"/>
        <v/>
      </c>
      <c r="T341" s="6" t="str">
        <f t="shared" si="106"/>
        <v/>
      </c>
      <c r="U341" s="6" t="str">
        <f t="shared" si="98"/>
        <v/>
      </c>
      <c r="V341" s="10" t="str">
        <f t="shared" si="99"/>
        <v/>
      </c>
      <c r="W341" s="8" t="str">
        <f t="shared" si="100"/>
        <v/>
      </c>
      <c r="X341" s="9">
        <f t="shared" si="107"/>
        <v>0</v>
      </c>
      <c r="Y341" s="9">
        <f t="shared" si="109"/>
        <v>0</v>
      </c>
    </row>
    <row r="342" spans="2:25" x14ac:dyDescent="0.3">
      <c r="B342" s="6">
        <v>305</v>
      </c>
      <c r="C342" s="79" t="str">
        <f t="shared" si="108"/>
        <v/>
      </c>
      <c r="D342" s="6" t="str">
        <f t="shared" si="89"/>
        <v/>
      </c>
      <c r="E342" s="79" t="str">
        <f t="shared" si="101"/>
        <v/>
      </c>
      <c r="F342" s="79" t="str">
        <f>IF(B341&gt;$C$18,"",IF(COUNTIF(Feriados!$A$2:$B$17,EDATE($C$38,B341))=0,EDATE($C$38,B341),EDATE($C$38,B341)+VLOOKUP(EDATE($C$38,B341),Feriados!$A$2:$B$17,2,FALSE)))</f>
        <v/>
      </c>
      <c r="G342" s="6" t="str">
        <f t="shared" si="102"/>
        <v/>
      </c>
      <c r="H342" s="6" t="str">
        <f t="shared" si="103"/>
        <v/>
      </c>
      <c r="I342" s="8" t="str">
        <f t="shared" si="104"/>
        <v/>
      </c>
      <c r="J342" s="8" t="str">
        <f t="shared" si="90"/>
        <v/>
      </c>
      <c r="K342" s="9" t="str">
        <f t="shared" si="91"/>
        <v/>
      </c>
      <c r="L342" s="9" t="str">
        <f t="shared" si="105"/>
        <v/>
      </c>
      <c r="M342" s="10" t="str">
        <f t="shared" si="92"/>
        <v/>
      </c>
      <c r="N342" s="6" t="str">
        <f t="shared" si="93"/>
        <v/>
      </c>
      <c r="O342" s="9" t="str">
        <f t="shared" si="94"/>
        <v/>
      </c>
      <c r="P342" s="9" t="str">
        <f t="shared" si="95"/>
        <v/>
      </c>
      <c r="Q342" s="9" t="str">
        <f t="shared" si="96"/>
        <v/>
      </c>
      <c r="R342" s="9" t="str">
        <f t="shared" ca="1" si="97"/>
        <v/>
      </c>
      <c r="T342" s="6" t="str">
        <f t="shared" si="106"/>
        <v/>
      </c>
      <c r="U342" s="6" t="str">
        <f t="shared" si="98"/>
        <v/>
      </c>
      <c r="V342" s="10" t="str">
        <f t="shared" si="99"/>
        <v/>
      </c>
      <c r="W342" s="8" t="str">
        <f t="shared" si="100"/>
        <v/>
      </c>
      <c r="X342" s="9">
        <f t="shared" si="107"/>
        <v>0</v>
      </c>
      <c r="Y342" s="9">
        <f t="shared" si="109"/>
        <v>0</v>
      </c>
    </row>
    <row r="343" spans="2:25" x14ac:dyDescent="0.3">
      <c r="B343" s="6">
        <v>306</v>
      </c>
      <c r="C343" s="79" t="str">
        <f t="shared" si="108"/>
        <v/>
      </c>
      <c r="D343" s="6" t="str">
        <f t="shared" si="89"/>
        <v/>
      </c>
      <c r="E343" s="79" t="str">
        <f t="shared" si="101"/>
        <v/>
      </c>
      <c r="F343" s="79" t="str">
        <f>IF(B342&gt;$C$18,"",IF(COUNTIF(Feriados!$A$2:$B$17,EDATE($C$38,B342))=0,EDATE($C$38,B342),EDATE($C$38,B342)+VLOOKUP(EDATE($C$38,B342),Feriados!$A$2:$B$17,2,FALSE)))</f>
        <v/>
      </c>
      <c r="G343" s="6" t="str">
        <f t="shared" si="102"/>
        <v/>
      </c>
      <c r="H343" s="6" t="str">
        <f t="shared" si="103"/>
        <v/>
      </c>
      <c r="I343" s="8" t="str">
        <f t="shared" si="104"/>
        <v/>
      </c>
      <c r="J343" s="8" t="str">
        <f t="shared" si="90"/>
        <v/>
      </c>
      <c r="K343" s="9" t="str">
        <f t="shared" si="91"/>
        <v/>
      </c>
      <c r="L343" s="9" t="str">
        <f t="shared" si="105"/>
        <v/>
      </c>
      <c r="M343" s="10" t="str">
        <f t="shared" si="92"/>
        <v/>
      </c>
      <c r="N343" s="6" t="str">
        <f t="shared" si="93"/>
        <v/>
      </c>
      <c r="O343" s="9" t="str">
        <f t="shared" si="94"/>
        <v/>
      </c>
      <c r="P343" s="9" t="str">
        <f t="shared" si="95"/>
        <v/>
      </c>
      <c r="Q343" s="9" t="str">
        <f t="shared" si="96"/>
        <v/>
      </c>
      <c r="R343" s="9" t="str">
        <f t="shared" ca="1" si="97"/>
        <v/>
      </c>
      <c r="T343" s="6" t="str">
        <f t="shared" si="106"/>
        <v/>
      </c>
      <c r="U343" s="6" t="str">
        <f t="shared" si="98"/>
        <v/>
      </c>
      <c r="V343" s="10" t="str">
        <f t="shared" si="99"/>
        <v/>
      </c>
      <c r="W343" s="8" t="str">
        <f t="shared" si="100"/>
        <v/>
      </c>
      <c r="X343" s="9">
        <f t="shared" si="107"/>
        <v>0</v>
      </c>
      <c r="Y343" s="9">
        <f t="shared" si="109"/>
        <v>0</v>
      </c>
    </row>
    <row r="344" spans="2:25" x14ac:dyDescent="0.3">
      <c r="B344" s="6">
        <v>307</v>
      </c>
      <c r="C344" s="79" t="str">
        <f t="shared" si="108"/>
        <v/>
      </c>
      <c r="D344" s="6" t="str">
        <f t="shared" si="89"/>
        <v/>
      </c>
      <c r="E344" s="79" t="str">
        <f t="shared" si="101"/>
        <v/>
      </c>
      <c r="F344" s="79" t="str">
        <f>IF(B343&gt;$C$18,"",IF(COUNTIF(Feriados!$A$2:$B$17,EDATE($C$38,B343))=0,EDATE($C$38,B343),EDATE($C$38,B343)+VLOOKUP(EDATE($C$38,B343),Feriados!$A$2:$B$17,2,FALSE)))</f>
        <v/>
      </c>
      <c r="G344" s="6" t="str">
        <f t="shared" si="102"/>
        <v/>
      </c>
      <c r="H344" s="6" t="str">
        <f t="shared" si="103"/>
        <v/>
      </c>
      <c r="I344" s="8" t="str">
        <f t="shared" si="104"/>
        <v/>
      </c>
      <c r="J344" s="8" t="str">
        <f t="shared" si="90"/>
        <v/>
      </c>
      <c r="K344" s="9" t="str">
        <f t="shared" si="91"/>
        <v/>
      </c>
      <c r="L344" s="9" t="str">
        <f t="shared" si="105"/>
        <v/>
      </c>
      <c r="M344" s="10" t="str">
        <f t="shared" si="92"/>
        <v/>
      </c>
      <c r="N344" s="6" t="str">
        <f t="shared" si="93"/>
        <v/>
      </c>
      <c r="O344" s="9" t="str">
        <f t="shared" si="94"/>
        <v/>
      </c>
      <c r="P344" s="9" t="str">
        <f t="shared" si="95"/>
        <v/>
      </c>
      <c r="Q344" s="9" t="str">
        <f t="shared" si="96"/>
        <v/>
      </c>
      <c r="R344" s="9" t="str">
        <f t="shared" ca="1" si="97"/>
        <v/>
      </c>
      <c r="T344" s="6" t="str">
        <f t="shared" si="106"/>
        <v/>
      </c>
      <c r="U344" s="6" t="str">
        <f t="shared" si="98"/>
        <v/>
      </c>
      <c r="V344" s="10" t="str">
        <f t="shared" si="99"/>
        <v/>
      </c>
      <c r="W344" s="8" t="str">
        <f t="shared" si="100"/>
        <v/>
      </c>
      <c r="X344" s="9">
        <f t="shared" si="107"/>
        <v>0</v>
      </c>
      <c r="Y344" s="9">
        <f t="shared" si="109"/>
        <v>0</v>
      </c>
    </row>
    <row r="345" spans="2:25" x14ac:dyDescent="0.3">
      <c r="B345" s="6">
        <v>308</v>
      </c>
      <c r="C345" s="79" t="str">
        <f t="shared" si="108"/>
        <v/>
      </c>
      <c r="D345" s="6" t="str">
        <f t="shared" si="89"/>
        <v/>
      </c>
      <c r="E345" s="79" t="str">
        <f t="shared" si="101"/>
        <v/>
      </c>
      <c r="F345" s="79" t="str">
        <f>IF(B344&gt;$C$18,"",IF(COUNTIF(Feriados!$A$2:$B$17,EDATE($C$38,B344))=0,EDATE($C$38,B344),EDATE($C$38,B344)+VLOOKUP(EDATE($C$38,B344),Feriados!$A$2:$B$17,2,FALSE)))</f>
        <v/>
      </c>
      <c r="G345" s="6" t="str">
        <f t="shared" si="102"/>
        <v/>
      </c>
      <c r="H345" s="6" t="str">
        <f t="shared" si="103"/>
        <v/>
      </c>
      <c r="I345" s="8" t="str">
        <f t="shared" si="104"/>
        <v/>
      </c>
      <c r="J345" s="8" t="str">
        <f t="shared" si="90"/>
        <v/>
      </c>
      <c r="K345" s="9" t="str">
        <f t="shared" si="91"/>
        <v/>
      </c>
      <c r="L345" s="9" t="str">
        <f t="shared" si="105"/>
        <v/>
      </c>
      <c r="M345" s="10" t="str">
        <f t="shared" si="92"/>
        <v/>
      </c>
      <c r="N345" s="6" t="str">
        <f t="shared" si="93"/>
        <v/>
      </c>
      <c r="O345" s="9" t="str">
        <f t="shared" si="94"/>
        <v/>
      </c>
      <c r="P345" s="9" t="str">
        <f t="shared" si="95"/>
        <v/>
      </c>
      <c r="Q345" s="9" t="str">
        <f t="shared" si="96"/>
        <v/>
      </c>
      <c r="R345" s="9" t="str">
        <f t="shared" ca="1" si="97"/>
        <v/>
      </c>
      <c r="T345" s="6" t="str">
        <f t="shared" si="106"/>
        <v/>
      </c>
      <c r="U345" s="6" t="str">
        <f t="shared" si="98"/>
        <v/>
      </c>
      <c r="V345" s="10" t="str">
        <f t="shared" si="99"/>
        <v/>
      </c>
      <c r="W345" s="8" t="str">
        <f t="shared" si="100"/>
        <v/>
      </c>
      <c r="X345" s="9">
        <f t="shared" si="107"/>
        <v>0</v>
      </c>
      <c r="Y345" s="9">
        <f t="shared" si="109"/>
        <v>0</v>
      </c>
    </row>
    <row r="346" spans="2:25" x14ac:dyDescent="0.3">
      <c r="B346" s="6">
        <v>309</v>
      </c>
      <c r="C346" s="79" t="str">
        <f t="shared" si="108"/>
        <v/>
      </c>
      <c r="D346" s="6" t="str">
        <f t="shared" si="89"/>
        <v/>
      </c>
      <c r="E346" s="79" t="str">
        <f t="shared" si="101"/>
        <v/>
      </c>
      <c r="F346" s="79" t="str">
        <f>IF(B345&gt;$C$18,"",IF(COUNTIF(Feriados!$A$2:$B$17,EDATE($C$38,B345))=0,EDATE($C$38,B345),EDATE($C$38,B345)+VLOOKUP(EDATE($C$38,B345),Feriados!$A$2:$B$17,2,FALSE)))</f>
        <v/>
      </c>
      <c r="G346" s="6" t="str">
        <f t="shared" si="102"/>
        <v/>
      </c>
      <c r="H346" s="6" t="str">
        <f t="shared" si="103"/>
        <v/>
      </c>
      <c r="I346" s="8" t="str">
        <f t="shared" si="104"/>
        <v/>
      </c>
      <c r="J346" s="8" t="str">
        <f t="shared" si="90"/>
        <v/>
      </c>
      <c r="K346" s="9" t="str">
        <f t="shared" si="91"/>
        <v/>
      </c>
      <c r="L346" s="9" t="str">
        <f t="shared" si="105"/>
        <v/>
      </c>
      <c r="M346" s="10" t="str">
        <f t="shared" si="92"/>
        <v/>
      </c>
      <c r="N346" s="6" t="str">
        <f t="shared" si="93"/>
        <v/>
      </c>
      <c r="O346" s="9" t="str">
        <f t="shared" si="94"/>
        <v/>
      </c>
      <c r="P346" s="9" t="str">
        <f t="shared" si="95"/>
        <v/>
      </c>
      <c r="Q346" s="9" t="str">
        <f t="shared" si="96"/>
        <v/>
      </c>
      <c r="R346" s="9" t="str">
        <f t="shared" ca="1" si="97"/>
        <v/>
      </c>
      <c r="T346" s="6" t="str">
        <f t="shared" si="106"/>
        <v/>
      </c>
      <c r="U346" s="6" t="str">
        <f t="shared" si="98"/>
        <v/>
      </c>
      <c r="V346" s="10" t="str">
        <f t="shared" si="99"/>
        <v/>
      </c>
      <c r="W346" s="8" t="str">
        <f t="shared" si="100"/>
        <v/>
      </c>
      <c r="X346" s="9">
        <f t="shared" si="107"/>
        <v>0</v>
      </c>
      <c r="Y346" s="9">
        <f t="shared" si="109"/>
        <v>0</v>
      </c>
    </row>
    <row r="347" spans="2:25" x14ac:dyDescent="0.3">
      <c r="B347" s="6">
        <v>310</v>
      </c>
      <c r="C347" s="79" t="str">
        <f t="shared" si="108"/>
        <v/>
      </c>
      <c r="D347" s="6" t="str">
        <f t="shared" si="89"/>
        <v/>
      </c>
      <c r="E347" s="79" t="str">
        <f t="shared" si="101"/>
        <v/>
      </c>
      <c r="F347" s="79" t="str">
        <f>IF(B346&gt;$C$18,"",IF(COUNTIF(Feriados!$A$2:$B$17,EDATE($C$38,B346))=0,EDATE($C$38,B346),EDATE($C$38,B346)+VLOOKUP(EDATE($C$38,B346),Feriados!$A$2:$B$17,2,FALSE)))</f>
        <v/>
      </c>
      <c r="G347" s="6" t="str">
        <f t="shared" si="102"/>
        <v/>
      </c>
      <c r="H347" s="6" t="str">
        <f t="shared" si="103"/>
        <v/>
      </c>
      <c r="I347" s="8" t="str">
        <f t="shared" si="104"/>
        <v/>
      </c>
      <c r="J347" s="8" t="str">
        <f t="shared" si="90"/>
        <v/>
      </c>
      <c r="K347" s="9" t="str">
        <f t="shared" si="91"/>
        <v/>
      </c>
      <c r="L347" s="9" t="str">
        <f t="shared" si="105"/>
        <v/>
      </c>
      <c r="M347" s="10" t="str">
        <f t="shared" si="92"/>
        <v/>
      </c>
      <c r="N347" s="6" t="str">
        <f t="shared" si="93"/>
        <v/>
      </c>
      <c r="O347" s="9" t="str">
        <f t="shared" si="94"/>
        <v/>
      </c>
      <c r="P347" s="9" t="str">
        <f t="shared" si="95"/>
        <v/>
      </c>
      <c r="Q347" s="9" t="str">
        <f t="shared" si="96"/>
        <v/>
      </c>
      <c r="R347" s="9" t="str">
        <f t="shared" ca="1" si="97"/>
        <v/>
      </c>
      <c r="T347" s="6" t="str">
        <f t="shared" si="106"/>
        <v/>
      </c>
      <c r="U347" s="6" t="str">
        <f t="shared" si="98"/>
        <v/>
      </c>
      <c r="V347" s="10" t="str">
        <f t="shared" si="99"/>
        <v/>
      </c>
      <c r="W347" s="8" t="str">
        <f t="shared" si="100"/>
        <v/>
      </c>
      <c r="X347" s="9">
        <f t="shared" si="107"/>
        <v>0</v>
      </c>
      <c r="Y347" s="9">
        <f t="shared" si="109"/>
        <v>0</v>
      </c>
    </row>
    <row r="348" spans="2:25" x14ac:dyDescent="0.3">
      <c r="B348" s="6">
        <v>311</v>
      </c>
      <c r="C348" s="79" t="str">
        <f t="shared" si="108"/>
        <v/>
      </c>
      <c r="D348" s="6" t="str">
        <f t="shared" si="89"/>
        <v/>
      </c>
      <c r="E348" s="79" t="str">
        <f t="shared" si="101"/>
        <v/>
      </c>
      <c r="F348" s="79" t="str">
        <f>IF(B347&gt;$C$18,"",IF(COUNTIF(Feriados!$A$2:$B$17,EDATE($C$38,B347))=0,EDATE($C$38,B347),EDATE($C$38,B347)+VLOOKUP(EDATE($C$38,B347),Feriados!$A$2:$B$17,2,FALSE)))</f>
        <v/>
      </c>
      <c r="G348" s="6" t="str">
        <f t="shared" si="102"/>
        <v/>
      </c>
      <c r="H348" s="6" t="str">
        <f t="shared" si="103"/>
        <v/>
      </c>
      <c r="I348" s="8" t="str">
        <f t="shared" si="104"/>
        <v/>
      </c>
      <c r="J348" s="8" t="str">
        <f t="shared" si="90"/>
        <v/>
      </c>
      <c r="K348" s="9" t="str">
        <f t="shared" si="91"/>
        <v/>
      </c>
      <c r="L348" s="9" t="str">
        <f t="shared" si="105"/>
        <v/>
      </c>
      <c r="M348" s="10" t="str">
        <f t="shared" si="92"/>
        <v/>
      </c>
      <c r="N348" s="6" t="str">
        <f t="shared" si="93"/>
        <v/>
      </c>
      <c r="O348" s="9" t="str">
        <f t="shared" si="94"/>
        <v/>
      </c>
      <c r="P348" s="9" t="str">
        <f t="shared" si="95"/>
        <v/>
      </c>
      <c r="Q348" s="9" t="str">
        <f t="shared" si="96"/>
        <v/>
      </c>
      <c r="R348" s="9" t="str">
        <f t="shared" ca="1" si="97"/>
        <v/>
      </c>
      <c r="T348" s="6" t="str">
        <f t="shared" si="106"/>
        <v/>
      </c>
      <c r="U348" s="6" t="str">
        <f t="shared" si="98"/>
        <v/>
      </c>
      <c r="V348" s="10" t="str">
        <f t="shared" si="99"/>
        <v/>
      </c>
      <c r="W348" s="8" t="str">
        <f t="shared" si="100"/>
        <v/>
      </c>
      <c r="X348" s="9">
        <f t="shared" si="107"/>
        <v>0</v>
      </c>
      <c r="Y348" s="9">
        <f t="shared" si="109"/>
        <v>0</v>
      </c>
    </row>
    <row r="349" spans="2:25" x14ac:dyDescent="0.3">
      <c r="B349" s="6">
        <v>312</v>
      </c>
      <c r="C349" s="79" t="str">
        <f t="shared" si="108"/>
        <v/>
      </c>
      <c r="D349" s="6" t="str">
        <f t="shared" si="89"/>
        <v/>
      </c>
      <c r="E349" s="79" t="str">
        <f t="shared" si="101"/>
        <v/>
      </c>
      <c r="F349" s="79" t="str">
        <f>IF(B348&gt;$C$18,"",IF(COUNTIF(Feriados!$A$2:$B$17,EDATE($C$38,B348))=0,EDATE($C$38,B348),EDATE($C$38,B348)+VLOOKUP(EDATE($C$38,B348),Feriados!$A$2:$B$17,2,FALSE)))</f>
        <v/>
      </c>
      <c r="G349" s="6" t="str">
        <f t="shared" si="102"/>
        <v/>
      </c>
      <c r="H349" s="6" t="str">
        <f t="shared" si="103"/>
        <v/>
      </c>
      <c r="I349" s="8" t="str">
        <f t="shared" si="104"/>
        <v/>
      </c>
      <c r="J349" s="8" t="str">
        <f t="shared" si="90"/>
        <v/>
      </c>
      <c r="K349" s="9" t="str">
        <f t="shared" si="91"/>
        <v/>
      </c>
      <c r="L349" s="9" t="str">
        <f t="shared" si="105"/>
        <v/>
      </c>
      <c r="M349" s="10" t="str">
        <f t="shared" si="92"/>
        <v/>
      </c>
      <c r="N349" s="6" t="str">
        <f t="shared" si="93"/>
        <v/>
      </c>
      <c r="O349" s="9" t="str">
        <f t="shared" si="94"/>
        <v/>
      </c>
      <c r="P349" s="9" t="str">
        <f t="shared" si="95"/>
        <v/>
      </c>
      <c r="Q349" s="9" t="str">
        <f t="shared" si="96"/>
        <v/>
      </c>
      <c r="R349" s="9" t="str">
        <f t="shared" ca="1" si="97"/>
        <v/>
      </c>
      <c r="T349" s="6" t="str">
        <f t="shared" si="106"/>
        <v/>
      </c>
      <c r="U349" s="6" t="str">
        <f t="shared" si="98"/>
        <v/>
      </c>
      <c r="V349" s="10" t="str">
        <f t="shared" si="99"/>
        <v/>
      </c>
      <c r="W349" s="8" t="str">
        <f t="shared" si="100"/>
        <v/>
      </c>
      <c r="X349" s="9">
        <f t="shared" si="107"/>
        <v>0</v>
      </c>
      <c r="Y349" s="9">
        <f t="shared" si="109"/>
        <v>0</v>
      </c>
    </row>
    <row r="350" spans="2:25" x14ac:dyDescent="0.3">
      <c r="B350" s="6">
        <v>313</v>
      </c>
      <c r="C350" s="79" t="str">
        <f t="shared" si="108"/>
        <v/>
      </c>
      <c r="D350" s="6" t="str">
        <f t="shared" si="89"/>
        <v/>
      </c>
      <c r="E350" s="79" t="str">
        <f t="shared" si="101"/>
        <v/>
      </c>
      <c r="F350" s="79" t="str">
        <f>IF(B349&gt;$C$18,"",IF(COUNTIF(Feriados!$A$2:$B$17,EDATE($C$38,B349))=0,EDATE($C$38,B349),EDATE($C$38,B349)+VLOOKUP(EDATE($C$38,B349),Feriados!$A$2:$B$17,2,FALSE)))</f>
        <v/>
      </c>
      <c r="G350" s="6" t="str">
        <f t="shared" si="102"/>
        <v/>
      </c>
      <c r="H350" s="6" t="str">
        <f t="shared" si="103"/>
        <v/>
      </c>
      <c r="I350" s="8" t="str">
        <f t="shared" si="104"/>
        <v/>
      </c>
      <c r="J350" s="8" t="str">
        <f t="shared" si="90"/>
        <v/>
      </c>
      <c r="K350" s="9" t="str">
        <f t="shared" si="91"/>
        <v/>
      </c>
      <c r="L350" s="9" t="str">
        <f t="shared" si="105"/>
        <v/>
      </c>
      <c r="M350" s="10" t="str">
        <f t="shared" si="92"/>
        <v/>
      </c>
      <c r="N350" s="6" t="str">
        <f t="shared" si="93"/>
        <v/>
      </c>
      <c r="O350" s="9" t="str">
        <f t="shared" si="94"/>
        <v/>
      </c>
      <c r="P350" s="9" t="str">
        <f t="shared" si="95"/>
        <v/>
      </c>
      <c r="Q350" s="9" t="str">
        <f t="shared" si="96"/>
        <v/>
      </c>
      <c r="R350" s="9" t="str">
        <f t="shared" ca="1" si="97"/>
        <v/>
      </c>
      <c r="T350" s="6" t="str">
        <f t="shared" si="106"/>
        <v/>
      </c>
      <c r="U350" s="6" t="str">
        <f t="shared" si="98"/>
        <v/>
      </c>
      <c r="V350" s="10" t="str">
        <f t="shared" si="99"/>
        <v/>
      </c>
      <c r="W350" s="8" t="str">
        <f t="shared" si="100"/>
        <v/>
      </c>
      <c r="X350" s="9">
        <f t="shared" si="107"/>
        <v>0</v>
      </c>
      <c r="Y350" s="9">
        <f t="shared" si="109"/>
        <v>0</v>
      </c>
    </row>
    <row r="351" spans="2:25" x14ac:dyDescent="0.3">
      <c r="B351" s="6">
        <v>314</v>
      </c>
      <c r="C351" s="79" t="str">
        <f t="shared" si="108"/>
        <v/>
      </c>
      <c r="D351" s="6" t="str">
        <f t="shared" si="89"/>
        <v/>
      </c>
      <c r="E351" s="79" t="str">
        <f t="shared" si="101"/>
        <v/>
      </c>
      <c r="F351" s="79" t="str">
        <f>IF(B350&gt;$C$18,"",IF(COUNTIF(Feriados!$A$2:$B$17,EDATE($C$38,B350))=0,EDATE($C$38,B350),EDATE($C$38,B350)+VLOOKUP(EDATE($C$38,B350),Feriados!$A$2:$B$17,2,FALSE)))</f>
        <v/>
      </c>
      <c r="G351" s="6" t="str">
        <f t="shared" si="102"/>
        <v/>
      </c>
      <c r="H351" s="6" t="str">
        <f t="shared" si="103"/>
        <v/>
      </c>
      <c r="I351" s="8" t="str">
        <f t="shared" si="104"/>
        <v/>
      </c>
      <c r="J351" s="8" t="str">
        <f t="shared" si="90"/>
        <v/>
      </c>
      <c r="K351" s="9" t="str">
        <f t="shared" si="91"/>
        <v/>
      </c>
      <c r="L351" s="9" t="str">
        <f t="shared" si="105"/>
        <v/>
      </c>
      <c r="M351" s="10" t="str">
        <f t="shared" si="92"/>
        <v/>
      </c>
      <c r="N351" s="6" t="str">
        <f t="shared" si="93"/>
        <v/>
      </c>
      <c r="O351" s="9" t="str">
        <f t="shared" si="94"/>
        <v/>
      </c>
      <c r="P351" s="9" t="str">
        <f t="shared" si="95"/>
        <v/>
      </c>
      <c r="Q351" s="9" t="str">
        <f t="shared" si="96"/>
        <v/>
      </c>
      <c r="R351" s="9" t="str">
        <f t="shared" ca="1" si="97"/>
        <v/>
      </c>
      <c r="T351" s="6" t="str">
        <f t="shared" si="106"/>
        <v/>
      </c>
      <c r="U351" s="6" t="str">
        <f t="shared" si="98"/>
        <v/>
      </c>
      <c r="V351" s="10" t="str">
        <f t="shared" si="99"/>
        <v/>
      </c>
      <c r="W351" s="8" t="str">
        <f t="shared" si="100"/>
        <v/>
      </c>
      <c r="X351" s="9">
        <f t="shared" si="107"/>
        <v>0</v>
      </c>
      <c r="Y351" s="9">
        <f t="shared" si="109"/>
        <v>0</v>
      </c>
    </row>
    <row r="352" spans="2:25" x14ac:dyDescent="0.3">
      <c r="B352" s="6">
        <v>315</v>
      </c>
      <c r="C352" s="79" t="str">
        <f t="shared" si="108"/>
        <v/>
      </c>
      <c r="D352" s="6" t="str">
        <f t="shared" si="89"/>
        <v/>
      </c>
      <c r="E352" s="79" t="str">
        <f t="shared" si="101"/>
        <v/>
      </c>
      <c r="F352" s="79" t="str">
        <f>IF(B351&gt;$C$18,"",IF(COUNTIF(Feriados!$A$2:$B$17,EDATE($C$38,B351))=0,EDATE($C$38,B351),EDATE($C$38,B351)+VLOOKUP(EDATE($C$38,B351),Feriados!$A$2:$B$17,2,FALSE)))</f>
        <v/>
      </c>
      <c r="G352" s="6" t="str">
        <f t="shared" si="102"/>
        <v/>
      </c>
      <c r="H352" s="6" t="str">
        <f t="shared" si="103"/>
        <v/>
      </c>
      <c r="I352" s="8" t="str">
        <f t="shared" si="104"/>
        <v/>
      </c>
      <c r="J352" s="8" t="str">
        <f t="shared" si="90"/>
        <v/>
      </c>
      <c r="K352" s="9" t="str">
        <f t="shared" si="91"/>
        <v/>
      </c>
      <c r="L352" s="9" t="str">
        <f t="shared" si="105"/>
        <v/>
      </c>
      <c r="M352" s="10" t="str">
        <f t="shared" si="92"/>
        <v/>
      </c>
      <c r="N352" s="6" t="str">
        <f t="shared" si="93"/>
        <v/>
      </c>
      <c r="O352" s="9" t="str">
        <f t="shared" si="94"/>
        <v/>
      </c>
      <c r="P352" s="9" t="str">
        <f t="shared" si="95"/>
        <v/>
      </c>
      <c r="Q352" s="9" t="str">
        <f t="shared" si="96"/>
        <v/>
      </c>
      <c r="R352" s="9" t="str">
        <f t="shared" ca="1" si="97"/>
        <v/>
      </c>
      <c r="T352" s="6" t="str">
        <f t="shared" si="106"/>
        <v/>
      </c>
      <c r="U352" s="6" t="str">
        <f t="shared" si="98"/>
        <v/>
      </c>
      <c r="V352" s="10" t="str">
        <f t="shared" si="99"/>
        <v/>
      </c>
      <c r="W352" s="8" t="str">
        <f t="shared" si="100"/>
        <v/>
      </c>
      <c r="X352" s="9">
        <f t="shared" si="107"/>
        <v>0</v>
      </c>
      <c r="Y352" s="9">
        <f t="shared" si="109"/>
        <v>0</v>
      </c>
    </row>
    <row r="353" spans="2:25" x14ac:dyDescent="0.3">
      <c r="B353" s="6">
        <v>316</v>
      </c>
      <c r="C353" s="79" t="str">
        <f t="shared" si="108"/>
        <v/>
      </c>
      <c r="D353" s="6" t="str">
        <f t="shared" si="89"/>
        <v/>
      </c>
      <c r="E353" s="79" t="str">
        <f t="shared" si="101"/>
        <v/>
      </c>
      <c r="F353" s="79" t="str">
        <f>IF(B352&gt;$C$18,"",IF(COUNTIF(Feriados!$A$2:$B$17,EDATE($C$38,B352))=0,EDATE($C$38,B352),EDATE($C$38,B352)+VLOOKUP(EDATE($C$38,B352),Feriados!$A$2:$B$17,2,FALSE)))</f>
        <v/>
      </c>
      <c r="G353" s="6" t="str">
        <f t="shared" si="102"/>
        <v/>
      </c>
      <c r="H353" s="6" t="str">
        <f t="shared" si="103"/>
        <v/>
      </c>
      <c r="I353" s="8" t="str">
        <f t="shared" si="104"/>
        <v/>
      </c>
      <c r="J353" s="8" t="str">
        <f t="shared" si="90"/>
        <v/>
      </c>
      <c r="K353" s="9" t="str">
        <f t="shared" si="91"/>
        <v/>
      </c>
      <c r="L353" s="9" t="str">
        <f t="shared" si="105"/>
        <v/>
      </c>
      <c r="M353" s="10" t="str">
        <f t="shared" si="92"/>
        <v/>
      </c>
      <c r="N353" s="6" t="str">
        <f t="shared" si="93"/>
        <v/>
      </c>
      <c r="O353" s="9" t="str">
        <f t="shared" si="94"/>
        <v/>
      </c>
      <c r="P353" s="9" t="str">
        <f t="shared" si="95"/>
        <v/>
      </c>
      <c r="Q353" s="9" t="str">
        <f t="shared" si="96"/>
        <v/>
      </c>
      <c r="R353" s="9" t="str">
        <f t="shared" ca="1" si="97"/>
        <v/>
      </c>
      <c r="T353" s="6" t="str">
        <f t="shared" si="106"/>
        <v/>
      </c>
      <c r="U353" s="6" t="str">
        <f t="shared" si="98"/>
        <v/>
      </c>
      <c r="V353" s="10" t="str">
        <f t="shared" si="99"/>
        <v/>
      </c>
      <c r="W353" s="8" t="str">
        <f t="shared" si="100"/>
        <v/>
      </c>
      <c r="X353" s="9">
        <f t="shared" si="107"/>
        <v>0</v>
      </c>
      <c r="Y353" s="9">
        <f t="shared" si="109"/>
        <v>0</v>
      </c>
    </row>
    <row r="354" spans="2:25" x14ac:dyDescent="0.3">
      <c r="B354" s="6">
        <v>317</v>
      </c>
      <c r="C354" s="79" t="str">
        <f t="shared" si="108"/>
        <v/>
      </c>
      <c r="D354" s="6" t="str">
        <f t="shared" si="89"/>
        <v/>
      </c>
      <c r="E354" s="79" t="str">
        <f t="shared" si="101"/>
        <v/>
      </c>
      <c r="F354" s="79" t="str">
        <f>IF(B353&gt;$C$18,"",IF(COUNTIF(Feriados!$A$2:$B$17,EDATE($C$38,B353))=0,EDATE($C$38,B353),EDATE($C$38,B353)+VLOOKUP(EDATE($C$38,B353),Feriados!$A$2:$B$17,2,FALSE)))</f>
        <v/>
      </c>
      <c r="G354" s="6" t="str">
        <f t="shared" si="102"/>
        <v/>
      </c>
      <c r="H354" s="6" t="str">
        <f t="shared" si="103"/>
        <v/>
      </c>
      <c r="I354" s="8" t="str">
        <f t="shared" si="104"/>
        <v/>
      </c>
      <c r="J354" s="8" t="str">
        <f t="shared" si="90"/>
        <v/>
      </c>
      <c r="K354" s="9" t="str">
        <f t="shared" si="91"/>
        <v/>
      </c>
      <c r="L354" s="9" t="str">
        <f t="shared" si="105"/>
        <v/>
      </c>
      <c r="M354" s="10" t="str">
        <f t="shared" si="92"/>
        <v/>
      </c>
      <c r="N354" s="6" t="str">
        <f t="shared" si="93"/>
        <v/>
      </c>
      <c r="O354" s="9" t="str">
        <f t="shared" si="94"/>
        <v/>
      </c>
      <c r="P354" s="9" t="str">
        <f t="shared" si="95"/>
        <v/>
      </c>
      <c r="Q354" s="9" t="str">
        <f t="shared" si="96"/>
        <v/>
      </c>
      <c r="R354" s="9" t="str">
        <f t="shared" ca="1" si="97"/>
        <v/>
      </c>
      <c r="T354" s="6" t="str">
        <f t="shared" si="106"/>
        <v/>
      </c>
      <c r="U354" s="6" t="str">
        <f t="shared" si="98"/>
        <v/>
      </c>
      <c r="V354" s="10" t="str">
        <f t="shared" si="99"/>
        <v/>
      </c>
      <c r="W354" s="8" t="str">
        <f t="shared" si="100"/>
        <v/>
      </c>
      <c r="X354" s="9">
        <f t="shared" si="107"/>
        <v>0</v>
      </c>
      <c r="Y354" s="9">
        <f t="shared" si="109"/>
        <v>0</v>
      </c>
    </row>
    <row r="355" spans="2:25" x14ac:dyDescent="0.3">
      <c r="B355" s="6">
        <v>318</v>
      </c>
      <c r="C355" s="79" t="str">
        <f t="shared" si="108"/>
        <v/>
      </c>
      <c r="D355" s="6" t="str">
        <f t="shared" si="89"/>
        <v/>
      </c>
      <c r="E355" s="79" t="str">
        <f t="shared" si="101"/>
        <v/>
      </c>
      <c r="F355" s="79" t="str">
        <f>IF(B354&gt;$C$18,"",IF(COUNTIF(Feriados!$A$2:$B$17,EDATE($C$38,B354))=0,EDATE($C$38,B354),EDATE($C$38,B354)+VLOOKUP(EDATE($C$38,B354),Feriados!$A$2:$B$17,2,FALSE)))</f>
        <v/>
      </c>
      <c r="G355" s="6" t="str">
        <f t="shared" si="102"/>
        <v/>
      </c>
      <c r="H355" s="6" t="str">
        <f t="shared" si="103"/>
        <v/>
      </c>
      <c r="I355" s="8" t="str">
        <f t="shared" si="104"/>
        <v/>
      </c>
      <c r="J355" s="8" t="str">
        <f t="shared" si="90"/>
        <v/>
      </c>
      <c r="K355" s="9" t="str">
        <f t="shared" si="91"/>
        <v/>
      </c>
      <c r="L355" s="9" t="str">
        <f t="shared" si="105"/>
        <v/>
      </c>
      <c r="M355" s="10" t="str">
        <f t="shared" si="92"/>
        <v/>
      </c>
      <c r="N355" s="6" t="str">
        <f t="shared" si="93"/>
        <v/>
      </c>
      <c r="O355" s="9" t="str">
        <f t="shared" si="94"/>
        <v/>
      </c>
      <c r="P355" s="9" t="str">
        <f t="shared" si="95"/>
        <v/>
      </c>
      <c r="Q355" s="9" t="str">
        <f t="shared" si="96"/>
        <v/>
      </c>
      <c r="R355" s="9" t="str">
        <f t="shared" ca="1" si="97"/>
        <v/>
      </c>
      <c r="T355" s="6" t="str">
        <f t="shared" si="106"/>
        <v/>
      </c>
      <c r="U355" s="6" t="str">
        <f t="shared" si="98"/>
        <v/>
      </c>
      <c r="V355" s="10" t="str">
        <f t="shared" si="99"/>
        <v/>
      </c>
      <c r="W355" s="8" t="str">
        <f t="shared" si="100"/>
        <v/>
      </c>
      <c r="X355" s="9">
        <f t="shared" si="107"/>
        <v>0</v>
      </c>
      <c r="Y355" s="9">
        <f t="shared" si="109"/>
        <v>0</v>
      </c>
    </row>
    <row r="356" spans="2:25" x14ac:dyDescent="0.3">
      <c r="B356" s="6">
        <v>319</v>
      </c>
      <c r="C356" s="79" t="str">
        <f t="shared" si="108"/>
        <v/>
      </c>
      <c r="D356" s="6" t="str">
        <f t="shared" si="89"/>
        <v/>
      </c>
      <c r="E356" s="79" t="str">
        <f t="shared" si="101"/>
        <v/>
      </c>
      <c r="F356" s="79" t="str">
        <f>IF(B355&gt;$C$18,"",IF(COUNTIF(Feriados!$A$2:$B$17,EDATE($C$38,B355))=0,EDATE($C$38,B355),EDATE($C$38,B355)+VLOOKUP(EDATE($C$38,B355),Feriados!$A$2:$B$17,2,FALSE)))</f>
        <v/>
      </c>
      <c r="G356" s="6" t="str">
        <f t="shared" si="102"/>
        <v/>
      </c>
      <c r="H356" s="6" t="str">
        <f t="shared" si="103"/>
        <v/>
      </c>
      <c r="I356" s="8" t="str">
        <f t="shared" si="104"/>
        <v/>
      </c>
      <c r="J356" s="8" t="str">
        <f t="shared" si="90"/>
        <v/>
      </c>
      <c r="K356" s="9" t="str">
        <f t="shared" si="91"/>
        <v/>
      </c>
      <c r="L356" s="9" t="str">
        <f t="shared" si="105"/>
        <v/>
      </c>
      <c r="M356" s="10" t="str">
        <f t="shared" si="92"/>
        <v/>
      </c>
      <c r="N356" s="6" t="str">
        <f t="shared" si="93"/>
        <v/>
      </c>
      <c r="O356" s="9" t="str">
        <f t="shared" si="94"/>
        <v/>
      </c>
      <c r="P356" s="9" t="str">
        <f t="shared" si="95"/>
        <v/>
      </c>
      <c r="Q356" s="9" t="str">
        <f t="shared" si="96"/>
        <v/>
      </c>
      <c r="R356" s="9" t="str">
        <f t="shared" ca="1" si="97"/>
        <v/>
      </c>
      <c r="T356" s="6" t="str">
        <f t="shared" si="106"/>
        <v/>
      </c>
      <c r="U356" s="6" t="str">
        <f t="shared" si="98"/>
        <v/>
      </c>
      <c r="V356" s="10" t="str">
        <f t="shared" si="99"/>
        <v/>
      </c>
      <c r="W356" s="8" t="str">
        <f t="shared" si="100"/>
        <v/>
      </c>
      <c r="X356" s="9">
        <f t="shared" si="107"/>
        <v>0</v>
      </c>
      <c r="Y356" s="9">
        <f t="shared" si="109"/>
        <v>0</v>
      </c>
    </row>
    <row r="357" spans="2:25" x14ac:dyDescent="0.3">
      <c r="B357" s="6">
        <v>320</v>
      </c>
      <c r="C357" s="79" t="str">
        <f t="shared" si="108"/>
        <v/>
      </c>
      <c r="D357" s="6" t="str">
        <f t="shared" si="89"/>
        <v/>
      </c>
      <c r="E357" s="79" t="str">
        <f t="shared" si="101"/>
        <v/>
      </c>
      <c r="F357" s="79" t="str">
        <f>IF(B356&gt;$C$18,"",IF(COUNTIF(Feriados!$A$2:$B$17,EDATE($C$38,B356))=0,EDATE($C$38,B356),EDATE($C$38,B356)+VLOOKUP(EDATE($C$38,B356),Feriados!$A$2:$B$17,2,FALSE)))</f>
        <v/>
      </c>
      <c r="G357" s="6" t="str">
        <f t="shared" si="102"/>
        <v/>
      </c>
      <c r="H357" s="6" t="str">
        <f t="shared" si="103"/>
        <v/>
      </c>
      <c r="I357" s="8" t="str">
        <f t="shared" si="104"/>
        <v/>
      </c>
      <c r="J357" s="8" t="str">
        <f t="shared" si="90"/>
        <v/>
      </c>
      <c r="K357" s="9" t="str">
        <f t="shared" si="91"/>
        <v/>
      </c>
      <c r="L357" s="9" t="str">
        <f t="shared" si="105"/>
        <v/>
      </c>
      <c r="M357" s="10" t="str">
        <f t="shared" si="92"/>
        <v/>
      </c>
      <c r="N357" s="6" t="str">
        <f t="shared" si="93"/>
        <v/>
      </c>
      <c r="O357" s="9" t="str">
        <f t="shared" si="94"/>
        <v/>
      </c>
      <c r="P357" s="9" t="str">
        <f t="shared" si="95"/>
        <v/>
      </c>
      <c r="Q357" s="9" t="str">
        <f t="shared" si="96"/>
        <v/>
      </c>
      <c r="R357" s="9" t="str">
        <f t="shared" ca="1" si="97"/>
        <v/>
      </c>
      <c r="T357" s="6" t="str">
        <f t="shared" si="106"/>
        <v/>
      </c>
      <c r="U357" s="6" t="str">
        <f t="shared" si="98"/>
        <v/>
      </c>
      <c r="V357" s="10" t="str">
        <f t="shared" si="99"/>
        <v/>
      </c>
      <c r="W357" s="8" t="str">
        <f t="shared" si="100"/>
        <v/>
      </c>
      <c r="X357" s="9">
        <f t="shared" si="107"/>
        <v>0</v>
      </c>
      <c r="Y357" s="9">
        <f t="shared" si="109"/>
        <v>0</v>
      </c>
    </row>
    <row r="358" spans="2:25" x14ac:dyDescent="0.3">
      <c r="B358" s="6">
        <v>321</v>
      </c>
      <c r="C358" s="79" t="str">
        <f t="shared" si="108"/>
        <v/>
      </c>
      <c r="D358" s="6" t="str">
        <f t="shared" ref="D358:D397" si="110">IF(B358&lt;=$C$18,WEEKDAY(C358,2),"")</f>
        <v/>
      </c>
      <c r="E358" s="79" t="str">
        <f t="shared" si="101"/>
        <v/>
      </c>
      <c r="F358" s="79" t="str">
        <f>IF(B357&gt;$C$18,"",IF(COUNTIF(Feriados!$A$2:$B$17,EDATE($C$38,B357))=0,EDATE($C$38,B357),EDATE($C$38,B357)+VLOOKUP(EDATE($C$38,B357),Feriados!$A$2:$B$17,2,FALSE)))</f>
        <v/>
      </c>
      <c r="G358" s="6" t="str">
        <f t="shared" si="102"/>
        <v/>
      </c>
      <c r="H358" s="6" t="str">
        <f t="shared" si="103"/>
        <v/>
      </c>
      <c r="I358" s="8" t="str">
        <f t="shared" si="104"/>
        <v/>
      </c>
      <c r="J358" s="8" t="str">
        <f t="shared" ref="J358:J397" si="111">IF(B358&gt;C$18,"",O358-N358-M358-L358-K358)</f>
        <v/>
      </c>
      <c r="K358" s="9" t="str">
        <f t="shared" ref="K358:K397" si="112">IF(B358&gt;C$18,"",((1+C$25)^(G358/360)-1)*I358)</f>
        <v/>
      </c>
      <c r="L358" s="9" t="str">
        <f t="shared" si="105"/>
        <v/>
      </c>
      <c r="M358" s="10" t="str">
        <f t="shared" ref="M358:M397" si="113">IF(B358&gt;C$18,"",C$27*C$28)</f>
        <v/>
      </c>
      <c r="N358" s="6" t="str">
        <f t="shared" ref="N358:N397" si="114">IF(B358&gt;C$18,"",C$29)</f>
        <v/>
      </c>
      <c r="O358" s="9" t="str">
        <f t="shared" ref="O358:O397" si="115">IF(B358&gt;C$18,"",IF(B358=C$18,I358+K358+L358+M358+N358,IF(AND(C$23=2,MONTH(E358)=7),2*C$30,IF(AND(C$24=2,MONTH(E358)=12),2*C$30,C$30))))</f>
        <v/>
      </c>
      <c r="P358" s="9" t="str">
        <f t="shared" ref="P358:P397" si="116">IF(B358&gt;C$18,"",I358-J358)</f>
        <v/>
      </c>
      <c r="Q358" s="9" t="str">
        <f t="shared" ref="Q358:Q397" si="117">IFERROR(IF(AND(MONTH(E358)=7,C$23=2),2/(1+C$26)^(H358/360),IF(AND(MONTH(E358)=12,C$24=2),2/(1+C$26)^(H358/360),1/(1+C$26)^(H358/360))),"")</f>
        <v/>
      </c>
      <c r="R358" s="9" t="str">
        <f t="shared" ref="R358:R397" ca="1" si="118">IFERROR(1/(1+C$26)^(H358/360),"")</f>
        <v/>
      </c>
      <c r="T358" s="6" t="str">
        <f t="shared" si="106"/>
        <v/>
      </c>
      <c r="U358" s="6" t="str">
        <f t="shared" ref="U358:U397" si="119">H358</f>
        <v/>
      </c>
      <c r="V358" s="10" t="str">
        <f t="shared" ref="V358:V397" si="120">IFERROR((1+C$32)^(U358/360),"")</f>
        <v/>
      </c>
      <c r="W358" s="8" t="str">
        <f t="shared" ref="W358:W397" si="121">IFERROR(ROUND(T358/V358,2),"")</f>
        <v/>
      </c>
      <c r="X358" s="9">
        <f t="shared" si="107"/>
        <v>0</v>
      </c>
      <c r="Y358" s="9">
        <f t="shared" si="109"/>
        <v>0</v>
      </c>
    </row>
    <row r="359" spans="2:25" x14ac:dyDescent="0.3">
      <c r="B359" s="6">
        <v>322</v>
      </c>
      <c r="C359" s="79" t="str">
        <f t="shared" si="108"/>
        <v/>
      </c>
      <c r="D359" s="6" t="str">
        <f t="shared" si="110"/>
        <v/>
      </c>
      <c r="E359" s="79" t="str">
        <f t="shared" ref="E359:E397" si="122">IF(D359=7,C359+1,C359)</f>
        <v/>
      </c>
      <c r="F359" s="79" t="str">
        <f>IF(B358&gt;$C$18,"",IF(COUNTIF(Feriados!$A$2:$B$17,EDATE($C$38,B358))=0,EDATE($C$38,B358),EDATE($C$38,B358)+VLOOKUP(EDATE($C$38,B358),Feriados!$A$2:$B$17,2,FALSE)))</f>
        <v/>
      </c>
      <c r="G359" s="6" t="str">
        <f t="shared" ref="G359:G397" si="123">IF(B359&gt;C$18,"",E359-E358)</f>
        <v/>
      </c>
      <c r="H359" s="6" t="str">
        <f t="shared" ref="H359:H397" si="124">IFERROR(G359+H358,"")</f>
        <v/>
      </c>
      <c r="I359" s="8" t="str">
        <f t="shared" ref="I359:I397" si="125">IF(B359&gt;C$18,"",P358)</f>
        <v/>
      </c>
      <c r="J359" s="8" t="str">
        <f t="shared" si="111"/>
        <v/>
      </c>
      <c r="K359" s="9" t="str">
        <f t="shared" si="112"/>
        <v/>
      </c>
      <c r="L359" s="9" t="str">
        <f t="shared" ref="L359:L397" si="126">IF(B359&gt;C$18,"",((1+C$13)^(G359/30)-1)*I359)</f>
        <v/>
      </c>
      <c r="M359" s="10" t="str">
        <f t="shared" si="113"/>
        <v/>
      </c>
      <c r="N359" s="6" t="str">
        <f t="shared" si="114"/>
        <v/>
      </c>
      <c r="O359" s="9" t="str">
        <f t="shared" si="115"/>
        <v/>
      </c>
      <c r="P359" s="9" t="str">
        <f t="shared" si="116"/>
        <v/>
      </c>
      <c r="Q359" s="9" t="str">
        <f t="shared" si="117"/>
        <v/>
      </c>
      <c r="R359" s="9" t="str">
        <f t="shared" ca="1" si="118"/>
        <v/>
      </c>
      <c r="T359" s="6" t="str">
        <f t="shared" ref="T359:T397" si="127">IFERROR(J359+K359+L359+M359+N359,"")</f>
        <v/>
      </c>
      <c r="U359" s="6" t="str">
        <f t="shared" si="119"/>
        <v/>
      </c>
      <c r="V359" s="10" t="str">
        <f t="shared" si="120"/>
        <v/>
      </c>
      <c r="W359" s="8" t="str">
        <f t="shared" si="121"/>
        <v/>
      </c>
      <c r="X359" s="9">
        <f t="shared" ref="X359:X397" si="128">IF(O359="",0,L359/((1+$I$9)^B359))</f>
        <v>0</v>
      </c>
      <c r="Y359" s="9">
        <f t="shared" si="109"/>
        <v>0</v>
      </c>
    </row>
    <row r="360" spans="2:25" x14ac:dyDescent="0.3">
      <c r="B360" s="6">
        <v>323</v>
      </c>
      <c r="C360" s="79" t="str">
        <f t="shared" ref="C360:C397" si="129">IF(B360&gt;$C$18,"",IF(WEEKDAY(F360,2)=7,F360+1,F360))</f>
        <v/>
      </c>
      <c r="D360" s="6" t="str">
        <f t="shared" si="110"/>
        <v/>
      </c>
      <c r="E360" s="79" t="str">
        <f t="shared" si="122"/>
        <v/>
      </c>
      <c r="F360" s="79" t="str">
        <f>IF(B359&gt;$C$18,"",IF(COUNTIF(Feriados!$A$2:$B$17,EDATE($C$38,B359))=0,EDATE($C$38,B359),EDATE($C$38,B359)+VLOOKUP(EDATE($C$38,B359),Feriados!$A$2:$B$17,2,FALSE)))</f>
        <v/>
      </c>
      <c r="G360" s="6" t="str">
        <f t="shared" si="123"/>
        <v/>
      </c>
      <c r="H360" s="6" t="str">
        <f t="shared" si="124"/>
        <v/>
      </c>
      <c r="I360" s="8" t="str">
        <f t="shared" si="125"/>
        <v/>
      </c>
      <c r="J360" s="8" t="str">
        <f t="shared" si="111"/>
        <v/>
      </c>
      <c r="K360" s="9" t="str">
        <f t="shared" si="112"/>
        <v/>
      </c>
      <c r="L360" s="9" t="str">
        <f t="shared" si="126"/>
        <v/>
      </c>
      <c r="M360" s="10" t="str">
        <f t="shared" si="113"/>
        <v/>
      </c>
      <c r="N360" s="6" t="str">
        <f t="shared" si="114"/>
        <v/>
      </c>
      <c r="O360" s="9" t="str">
        <f t="shared" si="115"/>
        <v/>
      </c>
      <c r="P360" s="9" t="str">
        <f t="shared" si="116"/>
        <v/>
      </c>
      <c r="Q360" s="9" t="str">
        <f t="shared" si="117"/>
        <v/>
      </c>
      <c r="R360" s="9" t="str">
        <f t="shared" ca="1" si="118"/>
        <v/>
      </c>
      <c r="T360" s="6" t="str">
        <f t="shared" si="127"/>
        <v/>
      </c>
      <c r="U360" s="6" t="str">
        <f t="shared" si="119"/>
        <v/>
      </c>
      <c r="V360" s="10" t="str">
        <f t="shared" si="120"/>
        <v/>
      </c>
      <c r="W360" s="8" t="str">
        <f t="shared" si="121"/>
        <v/>
      </c>
      <c r="X360" s="9">
        <f t="shared" si="128"/>
        <v>0</v>
      </c>
      <c r="Y360" s="9">
        <f t="shared" ref="Y360:Y397" si="130">IF(O360="",0,L360/((1+$Q$30)^B360))</f>
        <v>0</v>
      </c>
    </row>
    <row r="361" spans="2:25" x14ac:dyDescent="0.3">
      <c r="B361" s="6">
        <v>324</v>
      </c>
      <c r="C361" s="79" t="str">
        <f t="shared" si="129"/>
        <v/>
      </c>
      <c r="D361" s="6" t="str">
        <f t="shared" si="110"/>
        <v/>
      </c>
      <c r="E361" s="79" t="str">
        <f t="shared" si="122"/>
        <v/>
      </c>
      <c r="F361" s="79" t="str">
        <f>IF(B360&gt;$C$18,"",IF(COUNTIF(Feriados!$A$2:$B$17,EDATE($C$38,B360))=0,EDATE($C$38,B360),EDATE($C$38,B360)+VLOOKUP(EDATE($C$38,B360),Feriados!$A$2:$B$17,2,FALSE)))</f>
        <v/>
      </c>
      <c r="G361" s="6" t="str">
        <f t="shared" si="123"/>
        <v/>
      </c>
      <c r="H361" s="6" t="str">
        <f t="shared" si="124"/>
        <v/>
      </c>
      <c r="I361" s="8" t="str">
        <f t="shared" si="125"/>
        <v/>
      </c>
      <c r="J361" s="8" t="str">
        <f t="shared" si="111"/>
        <v/>
      </c>
      <c r="K361" s="9" t="str">
        <f t="shared" si="112"/>
        <v/>
      </c>
      <c r="L361" s="9" t="str">
        <f t="shared" si="126"/>
        <v/>
      </c>
      <c r="M361" s="10" t="str">
        <f t="shared" si="113"/>
        <v/>
      </c>
      <c r="N361" s="6" t="str">
        <f t="shared" si="114"/>
        <v/>
      </c>
      <c r="O361" s="9" t="str">
        <f t="shared" si="115"/>
        <v/>
      </c>
      <c r="P361" s="9" t="str">
        <f t="shared" si="116"/>
        <v/>
      </c>
      <c r="Q361" s="9" t="str">
        <f t="shared" si="117"/>
        <v/>
      </c>
      <c r="R361" s="9" t="str">
        <f t="shared" ca="1" si="118"/>
        <v/>
      </c>
      <c r="T361" s="6" t="str">
        <f t="shared" si="127"/>
        <v/>
      </c>
      <c r="U361" s="6" t="str">
        <f t="shared" si="119"/>
        <v/>
      </c>
      <c r="V361" s="10" t="str">
        <f t="shared" si="120"/>
        <v/>
      </c>
      <c r="W361" s="8" t="str">
        <f t="shared" si="121"/>
        <v/>
      </c>
      <c r="X361" s="9">
        <f t="shared" si="128"/>
        <v>0</v>
      </c>
      <c r="Y361" s="9">
        <f t="shared" si="130"/>
        <v>0</v>
      </c>
    </row>
    <row r="362" spans="2:25" x14ac:dyDescent="0.3">
      <c r="B362" s="6">
        <v>325</v>
      </c>
      <c r="C362" s="79" t="str">
        <f t="shared" si="129"/>
        <v/>
      </c>
      <c r="D362" s="6" t="str">
        <f t="shared" si="110"/>
        <v/>
      </c>
      <c r="E362" s="79" t="str">
        <f t="shared" si="122"/>
        <v/>
      </c>
      <c r="F362" s="79" t="str">
        <f>IF(B361&gt;$C$18,"",IF(COUNTIF(Feriados!$A$2:$B$17,EDATE($C$38,B361))=0,EDATE($C$38,B361),EDATE($C$38,B361)+VLOOKUP(EDATE($C$38,B361),Feriados!$A$2:$B$17,2,FALSE)))</f>
        <v/>
      </c>
      <c r="G362" s="6" t="str">
        <f t="shared" si="123"/>
        <v/>
      </c>
      <c r="H362" s="6" t="str">
        <f t="shared" si="124"/>
        <v/>
      </c>
      <c r="I362" s="8" t="str">
        <f t="shared" si="125"/>
        <v/>
      </c>
      <c r="J362" s="8" t="str">
        <f t="shared" si="111"/>
        <v/>
      </c>
      <c r="K362" s="9" t="str">
        <f t="shared" si="112"/>
        <v/>
      </c>
      <c r="L362" s="9" t="str">
        <f t="shared" si="126"/>
        <v/>
      </c>
      <c r="M362" s="10" t="str">
        <f t="shared" si="113"/>
        <v/>
      </c>
      <c r="N362" s="6" t="str">
        <f t="shared" si="114"/>
        <v/>
      </c>
      <c r="O362" s="9" t="str">
        <f t="shared" si="115"/>
        <v/>
      </c>
      <c r="P362" s="9" t="str">
        <f t="shared" si="116"/>
        <v/>
      </c>
      <c r="Q362" s="9" t="str">
        <f t="shared" si="117"/>
        <v/>
      </c>
      <c r="R362" s="9" t="str">
        <f t="shared" ca="1" si="118"/>
        <v/>
      </c>
      <c r="T362" s="6" t="str">
        <f t="shared" si="127"/>
        <v/>
      </c>
      <c r="U362" s="6" t="str">
        <f t="shared" si="119"/>
        <v/>
      </c>
      <c r="V362" s="10" t="str">
        <f t="shared" si="120"/>
        <v/>
      </c>
      <c r="W362" s="8" t="str">
        <f t="shared" si="121"/>
        <v/>
      </c>
      <c r="X362" s="9">
        <f t="shared" si="128"/>
        <v>0</v>
      </c>
      <c r="Y362" s="9">
        <f t="shared" si="130"/>
        <v>0</v>
      </c>
    </row>
    <row r="363" spans="2:25" x14ac:dyDescent="0.3">
      <c r="B363" s="6">
        <v>326</v>
      </c>
      <c r="C363" s="79" t="str">
        <f t="shared" si="129"/>
        <v/>
      </c>
      <c r="D363" s="6" t="str">
        <f t="shared" si="110"/>
        <v/>
      </c>
      <c r="E363" s="79" t="str">
        <f t="shared" si="122"/>
        <v/>
      </c>
      <c r="F363" s="79" t="str">
        <f>IF(B362&gt;$C$18,"",IF(COUNTIF(Feriados!$A$2:$B$17,EDATE($C$38,B362))=0,EDATE($C$38,B362),EDATE($C$38,B362)+VLOOKUP(EDATE($C$38,B362),Feriados!$A$2:$B$17,2,FALSE)))</f>
        <v/>
      </c>
      <c r="G363" s="6" t="str">
        <f t="shared" si="123"/>
        <v/>
      </c>
      <c r="H363" s="6" t="str">
        <f t="shared" si="124"/>
        <v/>
      </c>
      <c r="I363" s="8" t="str">
        <f t="shared" si="125"/>
        <v/>
      </c>
      <c r="J363" s="8" t="str">
        <f t="shared" si="111"/>
        <v/>
      </c>
      <c r="K363" s="9" t="str">
        <f t="shared" si="112"/>
        <v/>
      </c>
      <c r="L363" s="9" t="str">
        <f t="shared" si="126"/>
        <v/>
      </c>
      <c r="M363" s="10" t="str">
        <f t="shared" si="113"/>
        <v/>
      </c>
      <c r="N363" s="6" t="str">
        <f t="shared" si="114"/>
        <v/>
      </c>
      <c r="O363" s="9" t="str">
        <f t="shared" si="115"/>
        <v/>
      </c>
      <c r="P363" s="9" t="str">
        <f t="shared" si="116"/>
        <v/>
      </c>
      <c r="Q363" s="9" t="str">
        <f t="shared" si="117"/>
        <v/>
      </c>
      <c r="R363" s="9" t="str">
        <f t="shared" ca="1" si="118"/>
        <v/>
      </c>
      <c r="T363" s="6" t="str">
        <f t="shared" si="127"/>
        <v/>
      </c>
      <c r="U363" s="6" t="str">
        <f t="shared" si="119"/>
        <v/>
      </c>
      <c r="V363" s="10" t="str">
        <f t="shared" si="120"/>
        <v/>
      </c>
      <c r="W363" s="8" t="str">
        <f t="shared" si="121"/>
        <v/>
      </c>
      <c r="X363" s="9">
        <f t="shared" si="128"/>
        <v>0</v>
      </c>
      <c r="Y363" s="9">
        <f t="shared" si="130"/>
        <v>0</v>
      </c>
    </row>
    <row r="364" spans="2:25" x14ac:dyDescent="0.3">
      <c r="B364" s="6">
        <v>327</v>
      </c>
      <c r="C364" s="79" t="str">
        <f t="shared" si="129"/>
        <v/>
      </c>
      <c r="D364" s="6" t="str">
        <f t="shared" si="110"/>
        <v/>
      </c>
      <c r="E364" s="79" t="str">
        <f t="shared" si="122"/>
        <v/>
      </c>
      <c r="F364" s="79" t="str">
        <f>IF(B363&gt;$C$18,"",IF(COUNTIF(Feriados!$A$2:$B$17,EDATE($C$38,B363))=0,EDATE($C$38,B363),EDATE($C$38,B363)+VLOOKUP(EDATE($C$38,B363),Feriados!$A$2:$B$17,2,FALSE)))</f>
        <v/>
      </c>
      <c r="G364" s="6" t="str">
        <f t="shared" si="123"/>
        <v/>
      </c>
      <c r="H364" s="6" t="str">
        <f t="shared" si="124"/>
        <v/>
      </c>
      <c r="I364" s="8" t="str">
        <f t="shared" si="125"/>
        <v/>
      </c>
      <c r="J364" s="8" t="str">
        <f t="shared" si="111"/>
        <v/>
      </c>
      <c r="K364" s="9" t="str">
        <f t="shared" si="112"/>
        <v/>
      </c>
      <c r="L364" s="9" t="str">
        <f t="shared" si="126"/>
        <v/>
      </c>
      <c r="M364" s="10" t="str">
        <f t="shared" si="113"/>
        <v/>
      </c>
      <c r="N364" s="6" t="str">
        <f t="shared" si="114"/>
        <v/>
      </c>
      <c r="O364" s="9" t="str">
        <f t="shared" si="115"/>
        <v/>
      </c>
      <c r="P364" s="9" t="str">
        <f t="shared" si="116"/>
        <v/>
      </c>
      <c r="Q364" s="9" t="str">
        <f t="shared" si="117"/>
        <v/>
      </c>
      <c r="R364" s="9" t="str">
        <f t="shared" ca="1" si="118"/>
        <v/>
      </c>
      <c r="T364" s="6" t="str">
        <f t="shared" si="127"/>
        <v/>
      </c>
      <c r="U364" s="6" t="str">
        <f t="shared" si="119"/>
        <v/>
      </c>
      <c r="V364" s="10" t="str">
        <f t="shared" si="120"/>
        <v/>
      </c>
      <c r="W364" s="8" t="str">
        <f t="shared" si="121"/>
        <v/>
      </c>
      <c r="X364" s="9">
        <f t="shared" si="128"/>
        <v>0</v>
      </c>
      <c r="Y364" s="9">
        <f t="shared" si="130"/>
        <v>0</v>
      </c>
    </row>
    <row r="365" spans="2:25" x14ac:dyDescent="0.3">
      <c r="B365" s="6">
        <v>328</v>
      </c>
      <c r="C365" s="79" t="str">
        <f t="shared" si="129"/>
        <v/>
      </c>
      <c r="D365" s="6" t="str">
        <f t="shared" si="110"/>
        <v/>
      </c>
      <c r="E365" s="79" t="str">
        <f t="shared" si="122"/>
        <v/>
      </c>
      <c r="F365" s="79" t="str">
        <f>IF(B364&gt;$C$18,"",IF(COUNTIF(Feriados!$A$2:$B$17,EDATE($C$38,B364))=0,EDATE($C$38,B364),EDATE($C$38,B364)+VLOOKUP(EDATE($C$38,B364),Feriados!$A$2:$B$17,2,FALSE)))</f>
        <v/>
      </c>
      <c r="G365" s="6" t="str">
        <f t="shared" si="123"/>
        <v/>
      </c>
      <c r="H365" s="6" t="str">
        <f t="shared" si="124"/>
        <v/>
      </c>
      <c r="I365" s="8" t="str">
        <f t="shared" si="125"/>
        <v/>
      </c>
      <c r="J365" s="8" t="str">
        <f t="shared" si="111"/>
        <v/>
      </c>
      <c r="K365" s="9" t="str">
        <f t="shared" si="112"/>
        <v/>
      </c>
      <c r="L365" s="9" t="str">
        <f t="shared" si="126"/>
        <v/>
      </c>
      <c r="M365" s="10" t="str">
        <f t="shared" si="113"/>
        <v/>
      </c>
      <c r="N365" s="6" t="str">
        <f t="shared" si="114"/>
        <v/>
      </c>
      <c r="O365" s="9" t="str">
        <f t="shared" si="115"/>
        <v/>
      </c>
      <c r="P365" s="9" t="str">
        <f t="shared" si="116"/>
        <v/>
      </c>
      <c r="Q365" s="9" t="str">
        <f t="shared" si="117"/>
        <v/>
      </c>
      <c r="R365" s="9" t="str">
        <f t="shared" ca="1" si="118"/>
        <v/>
      </c>
      <c r="T365" s="6" t="str">
        <f t="shared" si="127"/>
        <v/>
      </c>
      <c r="U365" s="6" t="str">
        <f t="shared" si="119"/>
        <v/>
      </c>
      <c r="V365" s="10" t="str">
        <f t="shared" si="120"/>
        <v/>
      </c>
      <c r="W365" s="8" t="str">
        <f t="shared" si="121"/>
        <v/>
      </c>
      <c r="X365" s="9">
        <f t="shared" si="128"/>
        <v>0</v>
      </c>
      <c r="Y365" s="9">
        <f t="shared" si="130"/>
        <v>0</v>
      </c>
    </row>
    <row r="366" spans="2:25" x14ac:dyDescent="0.3">
      <c r="B366" s="6">
        <v>329</v>
      </c>
      <c r="C366" s="79" t="str">
        <f t="shared" si="129"/>
        <v/>
      </c>
      <c r="D366" s="6" t="str">
        <f t="shared" si="110"/>
        <v/>
      </c>
      <c r="E366" s="79" t="str">
        <f t="shared" si="122"/>
        <v/>
      </c>
      <c r="F366" s="79" t="str">
        <f>IF(B365&gt;$C$18,"",IF(COUNTIF(Feriados!$A$2:$B$17,EDATE($C$38,B365))=0,EDATE($C$38,B365),EDATE($C$38,B365)+VLOOKUP(EDATE($C$38,B365),Feriados!$A$2:$B$17,2,FALSE)))</f>
        <v/>
      </c>
      <c r="G366" s="6" t="str">
        <f t="shared" si="123"/>
        <v/>
      </c>
      <c r="H366" s="6" t="str">
        <f t="shared" si="124"/>
        <v/>
      </c>
      <c r="I366" s="8" t="str">
        <f t="shared" si="125"/>
        <v/>
      </c>
      <c r="J366" s="8" t="str">
        <f t="shared" si="111"/>
        <v/>
      </c>
      <c r="K366" s="9" t="str">
        <f t="shared" si="112"/>
        <v/>
      </c>
      <c r="L366" s="9" t="str">
        <f t="shared" si="126"/>
        <v/>
      </c>
      <c r="M366" s="10" t="str">
        <f t="shared" si="113"/>
        <v/>
      </c>
      <c r="N366" s="6" t="str">
        <f t="shared" si="114"/>
        <v/>
      </c>
      <c r="O366" s="9" t="str">
        <f t="shared" si="115"/>
        <v/>
      </c>
      <c r="P366" s="9" t="str">
        <f t="shared" si="116"/>
        <v/>
      </c>
      <c r="Q366" s="9" t="str">
        <f t="shared" si="117"/>
        <v/>
      </c>
      <c r="R366" s="9" t="str">
        <f t="shared" ca="1" si="118"/>
        <v/>
      </c>
      <c r="T366" s="6" t="str">
        <f t="shared" si="127"/>
        <v/>
      </c>
      <c r="U366" s="6" t="str">
        <f t="shared" si="119"/>
        <v/>
      </c>
      <c r="V366" s="10" t="str">
        <f t="shared" si="120"/>
        <v/>
      </c>
      <c r="W366" s="8" t="str">
        <f t="shared" si="121"/>
        <v/>
      </c>
      <c r="X366" s="9">
        <f t="shared" si="128"/>
        <v>0</v>
      </c>
      <c r="Y366" s="9">
        <f t="shared" si="130"/>
        <v>0</v>
      </c>
    </row>
    <row r="367" spans="2:25" x14ac:dyDescent="0.3">
      <c r="B367" s="6">
        <v>330</v>
      </c>
      <c r="C367" s="79" t="str">
        <f t="shared" si="129"/>
        <v/>
      </c>
      <c r="D367" s="6" t="str">
        <f t="shared" si="110"/>
        <v/>
      </c>
      <c r="E367" s="79" t="str">
        <f t="shared" si="122"/>
        <v/>
      </c>
      <c r="F367" s="79" t="str">
        <f>IF(B366&gt;$C$18,"",IF(COUNTIF(Feriados!$A$2:$B$17,EDATE($C$38,B366))=0,EDATE($C$38,B366),EDATE($C$38,B366)+VLOOKUP(EDATE($C$38,B366),Feriados!$A$2:$B$17,2,FALSE)))</f>
        <v/>
      </c>
      <c r="G367" s="6" t="str">
        <f t="shared" si="123"/>
        <v/>
      </c>
      <c r="H367" s="6" t="str">
        <f t="shared" si="124"/>
        <v/>
      </c>
      <c r="I367" s="8" t="str">
        <f t="shared" si="125"/>
        <v/>
      </c>
      <c r="J367" s="8" t="str">
        <f t="shared" si="111"/>
        <v/>
      </c>
      <c r="K367" s="9" t="str">
        <f t="shared" si="112"/>
        <v/>
      </c>
      <c r="L367" s="9" t="str">
        <f t="shared" si="126"/>
        <v/>
      </c>
      <c r="M367" s="10" t="str">
        <f t="shared" si="113"/>
        <v/>
      </c>
      <c r="N367" s="6" t="str">
        <f t="shared" si="114"/>
        <v/>
      </c>
      <c r="O367" s="9" t="str">
        <f t="shared" si="115"/>
        <v/>
      </c>
      <c r="P367" s="9" t="str">
        <f t="shared" si="116"/>
        <v/>
      </c>
      <c r="Q367" s="9" t="str">
        <f t="shared" si="117"/>
        <v/>
      </c>
      <c r="R367" s="9" t="str">
        <f t="shared" ca="1" si="118"/>
        <v/>
      </c>
      <c r="T367" s="6" t="str">
        <f t="shared" si="127"/>
        <v/>
      </c>
      <c r="U367" s="6" t="str">
        <f t="shared" si="119"/>
        <v/>
      </c>
      <c r="V367" s="10" t="str">
        <f t="shared" si="120"/>
        <v/>
      </c>
      <c r="W367" s="8" t="str">
        <f t="shared" si="121"/>
        <v/>
      </c>
      <c r="X367" s="9">
        <f t="shared" si="128"/>
        <v>0</v>
      </c>
      <c r="Y367" s="9">
        <f t="shared" si="130"/>
        <v>0</v>
      </c>
    </row>
    <row r="368" spans="2:25" x14ac:dyDescent="0.3">
      <c r="B368" s="6">
        <v>331</v>
      </c>
      <c r="C368" s="79" t="str">
        <f t="shared" si="129"/>
        <v/>
      </c>
      <c r="D368" s="6" t="str">
        <f t="shared" si="110"/>
        <v/>
      </c>
      <c r="E368" s="79" t="str">
        <f t="shared" si="122"/>
        <v/>
      </c>
      <c r="F368" s="79" t="str">
        <f>IF(B367&gt;$C$18,"",IF(COUNTIF(Feriados!$A$2:$B$17,EDATE($C$38,B367))=0,EDATE($C$38,B367),EDATE($C$38,B367)+VLOOKUP(EDATE($C$38,B367),Feriados!$A$2:$B$17,2,FALSE)))</f>
        <v/>
      </c>
      <c r="G368" s="6" t="str">
        <f t="shared" si="123"/>
        <v/>
      </c>
      <c r="H368" s="6" t="str">
        <f t="shared" si="124"/>
        <v/>
      </c>
      <c r="I368" s="8" t="str">
        <f t="shared" si="125"/>
        <v/>
      </c>
      <c r="J368" s="8" t="str">
        <f t="shared" si="111"/>
        <v/>
      </c>
      <c r="K368" s="9" t="str">
        <f t="shared" si="112"/>
        <v/>
      </c>
      <c r="L368" s="9" t="str">
        <f t="shared" si="126"/>
        <v/>
      </c>
      <c r="M368" s="10" t="str">
        <f t="shared" si="113"/>
        <v/>
      </c>
      <c r="N368" s="6" t="str">
        <f t="shared" si="114"/>
        <v/>
      </c>
      <c r="O368" s="9" t="str">
        <f t="shared" si="115"/>
        <v/>
      </c>
      <c r="P368" s="9" t="str">
        <f t="shared" si="116"/>
        <v/>
      </c>
      <c r="Q368" s="9" t="str">
        <f t="shared" si="117"/>
        <v/>
      </c>
      <c r="R368" s="9" t="str">
        <f t="shared" ca="1" si="118"/>
        <v/>
      </c>
      <c r="T368" s="6" t="str">
        <f t="shared" si="127"/>
        <v/>
      </c>
      <c r="U368" s="6" t="str">
        <f t="shared" si="119"/>
        <v/>
      </c>
      <c r="V368" s="10" t="str">
        <f t="shared" si="120"/>
        <v/>
      </c>
      <c r="W368" s="8" t="str">
        <f t="shared" si="121"/>
        <v/>
      </c>
      <c r="X368" s="9">
        <f t="shared" si="128"/>
        <v>0</v>
      </c>
      <c r="Y368" s="9">
        <f t="shared" si="130"/>
        <v>0</v>
      </c>
    </row>
    <row r="369" spans="2:25" x14ac:dyDescent="0.3">
      <c r="B369" s="6">
        <v>332</v>
      </c>
      <c r="C369" s="79" t="str">
        <f t="shared" si="129"/>
        <v/>
      </c>
      <c r="D369" s="6" t="str">
        <f t="shared" si="110"/>
        <v/>
      </c>
      <c r="E369" s="79" t="str">
        <f t="shared" si="122"/>
        <v/>
      </c>
      <c r="F369" s="79" t="str">
        <f>IF(B368&gt;$C$18,"",IF(COUNTIF(Feriados!$A$2:$B$17,EDATE($C$38,B368))=0,EDATE($C$38,B368),EDATE($C$38,B368)+VLOOKUP(EDATE($C$38,B368),Feriados!$A$2:$B$17,2,FALSE)))</f>
        <v/>
      </c>
      <c r="G369" s="6" t="str">
        <f t="shared" si="123"/>
        <v/>
      </c>
      <c r="H369" s="6" t="str">
        <f t="shared" si="124"/>
        <v/>
      </c>
      <c r="I369" s="8" t="str">
        <f t="shared" si="125"/>
        <v/>
      </c>
      <c r="J369" s="8" t="str">
        <f t="shared" si="111"/>
        <v/>
      </c>
      <c r="K369" s="9" t="str">
        <f t="shared" si="112"/>
        <v/>
      </c>
      <c r="L369" s="9" t="str">
        <f t="shared" si="126"/>
        <v/>
      </c>
      <c r="M369" s="10" t="str">
        <f t="shared" si="113"/>
        <v/>
      </c>
      <c r="N369" s="6" t="str">
        <f t="shared" si="114"/>
        <v/>
      </c>
      <c r="O369" s="9" t="str">
        <f t="shared" si="115"/>
        <v/>
      </c>
      <c r="P369" s="9" t="str">
        <f t="shared" si="116"/>
        <v/>
      </c>
      <c r="Q369" s="9" t="str">
        <f t="shared" si="117"/>
        <v/>
      </c>
      <c r="R369" s="9" t="str">
        <f t="shared" ca="1" si="118"/>
        <v/>
      </c>
      <c r="T369" s="6" t="str">
        <f t="shared" si="127"/>
        <v/>
      </c>
      <c r="U369" s="6" t="str">
        <f t="shared" si="119"/>
        <v/>
      </c>
      <c r="V369" s="10" t="str">
        <f t="shared" si="120"/>
        <v/>
      </c>
      <c r="W369" s="8" t="str">
        <f t="shared" si="121"/>
        <v/>
      </c>
      <c r="X369" s="9">
        <f t="shared" si="128"/>
        <v>0</v>
      </c>
      <c r="Y369" s="9">
        <f t="shared" si="130"/>
        <v>0</v>
      </c>
    </row>
    <row r="370" spans="2:25" x14ac:dyDescent="0.3">
      <c r="B370" s="6">
        <v>333</v>
      </c>
      <c r="C370" s="79" t="str">
        <f t="shared" si="129"/>
        <v/>
      </c>
      <c r="D370" s="6" t="str">
        <f t="shared" si="110"/>
        <v/>
      </c>
      <c r="E370" s="79" t="str">
        <f t="shared" si="122"/>
        <v/>
      </c>
      <c r="F370" s="79" t="str">
        <f>IF(B369&gt;$C$18,"",IF(COUNTIF(Feriados!$A$2:$B$17,EDATE($C$38,B369))=0,EDATE($C$38,B369),EDATE($C$38,B369)+VLOOKUP(EDATE($C$38,B369),Feriados!$A$2:$B$17,2,FALSE)))</f>
        <v/>
      </c>
      <c r="G370" s="6" t="str">
        <f t="shared" si="123"/>
        <v/>
      </c>
      <c r="H370" s="6" t="str">
        <f t="shared" si="124"/>
        <v/>
      </c>
      <c r="I370" s="8" t="str">
        <f t="shared" si="125"/>
        <v/>
      </c>
      <c r="J370" s="8" t="str">
        <f t="shared" si="111"/>
        <v/>
      </c>
      <c r="K370" s="9" t="str">
        <f t="shared" si="112"/>
        <v/>
      </c>
      <c r="L370" s="9" t="str">
        <f t="shared" si="126"/>
        <v/>
      </c>
      <c r="M370" s="10" t="str">
        <f t="shared" si="113"/>
        <v/>
      </c>
      <c r="N370" s="6" t="str">
        <f t="shared" si="114"/>
        <v/>
      </c>
      <c r="O370" s="9" t="str">
        <f t="shared" si="115"/>
        <v/>
      </c>
      <c r="P370" s="9" t="str">
        <f t="shared" si="116"/>
        <v/>
      </c>
      <c r="Q370" s="9" t="str">
        <f t="shared" si="117"/>
        <v/>
      </c>
      <c r="R370" s="9" t="str">
        <f t="shared" ca="1" si="118"/>
        <v/>
      </c>
      <c r="T370" s="6" t="str">
        <f t="shared" si="127"/>
        <v/>
      </c>
      <c r="U370" s="6" t="str">
        <f t="shared" si="119"/>
        <v/>
      </c>
      <c r="V370" s="10" t="str">
        <f t="shared" si="120"/>
        <v/>
      </c>
      <c r="W370" s="8" t="str">
        <f t="shared" si="121"/>
        <v/>
      </c>
      <c r="X370" s="9">
        <f t="shared" si="128"/>
        <v>0</v>
      </c>
      <c r="Y370" s="9">
        <f t="shared" si="130"/>
        <v>0</v>
      </c>
    </row>
    <row r="371" spans="2:25" x14ac:dyDescent="0.3">
      <c r="B371" s="6">
        <v>334</v>
      </c>
      <c r="C371" s="79" t="str">
        <f t="shared" si="129"/>
        <v/>
      </c>
      <c r="D371" s="6" t="str">
        <f t="shared" si="110"/>
        <v/>
      </c>
      <c r="E371" s="79" t="str">
        <f t="shared" si="122"/>
        <v/>
      </c>
      <c r="F371" s="79" t="str">
        <f>IF(B370&gt;$C$18,"",IF(COUNTIF(Feriados!$A$2:$B$17,EDATE($C$38,B370))=0,EDATE($C$38,B370),EDATE($C$38,B370)+VLOOKUP(EDATE($C$38,B370),Feriados!$A$2:$B$17,2,FALSE)))</f>
        <v/>
      </c>
      <c r="G371" s="6" t="str">
        <f t="shared" si="123"/>
        <v/>
      </c>
      <c r="H371" s="6" t="str">
        <f t="shared" si="124"/>
        <v/>
      </c>
      <c r="I371" s="8" t="str">
        <f t="shared" si="125"/>
        <v/>
      </c>
      <c r="J371" s="8" t="str">
        <f t="shared" si="111"/>
        <v/>
      </c>
      <c r="K371" s="9" t="str">
        <f t="shared" si="112"/>
        <v/>
      </c>
      <c r="L371" s="9" t="str">
        <f t="shared" si="126"/>
        <v/>
      </c>
      <c r="M371" s="10" t="str">
        <f t="shared" si="113"/>
        <v/>
      </c>
      <c r="N371" s="6" t="str">
        <f t="shared" si="114"/>
        <v/>
      </c>
      <c r="O371" s="9" t="str">
        <f t="shared" si="115"/>
        <v/>
      </c>
      <c r="P371" s="9" t="str">
        <f t="shared" si="116"/>
        <v/>
      </c>
      <c r="Q371" s="9" t="str">
        <f t="shared" si="117"/>
        <v/>
      </c>
      <c r="R371" s="9" t="str">
        <f t="shared" ca="1" si="118"/>
        <v/>
      </c>
      <c r="T371" s="6" t="str">
        <f t="shared" si="127"/>
        <v/>
      </c>
      <c r="U371" s="6" t="str">
        <f t="shared" si="119"/>
        <v/>
      </c>
      <c r="V371" s="10" t="str">
        <f t="shared" si="120"/>
        <v/>
      </c>
      <c r="W371" s="8" t="str">
        <f t="shared" si="121"/>
        <v/>
      </c>
      <c r="X371" s="9">
        <f t="shared" si="128"/>
        <v>0</v>
      </c>
      <c r="Y371" s="9">
        <f t="shared" si="130"/>
        <v>0</v>
      </c>
    </row>
    <row r="372" spans="2:25" x14ac:dyDescent="0.3">
      <c r="B372" s="6">
        <v>335</v>
      </c>
      <c r="C372" s="79" t="str">
        <f t="shared" si="129"/>
        <v/>
      </c>
      <c r="D372" s="6" t="str">
        <f t="shared" si="110"/>
        <v/>
      </c>
      <c r="E372" s="79" t="str">
        <f t="shared" si="122"/>
        <v/>
      </c>
      <c r="F372" s="79" t="str">
        <f>IF(B371&gt;$C$18,"",IF(COUNTIF(Feriados!$A$2:$B$17,EDATE($C$38,B371))=0,EDATE($C$38,B371),EDATE($C$38,B371)+VLOOKUP(EDATE($C$38,B371),Feriados!$A$2:$B$17,2,FALSE)))</f>
        <v/>
      </c>
      <c r="G372" s="6" t="str">
        <f t="shared" si="123"/>
        <v/>
      </c>
      <c r="H372" s="6" t="str">
        <f t="shared" si="124"/>
        <v/>
      </c>
      <c r="I372" s="8" t="str">
        <f t="shared" si="125"/>
        <v/>
      </c>
      <c r="J372" s="8" t="str">
        <f t="shared" si="111"/>
        <v/>
      </c>
      <c r="K372" s="9" t="str">
        <f t="shared" si="112"/>
        <v/>
      </c>
      <c r="L372" s="9" t="str">
        <f t="shared" si="126"/>
        <v/>
      </c>
      <c r="M372" s="10" t="str">
        <f t="shared" si="113"/>
        <v/>
      </c>
      <c r="N372" s="6" t="str">
        <f t="shared" si="114"/>
        <v/>
      </c>
      <c r="O372" s="9" t="str">
        <f t="shared" si="115"/>
        <v/>
      </c>
      <c r="P372" s="9" t="str">
        <f t="shared" si="116"/>
        <v/>
      </c>
      <c r="Q372" s="9" t="str">
        <f t="shared" si="117"/>
        <v/>
      </c>
      <c r="R372" s="9" t="str">
        <f t="shared" ca="1" si="118"/>
        <v/>
      </c>
      <c r="T372" s="6" t="str">
        <f t="shared" si="127"/>
        <v/>
      </c>
      <c r="U372" s="6" t="str">
        <f t="shared" si="119"/>
        <v/>
      </c>
      <c r="V372" s="10" t="str">
        <f t="shared" si="120"/>
        <v/>
      </c>
      <c r="W372" s="8" t="str">
        <f t="shared" si="121"/>
        <v/>
      </c>
      <c r="X372" s="9">
        <f t="shared" si="128"/>
        <v>0</v>
      </c>
      <c r="Y372" s="9">
        <f t="shared" si="130"/>
        <v>0</v>
      </c>
    </row>
    <row r="373" spans="2:25" x14ac:dyDescent="0.3">
      <c r="B373" s="6">
        <v>336</v>
      </c>
      <c r="C373" s="79" t="str">
        <f t="shared" si="129"/>
        <v/>
      </c>
      <c r="D373" s="6" t="str">
        <f t="shared" si="110"/>
        <v/>
      </c>
      <c r="E373" s="79" t="str">
        <f t="shared" si="122"/>
        <v/>
      </c>
      <c r="F373" s="79" t="str">
        <f>IF(B372&gt;$C$18,"",IF(COUNTIF(Feriados!$A$2:$B$17,EDATE($C$38,B372))=0,EDATE($C$38,B372),EDATE($C$38,B372)+VLOOKUP(EDATE($C$38,B372),Feriados!$A$2:$B$17,2,FALSE)))</f>
        <v/>
      </c>
      <c r="G373" s="6" t="str">
        <f t="shared" si="123"/>
        <v/>
      </c>
      <c r="H373" s="6" t="str">
        <f t="shared" si="124"/>
        <v/>
      </c>
      <c r="I373" s="8" t="str">
        <f t="shared" si="125"/>
        <v/>
      </c>
      <c r="J373" s="8" t="str">
        <f t="shared" si="111"/>
        <v/>
      </c>
      <c r="K373" s="9" t="str">
        <f t="shared" si="112"/>
        <v/>
      </c>
      <c r="L373" s="9" t="str">
        <f t="shared" si="126"/>
        <v/>
      </c>
      <c r="M373" s="10" t="str">
        <f t="shared" si="113"/>
        <v/>
      </c>
      <c r="N373" s="6" t="str">
        <f t="shared" si="114"/>
        <v/>
      </c>
      <c r="O373" s="9" t="str">
        <f t="shared" si="115"/>
        <v/>
      </c>
      <c r="P373" s="9" t="str">
        <f t="shared" si="116"/>
        <v/>
      </c>
      <c r="Q373" s="9" t="str">
        <f t="shared" si="117"/>
        <v/>
      </c>
      <c r="R373" s="9" t="str">
        <f t="shared" ca="1" si="118"/>
        <v/>
      </c>
      <c r="T373" s="6" t="str">
        <f t="shared" si="127"/>
        <v/>
      </c>
      <c r="U373" s="6" t="str">
        <f t="shared" si="119"/>
        <v/>
      </c>
      <c r="V373" s="10" t="str">
        <f t="shared" si="120"/>
        <v/>
      </c>
      <c r="W373" s="8" t="str">
        <f t="shared" si="121"/>
        <v/>
      </c>
      <c r="X373" s="9">
        <f t="shared" si="128"/>
        <v>0</v>
      </c>
      <c r="Y373" s="9">
        <f t="shared" si="130"/>
        <v>0</v>
      </c>
    </row>
    <row r="374" spans="2:25" x14ac:dyDescent="0.3">
      <c r="B374" s="6">
        <v>337</v>
      </c>
      <c r="C374" s="79" t="str">
        <f t="shared" si="129"/>
        <v/>
      </c>
      <c r="D374" s="6" t="str">
        <f t="shared" si="110"/>
        <v/>
      </c>
      <c r="E374" s="79" t="str">
        <f t="shared" si="122"/>
        <v/>
      </c>
      <c r="F374" s="79" t="str">
        <f>IF(B373&gt;$C$18,"",IF(COUNTIF(Feriados!$A$2:$B$17,EDATE($C$38,B373))=0,EDATE($C$38,B373),EDATE($C$38,B373)+VLOOKUP(EDATE($C$38,B373),Feriados!$A$2:$B$17,2,FALSE)))</f>
        <v/>
      </c>
      <c r="G374" s="6" t="str">
        <f t="shared" si="123"/>
        <v/>
      </c>
      <c r="H374" s="6" t="str">
        <f t="shared" si="124"/>
        <v/>
      </c>
      <c r="I374" s="8" t="str">
        <f t="shared" si="125"/>
        <v/>
      </c>
      <c r="J374" s="8" t="str">
        <f t="shared" si="111"/>
        <v/>
      </c>
      <c r="K374" s="9" t="str">
        <f t="shared" si="112"/>
        <v/>
      </c>
      <c r="L374" s="9" t="str">
        <f t="shared" si="126"/>
        <v/>
      </c>
      <c r="M374" s="10" t="str">
        <f t="shared" si="113"/>
        <v/>
      </c>
      <c r="N374" s="6" t="str">
        <f t="shared" si="114"/>
        <v/>
      </c>
      <c r="O374" s="9" t="str">
        <f t="shared" si="115"/>
        <v/>
      </c>
      <c r="P374" s="9" t="str">
        <f t="shared" si="116"/>
        <v/>
      </c>
      <c r="Q374" s="9" t="str">
        <f t="shared" si="117"/>
        <v/>
      </c>
      <c r="R374" s="9" t="str">
        <f t="shared" ca="1" si="118"/>
        <v/>
      </c>
      <c r="T374" s="6" t="str">
        <f t="shared" si="127"/>
        <v/>
      </c>
      <c r="U374" s="6" t="str">
        <f t="shared" si="119"/>
        <v/>
      </c>
      <c r="V374" s="10" t="str">
        <f t="shared" si="120"/>
        <v/>
      </c>
      <c r="W374" s="8" t="str">
        <f t="shared" si="121"/>
        <v/>
      </c>
      <c r="X374" s="9">
        <f t="shared" si="128"/>
        <v>0</v>
      </c>
      <c r="Y374" s="9">
        <f t="shared" si="130"/>
        <v>0</v>
      </c>
    </row>
    <row r="375" spans="2:25" x14ac:dyDescent="0.3">
      <c r="B375" s="6">
        <v>338</v>
      </c>
      <c r="C375" s="79" t="str">
        <f t="shared" si="129"/>
        <v/>
      </c>
      <c r="D375" s="6" t="str">
        <f t="shared" si="110"/>
        <v/>
      </c>
      <c r="E375" s="79" t="str">
        <f t="shared" si="122"/>
        <v/>
      </c>
      <c r="F375" s="79" t="str">
        <f>IF(B374&gt;$C$18,"",IF(COUNTIF(Feriados!$A$2:$B$17,EDATE($C$38,B374))=0,EDATE($C$38,B374),EDATE($C$38,B374)+VLOOKUP(EDATE($C$38,B374),Feriados!$A$2:$B$17,2,FALSE)))</f>
        <v/>
      </c>
      <c r="G375" s="6" t="str">
        <f t="shared" si="123"/>
        <v/>
      </c>
      <c r="H375" s="6" t="str">
        <f t="shared" si="124"/>
        <v/>
      </c>
      <c r="I375" s="8" t="str">
        <f t="shared" si="125"/>
        <v/>
      </c>
      <c r="J375" s="8" t="str">
        <f t="shared" si="111"/>
        <v/>
      </c>
      <c r="K375" s="9" t="str">
        <f t="shared" si="112"/>
        <v/>
      </c>
      <c r="L375" s="9" t="str">
        <f t="shared" si="126"/>
        <v/>
      </c>
      <c r="M375" s="10" t="str">
        <f t="shared" si="113"/>
        <v/>
      </c>
      <c r="N375" s="6" t="str">
        <f t="shared" si="114"/>
        <v/>
      </c>
      <c r="O375" s="9" t="str">
        <f t="shared" si="115"/>
        <v/>
      </c>
      <c r="P375" s="9" t="str">
        <f t="shared" si="116"/>
        <v/>
      </c>
      <c r="Q375" s="9" t="str">
        <f t="shared" si="117"/>
        <v/>
      </c>
      <c r="R375" s="9" t="str">
        <f t="shared" ca="1" si="118"/>
        <v/>
      </c>
      <c r="T375" s="6" t="str">
        <f t="shared" si="127"/>
        <v/>
      </c>
      <c r="U375" s="6" t="str">
        <f t="shared" si="119"/>
        <v/>
      </c>
      <c r="V375" s="10" t="str">
        <f t="shared" si="120"/>
        <v/>
      </c>
      <c r="W375" s="8" t="str">
        <f t="shared" si="121"/>
        <v/>
      </c>
      <c r="X375" s="9">
        <f t="shared" si="128"/>
        <v>0</v>
      </c>
      <c r="Y375" s="9">
        <f t="shared" si="130"/>
        <v>0</v>
      </c>
    </row>
    <row r="376" spans="2:25" x14ac:dyDescent="0.3">
      <c r="B376" s="6">
        <v>339</v>
      </c>
      <c r="C376" s="79" t="str">
        <f t="shared" si="129"/>
        <v/>
      </c>
      <c r="D376" s="6" t="str">
        <f t="shared" si="110"/>
        <v/>
      </c>
      <c r="E376" s="79" t="str">
        <f t="shared" si="122"/>
        <v/>
      </c>
      <c r="F376" s="79" t="str">
        <f>IF(B375&gt;$C$18,"",IF(COUNTIF(Feriados!$A$2:$B$17,EDATE($C$38,B375))=0,EDATE($C$38,B375),EDATE($C$38,B375)+VLOOKUP(EDATE($C$38,B375),Feriados!$A$2:$B$17,2,FALSE)))</f>
        <v/>
      </c>
      <c r="G376" s="6" t="str">
        <f t="shared" si="123"/>
        <v/>
      </c>
      <c r="H376" s="6" t="str">
        <f t="shared" si="124"/>
        <v/>
      </c>
      <c r="I376" s="8" t="str">
        <f t="shared" si="125"/>
        <v/>
      </c>
      <c r="J376" s="8" t="str">
        <f t="shared" si="111"/>
        <v/>
      </c>
      <c r="K376" s="9" t="str">
        <f t="shared" si="112"/>
        <v/>
      </c>
      <c r="L376" s="9" t="str">
        <f t="shared" si="126"/>
        <v/>
      </c>
      <c r="M376" s="10" t="str">
        <f t="shared" si="113"/>
        <v/>
      </c>
      <c r="N376" s="6" t="str">
        <f t="shared" si="114"/>
        <v/>
      </c>
      <c r="O376" s="9" t="str">
        <f t="shared" si="115"/>
        <v/>
      </c>
      <c r="P376" s="9" t="str">
        <f t="shared" si="116"/>
        <v/>
      </c>
      <c r="Q376" s="9" t="str">
        <f t="shared" si="117"/>
        <v/>
      </c>
      <c r="R376" s="9" t="str">
        <f t="shared" ca="1" si="118"/>
        <v/>
      </c>
      <c r="T376" s="6" t="str">
        <f t="shared" si="127"/>
        <v/>
      </c>
      <c r="U376" s="6" t="str">
        <f t="shared" si="119"/>
        <v/>
      </c>
      <c r="V376" s="10" t="str">
        <f t="shared" si="120"/>
        <v/>
      </c>
      <c r="W376" s="8" t="str">
        <f t="shared" si="121"/>
        <v/>
      </c>
      <c r="X376" s="9">
        <f t="shared" si="128"/>
        <v>0</v>
      </c>
      <c r="Y376" s="9">
        <f t="shared" si="130"/>
        <v>0</v>
      </c>
    </row>
    <row r="377" spans="2:25" x14ac:dyDescent="0.3">
      <c r="B377" s="6">
        <v>340</v>
      </c>
      <c r="C377" s="79" t="str">
        <f t="shared" si="129"/>
        <v/>
      </c>
      <c r="D377" s="6" t="str">
        <f t="shared" si="110"/>
        <v/>
      </c>
      <c r="E377" s="79" t="str">
        <f t="shared" si="122"/>
        <v/>
      </c>
      <c r="F377" s="79" t="str">
        <f>IF(B376&gt;$C$18,"",IF(COUNTIF(Feriados!$A$2:$B$17,EDATE($C$38,B376))=0,EDATE($C$38,B376),EDATE($C$38,B376)+VLOOKUP(EDATE($C$38,B376),Feriados!$A$2:$B$17,2,FALSE)))</f>
        <v/>
      </c>
      <c r="G377" s="6" t="str">
        <f t="shared" si="123"/>
        <v/>
      </c>
      <c r="H377" s="6" t="str">
        <f t="shared" si="124"/>
        <v/>
      </c>
      <c r="I377" s="8" t="str">
        <f t="shared" si="125"/>
        <v/>
      </c>
      <c r="J377" s="8" t="str">
        <f t="shared" si="111"/>
        <v/>
      </c>
      <c r="K377" s="9" t="str">
        <f t="shared" si="112"/>
        <v/>
      </c>
      <c r="L377" s="9" t="str">
        <f t="shared" si="126"/>
        <v/>
      </c>
      <c r="M377" s="10" t="str">
        <f t="shared" si="113"/>
        <v/>
      </c>
      <c r="N377" s="6" t="str">
        <f t="shared" si="114"/>
        <v/>
      </c>
      <c r="O377" s="9" t="str">
        <f t="shared" si="115"/>
        <v/>
      </c>
      <c r="P377" s="9" t="str">
        <f t="shared" si="116"/>
        <v/>
      </c>
      <c r="Q377" s="9" t="str">
        <f t="shared" si="117"/>
        <v/>
      </c>
      <c r="R377" s="9" t="str">
        <f t="shared" ca="1" si="118"/>
        <v/>
      </c>
      <c r="T377" s="6" t="str">
        <f t="shared" si="127"/>
        <v/>
      </c>
      <c r="U377" s="6" t="str">
        <f t="shared" si="119"/>
        <v/>
      </c>
      <c r="V377" s="10" t="str">
        <f t="shared" si="120"/>
        <v/>
      </c>
      <c r="W377" s="8" t="str">
        <f t="shared" si="121"/>
        <v/>
      </c>
      <c r="X377" s="9">
        <f t="shared" si="128"/>
        <v>0</v>
      </c>
      <c r="Y377" s="9">
        <f t="shared" si="130"/>
        <v>0</v>
      </c>
    </row>
    <row r="378" spans="2:25" x14ac:dyDescent="0.3">
      <c r="B378" s="6">
        <v>341</v>
      </c>
      <c r="C378" s="79" t="str">
        <f t="shared" si="129"/>
        <v/>
      </c>
      <c r="D378" s="6" t="str">
        <f t="shared" si="110"/>
        <v/>
      </c>
      <c r="E378" s="79" t="str">
        <f t="shared" si="122"/>
        <v/>
      </c>
      <c r="F378" s="79" t="str">
        <f>IF(B377&gt;$C$18,"",IF(COUNTIF(Feriados!$A$2:$B$17,EDATE($C$38,B377))=0,EDATE($C$38,B377),EDATE($C$38,B377)+VLOOKUP(EDATE($C$38,B377),Feriados!$A$2:$B$17,2,FALSE)))</f>
        <v/>
      </c>
      <c r="G378" s="6" t="str">
        <f t="shared" si="123"/>
        <v/>
      </c>
      <c r="H378" s="6" t="str">
        <f t="shared" si="124"/>
        <v/>
      </c>
      <c r="I378" s="8" t="str">
        <f t="shared" si="125"/>
        <v/>
      </c>
      <c r="J378" s="8" t="str">
        <f t="shared" si="111"/>
        <v/>
      </c>
      <c r="K378" s="9" t="str">
        <f t="shared" si="112"/>
        <v/>
      </c>
      <c r="L378" s="9" t="str">
        <f t="shared" si="126"/>
        <v/>
      </c>
      <c r="M378" s="10" t="str">
        <f t="shared" si="113"/>
        <v/>
      </c>
      <c r="N378" s="6" t="str">
        <f t="shared" si="114"/>
        <v/>
      </c>
      <c r="O378" s="9" t="str">
        <f t="shared" si="115"/>
        <v/>
      </c>
      <c r="P378" s="9" t="str">
        <f t="shared" si="116"/>
        <v/>
      </c>
      <c r="Q378" s="9" t="str">
        <f t="shared" si="117"/>
        <v/>
      </c>
      <c r="R378" s="9" t="str">
        <f t="shared" ca="1" si="118"/>
        <v/>
      </c>
      <c r="T378" s="6" t="str">
        <f t="shared" si="127"/>
        <v/>
      </c>
      <c r="U378" s="6" t="str">
        <f t="shared" si="119"/>
        <v/>
      </c>
      <c r="V378" s="10" t="str">
        <f t="shared" si="120"/>
        <v/>
      </c>
      <c r="W378" s="8" t="str">
        <f t="shared" si="121"/>
        <v/>
      </c>
      <c r="X378" s="9">
        <f t="shared" si="128"/>
        <v>0</v>
      </c>
      <c r="Y378" s="9">
        <f t="shared" si="130"/>
        <v>0</v>
      </c>
    </row>
    <row r="379" spans="2:25" x14ac:dyDescent="0.3">
      <c r="B379" s="6">
        <v>342</v>
      </c>
      <c r="C379" s="79" t="str">
        <f t="shared" si="129"/>
        <v/>
      </c>
      <c r="D379" s="6" t="str">
        <f t="shared" si="110"/>
        <v/>
      </c>
      <c r="E379" s="79" t="str">
        <f t="shared" si="122"/>
        <v/>
      </c>
      <c r="F379" s="79" t="str">
        <f>IF(B378&gt;$C$18,"",IF(COUNTIF(Feriados!$A$2:$B$17,EDATE($C$38,B378))=0,EDATE($C$38,B378),EDATE($C$38,B378)+VLOOKUP(EDATE($C$38,B378),Feriados!$A$2:$B$17,2,FALSE)))</f>
        <v/>
      </c>
      <c r="G379" s="6" t="str">
        <f t="shared" si="123"/>
        <v/>
      </c>
      <c r="H379" s="6" t="str">
        <f t="shared" si="124"/>
        <v/>
      </c>
      <c r="I379" s="8" t="str">
        <f t="shared" si="125"/>
        <v/>
      </c>
      <c r="J379" s="8" t="str">
        <f t="shared" si="111"/>
        <v/>
      </c>
      <c r="K379" s="9" t="str">
        <f t="shared" si="112"/>
        <v/>
      </c>
      <c r="L379" s="9" t="str">
        <f t="shared" si="126"/>
        <v/>
      </c>
      <c r="M379" s="10" t="str">
        <f t="shared" si="113"/>
        <v/>
      </c>
      <c r="N379" s="6" t="str">
        <f t="shared" si="114"/>
        <v/>
      </c>
      <c r="O379" s="9" t="str">
        <f t="shared" si="115"/>
        <v/>
      </c>
      <c r="P379" s="9" t="str">
        <f t="shared" si="116"/>
        <v/>
      </c>
      <c r="Q379" s="9" t="str">
        <f t="shared" si="117"/>
        <v/>
      </c>
      <c r="R379" s="9" t="str">
        <f t="shared" ca="1" si="118"/>
        <v/>
      </c>
      <c r="T379" s="6" t="str">
        <f t="shared" si="127"/>
        <v/>
      </c>
      <c r="U379" s="6" t="str">
        <f t="shared" si="119"/>
        <v/>
      </c>
      <c r="V379" s="10" t="str">
        <f t="shared" si="120"/>
        <v/>
      </c>
      <c r="W379" s="8" t="str">
        <f t="shared" si="121"/>
        <v/>
      </c>
      <c r="X379" s="9">
        <f t="shared" si="128"/>
        <v>0</v>
      </c>
      <c r="Y379" s="9">
        <f t="shared" si="130"/>
        <v>0</v>
      </c>
    </row>
    <row r="380" spans="2:25" x14ac:dyDescent="0.3">
      <c r="B380" s="6">
        <v>343</v>
      </c>
      <c r="C380" s="79" t="str">
        <f t="shared" si="129"/>
        <v/>
      </c>
      <c r="D380" s="6" t="str">
        <f t="shared" si="110"/>
        <v/>
      </c>
      <c r="E380" s="79" t="str">
        <f t="shared" si="122"/>
        <v/>
      </c>
      <c r="F380" s="79" t="str">
        <f>IF(B379&gt;$C$18,"",IF(COUNTIF(Feriados!$A$2:$B$17,EDATE($C$38,B379))=0,EDATE($C$38,B379),EDATE($C$38,B379)+VLOOKUP(EDATE($C$38,B379),Feriados!$A$2:$B$17,2,FALSE)))</f>
        <v/>
      </c>
      <c r="G380" s="6" t="str">
        <f t="shared" si="123"/>
        <v/>
      </c>
      <c r="H380" s="6" t="str">
        <f t="shared" si="124"/>
        <v/>
      </c>
      <c r="I380" s="8" t="str">
        <f t="shared" si="125"/>
        <v/>
      </c>
      <c r="J380" s="8" t="str">
        <f t="shared" si="111"/>
        <v/>
      </c>
      <c r="K380" s="9" t="str">
        <f t="shared" si="112"/>
        <v/>
      </c>
      <c r="L380" s="9" t="str">
        <f t="shared" si="126"/>
        <v/>
      </c>
      <c r="M380" s="10" t="str">
        <f t="shared" si="113"/>
        <v/>
      </c>
      <c r="N380" s="6" t="str">
        <f t="shared" si="114"/>
        <v/>
      </c>
      <c r="O380" s="9" t="str">
        <f t="shared" si="115"/>
        <v/>
      </c>
      <c r="P380" s="9" t="str">
        <f t="shared" si="116"/>
        <v/>
      </c>
      <c r="Q380" s="9" t="str">
        <f t="shared" si="117"/>
        <v/>
      </c>
      <c r="R380" s="9" t="str">
        <f t="shared" ca="1" si="118"/>
        <v/>
      </c>
      <c r="T380" s="6" t="str">
        <f t="shared" si="127"/>
        <v/>
      </c>
      <c r="U380" s="6" t="str">
        <f t="shared" si="119"/>
        <v/>
      </c>
      <c r="V380" s="10" t="str">
        <f t="shared" si="120"/>
        <v/>
      </c>
      <c r="W380" s="8" t="str">
        <f t="shared" si="121"/>
        <v/>
      </c>
      <c r="X380" s="9">
        <f t="shared" si="128"/>
        <v>0</v>
      </c>
      <c r="Y380" s="9">
        <f t="shared" si="130"/>
        <v>0</v>
      </c>
    </row>
    <row r="381" spans="2:25" x14ac:dyDescent="0.3">
      <c r="B381" s="6">
        <v>344</v>
      </c>
      <c r="C381" s="79" t="str">
        <f t="shared" si="129"/>
        <v/>
      </c>
      <c r="D381" s="6" t="str">
        <f t="shared" si="110"/>
        <v/>
      </c>
      <c r="E381" s="79" t="str">
        <f t="shared" si="122"/>
        <v/>
      </c>
      <c r="F381" s="79" t="str">
        <f>IF(B380&gt;$C$18,"",IF(COUNTIF(Feriados!$A$2:$B$17,EDATE($C$38,B380))=0,EDATE($C$38,B380),EDATE($C$38,B380)+VLOOKUP(EDATE($C$38,B380),Feriados!$A$2:$B$17,2,FALSE)))</f>
        <v/>
      </c>
      <c r="G381" s="6" t="str">
        <f t="shared" si="123"/>
        <v/>
      </c>
      <c r="H381" s="6" t="str">
        <f t="shared" si="124"/>
        <v/>
      </c>
      <c r="I381" s="8" t="str">
        <f t="shared" si="125"/>
        <v/>
      </c>
      <c r="J381" s="8" t="str">
        <f t="shared" si="111"/>
        <v/>
      </c>
      <c r="K381" s="9" t="str">
        <f t="shared" si="112"/>
        <v/>
      </c>
      <c r="L381" s="9" t="str">
        <f t="shared" si="126"/>
        <v/>
      </c>
      <c r="M381" s="10" t="str">
        <f t="shared" si="113"/>
        <v/>
      </c>
      <c r="N381" s="6" t="str">
        <f t="shared" si="114"/>
        <v/>
      </c>
      <c r="O381" s="9" t="str">
        <f t="shared" si="115"/>
        <v/>
      </c>
      <c r="P381" s="9" t="str">
        <f t="shared" si="116"/>
        <v/>
      </c>
      <c r="Q381" s="9" t="str">
        <f t="shared" si="117"/>
        <v/>
      </c>
      <c r="R381" s="9" t="str">
        <f t="shared" ca="1" si="118"/>
        <v/>
      </c>
      <c r="T381" s="6" t="str">
        <f t="shared" si="127"/>
        <v/>
      </c>
      <c r="U381" s="6" t="str">
        <f t="shared" si="119"/>
        <v/>
      </c>
      <c r="V381" s="10" t="str">
        <f t="shared" si="120"/>
        <v/>
      </c>
      <c r="W381" s="8" t="str">
        <f t="shared" si="121"/>
        <v/>
      </c>
      <c r="X381" s="9">
        <f t="shared" si="128"/>
        <v>0</v>
      </c>
      <c r="Y381" s="9">
        <f t="shared" si="130"/>
        <v>0</v>
      </c>
    </row>
    <row r="382" spans="2:25" x14ac:dyDescent="0.3">
      <c r="B382" s="6">
        <v>345</v>
      </c>
      <c r="C382" s="79" t="str">
        <f t="shared" si="129"/>
        <v/>
      </c>
      <c r="D382" s="6" t="str">
        <f t="shared" si="110"/>
        <v/>
      </c>
      <c r="E382" s="79" t="str">
        <f t="shared" si="122"/>
        <v/>
      </c>
      <c r="F382" s="79" t="str">
        <f>IF(B381&gt;$C$18,"",IF(COUNTIF(Feriados!$A$2:$B$17,EDATE($C$38,B381))=0,EDATE($C$38,B381),EDATE($C$38,B381)+VLOOKUP(EDATE($C$38,B381),Feriados!$A$2:$B$17,2,FALSE)))</f>
        <v/>
      </c>
      <c r="G382" s="6" t="str">
        <f t="shared" si="123"/>
        <v/>
      </c>
      <c r="H382" s="6" t="str">
        <f t="shared" si="124"/>
        <v/>
      </c>
      <c r="I382" s="8" t="str">
        <f t="shared" si="125"/>
        <v/>
      </c>
      <c r="J382" s="8" t="str">
        <f t="shared" si="111"/>
        <v/>
      </c>
      <c r="K382" s="9" t="str">
        <f t="shared" si="112"/>
        <v/>
      </c>
      <c r="L382" s="9" t="str">
        <f t="shared" si="126"/>
        <v/>
      </c>
      <c r="M382" s="10" t="str">
        <f t="shared" si="113"/>
        <v/>
      </c>
      <c r="N382" s="6" t="str">
        <f t="shared" si="114"/>
        <v/>
      </c>
      <c r="O382" s="9" t="str">
        <f t="shared" si="115"/>
        <v/>
      </c>
      <c r="P382" s="9" t="str">
        <f t="shared" si="116"/>
        <v/>
      </c>
      <c r="Q382" s="9" t="str">
        <f t="shared" si="117"/>
        <v/>
      </c>
      <c r="R382" s="9" t="str">
        <f t="shared" ca="1" si="118"/>
        <v/>
      </c>
      <c r="T382" s="6" t="str">
        <f t="shared" si="127"/>
        <v/>
      </c>
      <c r="U382" s="6" t="str">
        <f t="shared" si="119"/>
        <v/>
      </c>
      <c r="V382" s="10" t="str">
        <f t="shared" si="120"/>
        <v/>
      </c>
      <c r="W382" s="8" t="str">
        <f t="shared" si="121"/>
        <v/>
      </c>
      <c r="X382" s="9">
        <f t="shared" si="128"/>
        <v>0</v>
      </c>
      <c r="Y382" s="9">
        <f t="shared" si="130"/>
        <v>0</v>
      </c>
    </row>
    <row r="383" spans="2:25" x14ac:dyDescent="0.3">
      <c r="B383" s="6">
        <v>346</v>
      </c>
      <c r="C383" s="79" t="str">
        <f t="shared" si="129"/>
        <v/>
      </c>
      <c r="D383" s="6" t="str">
        <f t="shared" si="110"/>
        <v/>
      </c>
      <c r="E383" s="79" t="str">
        <f t="shared" si="122"/>
        <v/>
      </c>
      <c r="F383" s="79" t="str">
        <f>IF(B382&gt;$C$18,"",IF(COUNTIF(Feriados!$A$2:$B$17,EDATE($C$38,B382))=0,EDATE($C$38,B382),EDATE($C$38,B382)+VLOOKUP(EDATE($C$38,B382),Feriados!$A$2:$B$17,2,FALSE)))</f>
        <v/>
      </c>
      <c r="G383" s="6" t="str">
        <f t="shared" si="123"/>
        <v/>
      </c>
      <c r="H383" s="6" t="str">
        <f t="shared" si="124"/>
        <v/>
      </c>
      <c r="I383" s="8" t="str">
        <f t="shared" si="125"/>
        <v/>
      </c>
      <c r="J383" s="8" t="str">
        <f t="shared" si="111"/>
        <v/>
      </c>
      <c r="K383" s="9" t="str">
        <f t="shared" si="112"/>
        <v/>
      </c>
      <c r="L383" s="9" t="str">
        <f t="shared" si="126"/>
        <v/>
      </c>
      <c r="M383" s="10" t="str">
        <f t="shared" si="113"/>
        <v/>
      </c>
      <c r="N383" s="6" t="str">
        <f t="shared" si="114"/>
        <v/>
      </c>
      <c r="O383" s="9" t="str">
        <f t="shared" si="115"/>
        <v/>
      </c>
      <c r="P383" s="9" t="str">
        <f t="shared" si="116"/>
        <v/>
      </c>
      <c r="Q383" s="9" t="str">
        <f t="shared" si="117"/>
        <v/>
      </c>
      <c r="R383" s="9" t="str">
        <f t="shared" ca="1" si="118"/>
        <v/>
      </c>
      <c r="T383" s="6" t="str">
        <f t="shared" si="127"/>
        <v/>
      </c>
      <c r="U383" s="6" t="str">
        <f t="shared" si="119"/>
        <v/>
      </c>
      <c r="V383" s="10" t="str">
        <f t="shared" si="120"/>
        <v/>
      </c>
      <c r="W383" s="8" t="str">
        <f t="shared" si="121"/>
        <v/>
      </c>
      <c r="X383" s="9">
        <f t="shared" si="128"/>
        <v>0</v>
      </c>
      <c r="Y383" s="9">
        <f t="shared" si="130"/>
        <v>0</v>
      </c>
    </row>
    <row r="384" spans="2:25" x14ac:dyDescent="0.3">
      <c r="B384" s="6">
        <v>347</v>
      </c>
      <c r="C384" s="79" t="str">
        <f t="shared" si="129"/>
        <v/>
      </c>
      <c r="D384" s="6" t="str">
        <f t="shared" si="110"/>
        <v/>
      </c>
      <c r="E384" s="79" t="str">
        <f t="shared" si="122"/>
        <v/>
      </c>
      <c r="F384" s="79" t="str">
        <f>IF(B383&gt;$C$18,"",IF(COUNTIF(Feriados!$A$2:$B$17,EDATE($C$38,B383))=0,EDATE($C$38,B383),EDATE($C$38,B383)+VLOOKUP(EDATE($C$38,B383),Feriados!$A$2:$B$17,2,FALSE)))</f>
        <v/>
      </c>
      <c r="G384" s="6" t="str">
        <f t="shared" si="123"/>
        <v/>
      </c>
      <c r="H384" s="6" t="str">
        <f t="shared" si="124"/>
        <v/>
      </c>
      <c r="I384" s="8" t="str">
        <f t="shared" si="125"/>
        <v/>
      </c>
      <c r="J384" s="8" t="str">
        <f t="shared" si="111"/>
        <v/>
      </c>
      <c r="K384" s="9" t="str">
        <f t="shared" si="112"/>
        <v/>
      </c>
      <c r="L384" s="9" t="str">
        <f t="shared" si="126"/>
        <v/>
      </c>
      <c r="M384" s="10" t="str">
        <f t="shared" si="113"/>
        <v/>
      </c>
      <c r="N384" s="6" t="str">
        <f t="shared" si="114"/>
        <v/>
      </c>
      <c r="O384" s="9" t="str">
        <f t="shared" si="115"/>
        <v/>
      </c>
      <c r="P384" s="9" t="str">
        <f t="shared" si="116"/>
        <v/>
      </c>
      <c r="Q384" s="9" t="str">
        <f t="shared" si="117"/>
        <v/>
      </c>
      <c r="R384" s="9" t="str">
        <f t="shared" ca="1" si="118"/>
        <v/>
      </c>
      <c r="T384" s="6" t="str">
        <f t="shared" si="127"/>
        <v/>
      </c>
      <c r="U384" s="6" t="str">
        <f t="shared" si="119"/>
        <v/>
      </c>
      <c r="V384" s="10" t="str">
        <f t="shared" si="120"/>
        <v/>
      </c>
      <c r="W384" s="8" t="str">
        <f t="shared" si="121"/>
        <v/>
      </c>
      <c r="X384" s="9">
        <f t="shared" si="128"/>
        <v>0</v>
      </c>
      <c r="Y384" s="9">
        <f t="shared" si="130"/>
        <v>0</v>
      </c>
    </row>
    <row r="385" spans="2:25" x14ac:dyDescent="0.3">
      <c r="B385" s="6">
        <v>348</v>
      </c>
      <c r="C385" s="79" t="str">
        <f t="shared" si="129"/>
        <v/>
      </c>
      <c r="D385" s="6" t="str">
        <f t="shared" si="110"/>
        <v/>
      </c>
      <c r="E385" s="79" t="str">
        <f t="shared" si="122"/>
        <v/>
      </c>
      <c r="F385" s="79" t="str">
        <f>IF(B384&gt;$C$18,"",IF(COUNTIF(Feriados!$A$2:$B$17,EDATE($C$38,B384))=0,EDATE($C$38,B384),EDATE($C$38,B384)+VLOOKUP(EDATE($C$38,B384),Feriados!$A$2:$B$17,2,FALSE)))</f>
        <v/>
      </c>
      <c r="G385" s="6" t="str">
        <f t="shared" si="123"/>
        <v/>
      </c>
      <c r="H385" s="6" t="str">
        <f t="shared" si="124"/>
        <v/>
      </c>
      <c r="I385" s="8" t="str">
        <f t="shared" si="125"/>
        <v/>
      </c>
      <c r="J385" s="8" t="str">
        <f t="shared" si="111"/>
        <v/>
      </c>
      <c r="K385" s="9" t="str">
        <f t="shared" si="112"/>
        <v/>
      </c>
      <c r="L385" s="9" t="str">
        <f t="shared" si="126"/>
        <v/>
      </c>
      <c r="M385" s="10" t="str">
        <f t="shared" si="113"/>
        <v/>
      </c>
      <c r="N385" s="6" t="str">
        <f t="shared" si="114"/>
        <v/>
      </c>
      <c r="O385" s="9" t="str">
        <f t="shared" si="115"/>
        <v/>
      </c>
      <c r="P385" s="9" t="str">
        <f t="shared" si="116"/>
        <v/>
      </c>
      <c r="Q385" s="9" t="str">
        <f t="shared" si="117"/>
        <v/>
      </c>
      <c r="R385" s="9" t="str">
        <f t="shared" ca="1" si="118"/>
        <v/>
      </c>
      <c r="T385" s="6" t="str">
        <f t="shared" si="127"/>
        <v/>
      </c>
      <c r="U385" s="6" t="str">
        <f t="shared" si="119"/>
        <v/>
      </c>
      <c r="V385" s="10" t="str">
        <f t="shared" si="120"/>
        <v/>
      </c>
      <c r="W385" s="8" t="str">
        <f t="shared" si="121"/>
        <v/>
      </c>
      <c r="X385" s="9">
        <f t="shared" si="128"/>
        <v>0</v>
      </c>
      <c r="Y385" s="9">
        <f t="shared" si="130"/>
        <v>0</v>
      </c>
    </row>
    <row r="386" spans="2:25" x14ac:dyDescent="0.3">
      <c r="B386" s="6">
        <v>349</v>
      </c>
      <c r="C386" s="79" t="str">
        <f t="shared" si="129"/>
        <v/>
      </c>
      <c r="D386" s="6" t="str">
        <f t="shared" si="110"/>
        <v/>
      </c>
      <c r="E386" s="79" t="str">
        <f t="shared" si="122"/>
        <v/>
      </c>
      <c r="F386" s="79" t="str">
        <f>IF(B385&gt;$C$18,"",IF(COUNTIF(Feriados!$A$2:$B$17,EDATE($C$38,B385))=0,EDATE($C$38,B385),EDATE($C$38,B385)+VLOOKUP(EDATE($C$38,B385),Feriados!$A$2:$B$17,2,FALSE)))</f>
        <v/>
      </c>
      <c r="G386" s="6" t="str">
        <f t="shared" si="123"/>
        <v/>
      </c>
      <c r="H386" s="6" t="str">
        <f t="shared" si="124"/>
        <v/>
      </c>
      <c r="I386" s="8" t="str">
        <f t="shared" si="125"/>
        <v/>
      </c>
      <c r="J386" s="8" t="str">
        <f t="shared" si="111"/>
        <v/>
      </c>
      <c r="K386" s="9" t="str">
        <f t="shared" si="112"/>
        <v/>
      </c>
      <c r="L386" s="9" t="str">
        <f t="shared" si="126"/>
        <v/>
      </c>
      <c r="M386" s="10" t="str">
        <f t="shared" si="113"/>
        <v/>
      </c>
      <c r="N386" s="6" t="str">
        <f t="shared" si="114"/>
        <v/>
      </c>
      <c r="O386" s="9" t="str">
        <f t="shared" si="115"/>
        <v/>
      </c>
      <c r="P386" s="9" t="str">
        <f t="shared" si="116"/>
        <v/>
      </c>
      <c r="Q386" s="9" t="str">
        <f t="shared" si="117"/>
        <v/>
      </c>
      <c r="R386" s="9" t="str">
        <f t="shared" ca="1" si="118"/>
        <v/>
      </c>
      <c r="T386" s="6" t="str">
        <f t="shared" si="127"/>
        <v/>
      </c>
      <c r="U386" s="6" t="str">
        <f t="shared" si="119"/>
        <v/>
      </c>
      <c r="V386" s="10" t="str">
        <f t="shared" si="120"/>
        <v/>
      </c>
      <c r="W386" s="8" t="str">
        <f t="shared" si="121"/>
        <v/>
      </c>
      <c r="X386" s="9">
        <f t="shared" si="128"/>
        <v>0</v>
      </c>
      <c r="Y386" s="9">
        <f t="shared" si="130"/>
        <v>0</v>
      </c>
    </row>
    <row r="387" spans="2:25" x14ac:dyDescent="0.3">
      <c r="B387" s="6">
        <v>350</v>
      </c>
      <c r="C387" s="79" t="str">
        <f t="shared" si="129"/>
        <v/>
      </c>
      <c r="D387" s="6" t="str">
        <f t="shared" si="110"/>
        <v/>
      </c>
      <c r="E387" s="79" t="str">
        <f t="shared" si="122"/>
        <v/>
      </c>
      <c r="F387" s="79" t="str">
        <f>IF(B386&gt;$C$18,"",IF(COUNTIF(Feriados!$A$2:$B$17,EDATE($C$38,B386))=0,EDATE($C$38,B386),EDATE($C$38,B386)+VLOOKUP(EDATE($C$38,B386),Feriados!$A$2:$B$17,2,FALSE)))</f>
        <v/>
      </c>
      <c r="G387" s="6" t="str">
        <f t="shared" si="123"/>
        <v/>
      </c>
      <c r="H387" s="6" t="str">
        <f t="shared" si="124"/>
        <v/>
      </c>
      <c r="I387" s="8" t="str">
        <f t="shared" si="125"/>
        <v/>
      </c>
      <c r="J387" s="8" t="str">
        <f t="shared" si="111"/>
        <v/>
      </c>
      <c r="K387" s="9" t="str">
        <f t="shared" si="112"/>
        <v/>
      </c>
      <c r="L387" s="9" t="str">
        <f t="shared" si="126"/>
        <v/>
      </c>
      <c r="M387" s="10" t="str">
        <f t="shared" si="113"/>
        <v/>
      </c>
      <c r="N387" s="6" t="str">
        <f t="shared" si="114"/>
        <v/>
      </c>
      <c r="O387" s="9" t="str">
        <f t="shared" si="115"/>
        <v/>
      </c>
      <c r="P387" s="9" t="str">
        <f t="shared" si="116"/>
        <v/>
      </c>
      <c r="Q387" s="9" t="str">
        <f t="shared" si="117"/>
        <v/>
      </c>
      <c r="R387" s="9" t="str">
        <f t="shared" ca="1" si="118"/>
        <v/>
      </c>
      <c r="T387" s="6" t="str">
        <f t="shared" si="127"/>
        <v/>
      </c>
      <c r="U387" s="6" t="str">
        <f t="shared" si="119"/>
        <v/>
      </c>
      <c r="V387" s="10" t="str">
        <f t="shared" si="120"/>
        <v/>
      </c>
      <c r="W387" s="8" t="str">
        <f t="shared" si="121"/>
        <v/>
      </c>
      <c r="X387" s="9">
        <f t="shared" si="128"/>
        <v>0</v>
      </c>
      <c r="Y387" s="9">
        <f t="shared" si="130"/>
        <v>0</v>
      </c>
    </row>
    <row r="388" spans="2:25" x14ac:dyDescent="0.3">
      <c r="B388" s="6">
        <v>351</v>
      </c>
      <c r="C388" s="79" t="str">
        <f t="shared" si="129"/>
        <v/>
      </c>
      <c r="D388" s="6" t="str">
        <f t="shared" si="110"/>
        <v/>
      </c>
      <c r="E388" s="79" t="str">
        <f t="shared" si="122"/>
        <v/>
      </c>
      <c r="F388" s="79" t="str">
        <f>IF(B387&gt;$C$18,"",IF(COUNTIF(Feriados!$A$2:$B$17,EDATE($C$38,B387))=0,EDATE($C$38,B387),EDATE($C$38,B387)+VLOOKUP(EDATE($C$38,B387),Feriados!$A$2:$B$17,2,FALSE)))</f>
        <v/>
      </c>
      <c r="G388" s="6" t="str">
        <f t="shared" si="123"/>
        <v/>
      </c>
      <c r="H388" s="6" t="str">
        <f t="shared" si="124"/>
        <v/>
      </c>
      <c r="I388" s="8" t="str">
        <f t="shared" si="125"/>
        <v/>
      </c>
      <c r="J388" s="8" t="str">
        <f t="shared" si="111"/>
        <v/>
      </c>
      <c r="K388" s="9" t="str">
        <f t="shared" si="112"/>
        <v/>
      </c>
      <c r="L388" s="9" t="str">
        <f t="shared" si="126"/>
        <v/>
      </c>
      <c r="M388" s="10" t="str">
        <f t="shared" si="113"/>
        <v/>
      </c>
      <c r="N388" s="6" t="str">
        <f t="shared" si="114"/>
        <v/>
      </c>
      <c r="O388" s="9" t="str">
        <f t="shared" si="115"/>
        <v/>
      </c>
      <c r="P388" s="9" t="str">
        <f t="shared" si="116"/>
        <v/>
      </c>
      <c r="Q388" s="9" t="str">
        <f t="shared" si="117"/>
        <v/>
      </c>
      <c r="R388" s="9" t="str">
        <f t="shared" ca="1" si="118"/>
        <v/>
      </c>
      <c r="T388" s="6" t="str">
        <f t="shared" si="127"/>
        <v/>
      </c>
      <c r="U388" s="6" t="str">
        <f t="shared" si="119"/>
        <v/>
      </c>
      <c r="V388" s="10" t="str">
        <f t="shared" si="120"/>
        <v/>
      </c>
      <c r="W388" s="8" t="str">
        <f t="shared" si="121"/>
        <v/>
      </c>
      <c r="X388" s="9">
        <f t="shared" si="128"/>
        <v>0</v>
      </c>
      <c r="Y388" s="9">
        <f t="shared" si="130"/>
        <v>0</v>
      </c>
    </row>
    <row r="389" spans="2:25" x14ac:dyDescent="0.3">
      <c r="B389" s="6">
        <v>352</v>
      </c>
      <c r="C389" s="79" t="str">
        <f t="shared" si="129"/>
        <v/>
      </c>
      <c r="D389" s="6" t="str">
        <f t="shared" si="110"/>
        <v/>
      </c>
      <c r="E389" s="79" t="str">
        <f t="shared" si="122"/>
        <v/>
      </c>
      <c r="F389" s="79" t="str">
        <f>IF(B388&gt;$C$18,"",IF(COUNTIF(Feriados!$A$2:$B$17,EDATE($C$38,B388))=0,EDATE($C$38,B388),EDATE($C$38,B388)+VLOOKUP(EDATE($C$38,B388),Feriados!$A$2:$B$17,2,FALSE)))</f>
        <v/>
      </c>
      <c r="G389" s="6" t="str">
        <f t="shared" si="123"/>
        <v/>
      </c>
      <c r="H389" s="6" t="str">
        <f t="shared" si="124"/>
        <v/>
      </c>
      <c r="I389" s="8" t="str">
        <f t="shared" si="125"/>
        <v/>
      </c>
      <c r="J389" s="8" t="str">
        <f t="shared" si="111"/>
        <v/>
      </c>
      <c r="K389" s="9" t="str">
        <f t="shared" si="112"/>
        <v/>
      </c>
      <c r="L389" s="9" t="str">
        <f t="shared" si="126"/>
        <v/>
      </c>
      <c r="M389" s="10" t="str">
        <f t="shared" si="113"/>
        <v/>
      </c>
      <c r="N389" s="6" t="str">
        <f t="shared" si="114"/>
        <v/>
      </c>
      <c r="O389" s="9" t="str">
        <f t="shared" si="115"/>
        <v/>
      </c>
      <c r="P389" s="9" t="str">
        <f t="shared" si="116"/>
        <v/>
      </c>
      <c r="Q389" s="9" t="str">
        <f t="shared" si="117"/>
        <v/>
      </c>
      <c r="R389" s="9" t="str">
        <f t="shared" ca="1" si="118"/>
        <v/>
      </c>
      <c r="T389" s="6" t="str">
        <f t="shared" si="127"/>
        <v/>
      </c>
      <c r="U389" s="6" t="str">
        <f t="shared" si="119"/>
        <v/>
      </c>
      <c r="V389" s="10" t="str">
        <f t="shared" si="120"/>
        <v/>
      </c>
      <c r="W389" s="8" t="str">
        <f t="shared" si="121"/>
        <v/>
      </c>
      <c r="X389" s="9">
        <f t="shared" si="128"/>
        <v>0</v>
      </c>
      <c r="Y389" s="9">
        <f t="shared" si="130"/>
        <v>0</v>
      </c>
    </row>
    <row r="390" spans="2:25" x14ac:dyDescent="0.3">
      <c r="B390" s="6">
        <v>353</v>
      </c>
      <c r="C390" s="79" t="str">
        <f t="shared" si="129"/>
        <v/>
      </c>
      <c r="D390" s="6" t="str">
        <f t="shared" si="110"/>
        <v/>
      </c>
      <c r="E390" s="79" t="str">
        <f t="shared" si="122"/>
        <v/>
      </c>
      <c r="F390" s="79" t="str">
        <f>IF(B389&gt;$C$18,"",IF(COUNTIF(Feriados!$A$2:$B$17,EDATE($C$38,B389))=0,EDATE($C$38,B389),EDATE($C$38,B389)+VLOOKUP(EDATE($C$38,B389),Feriados!$A$2:$B$17,2,FALSE)))</f>
        <v/>
      </c>
      <c r="G390" s="6" t="str">
        <f t="shared" si="123"/>
        <v/>
      </c>
      <c r="H390" s="6" t="str">
        <f t="shared" si="124"/>
        <v/>
      </c>
      <c r="I390" s="8" t="str">
        <f t="shared" si="125"/>
        <v/>
      </c>
      <c r="J390" s="8" t="str">
        <f t="shared" si="111"/>
        <v/>
      </c>
      <c r="K390" s="9" t="str">
        <f t="shared" si="112"/>
        <v/>
      </c>
      <c r="L390" s="9" t="str">
        <f t="shared" si="126"/>
        <v/>
      </c>
      <c r="M390" s="10" t="str">
        <f t="shared" si="113"/>
        <v/>
      </c>
      <c r="N390" s="6" t="str">
        <f t="shared" si="114"/>
        <v/>
      </c>
      <c r="O390" s="9" t="str">
        <f t="shared" si="115"/>
        <v/>
      </c>
      <c r="P390" s="9" t="str">
        <f t="shared" si="116"/>
        <v/>
      </c>
      <c r="Q390" s="9" t="str">
        <f t="shared" si="117"/>
        <v/>
      </c>
      <c r="R390" s="9" t="str">
        <f t="shared" ca="1" si="118"/>
        <v/>
      </c>
      <c r="T390" s="6" t="str">
        <f t="shared" si="127"/>
        <v/>
      </c>
      <c r="U390" s="6" t="str">
        <f t="shared" si="119"/>
        <v/>
      </c>
      <c r="V390" s="10" t="str">
        <f t="shared" si="120"/>
        <v/>
      </c>
      <c r="W390" s="8" t="str">
        <f t="shared" si="121"/>
        <v/>
      </c>
      <c r="X390" s="9">
        <f t="shared" si="128"/>
        <v>0</v>
      </c>
      <c r="Y390" s="9">
        <f t="shared" si="130"/>
        <v>0</v>
      </c>
    </row>
    <row r="391" spans="2:25" x14ac:dyDescent="0.3">
      <c r="B391" s="6">
        <v>354</v>
      </c>
      <c r="C391" s="79" t="str">
        <f t="shared" si="129"/>
        <v/>
      </c>
      <c r="D391" s="6" t="str">
        <f t="shared" si="110"/>
        <v/>
      </c>
      <c r="E391" s="79" t="str">
        <f t="shared" si="122"/>
        <v/>
      </c>
      <c r="F391" s="79" t="str">
        <f>IF(B390&gt;$C$18,"",IF(COUNTIF(Feriados!$A$2:$B$17,EDATE($C$38,B390))=0,EDATE($C$38,B390),EDATE($C$38,B390)+VLOOKUP(EDATE($C$38,B390),Feriados!$A$2:$B$17,2,FALSE)))</f>
        <v/>
      </c>
      <c r="G391" s="6" t="str">
        <f t="shared" si="123"/>
        <v/>
      </c>
      <c r="H391" s="6" t="str">
        <f t="shared" si="124"/>
        <v/>
      </c>
      <c r="I391" s="8" t="str">
        <f t="shared" si="125"/>
        <v/>
      </c>
      <c r="J391" s="8" t="str">
        <f t="shared" si="111"/>
        <v/>
      </c>
      <c r="K391" s="9" t="str">
        <f t="shared" si="112"/>
        <v/>
      </c>
      <c r="L391" s="9" t="str">
        <f t="shared" si="126"/>
        <v/>
      </c>
      <c r="M391" s="10" t="str">
        <f t="shared" si="113"/>
        <v/>
      </c>
      <c r="N391" s="6" t="str">
        <f t="shared" si="114"/>
        <v/>
      </c>
      <c r="O391" s="9" t="str">
        <f t="shared" si="115"/>
        <v/>
      </c>
      <c r="P391" s="9" t="str">
        <f t="shared" si="116"/>
        <v/>
      </c>
      <c r="Q391" s="9" t="str">
        <f t="shared" si="117"/>
        <v/>
      </c>
      <c r="R391" s="9" t="str">
        <f t="shared" ca="1" si="118"/>
        <v/>
      </c>
      <c r="T391" s="6" t="str">
        <f t="shared" si="127"/>
        <v/>
      </c>
      <c r="U391" s="6" t="str">
        <f t="shared" si="119"/>
        <v/>
      </c>
      <c r="V391" s="10" t="str">
        <f t="shared" si="120"/>
        <v/>
      </c>
      <c r="W391" s="8" t="str">
        <f t="shared" si="121"/>
        <v/>
      </c>
      <c r="X391" s="9">
        <f t="shared" si="128"/>
        <v>0</v>
      </c>
      <c r="Y391" s="9">
        <f t="shared" si="130"/>
        <v>0</v>
      </c>
    </row>
    <row r="392" spans="2:25" x14ac:dyDescent="0.3">
      <c r="B392" s="6">
        <v>355</v>
      </c>
      <c r="C392" s="79" t="str">
        <f t="shared" si="129"/>
        <v/>
      </c>
      <c r="D392" s="6" t="str">
        <f t="shared" si="110"/>
        <v/>
      </c>
      <c r="E392" s="79" t="str">
        <f t="shared" si="122"/>
        <v/>
      </c>
      <c r="F392" s="79" t="str">
        <f>IF(B391&gt;$C$18,"",IF(COUNTIF(Feriados!$A$2:$B$17,EDATE($C$38,B391))=0,EDATE($C$38,B391),EDATE($C$38,B391)+VLOOKUP(EDATE($C$38,B391),Feriados!$A$2:$B$17,2,FALSE)))</f>
        <v/>
      </c>
      <c r="G392" s="6" t="str">
        <f t="shared" si="123"/>
        <v/>
      </c>
      <c r="H392" s="6" t="str">
        <f t="shared" si="124"/>
        <v/>
      </c>
      <c r="I392" s="8" t="str">
        <f t="shared" si="125"/>
        <v/>
      </c>
      <c r="J392" s="8" t="str">
        <f t="shared" si="111"/>
        <v/>
      </c>
      <c r="K392" s="9" t="str">
        <f t="shared" si="112"/>
        <v/>
      </c>
      <c r="L392" s="9" t="str">
        <f t="shared" si="126"/>
        <v/>
      </c>
      <c r="M392" s="10" t="str">
        <f t="shared" si="113"/>
        <v/>
      </c>
      <c r="N392" s="6" t="str">
        <f t="shared" si="114"/>
        <v/>
      </c>
      <c r="O392" s="9" t="str">
        <f t="shared" si="115"/>
        <v/>
      </c>
      <c r="P392" s="9" t="str">
        <f t="shared" si="116"/>
        <v/>
      </c>
      <c r="Q392" s="9" t="str">
        <f t="shared" si="117"/>
        <v/>
      </c>
      <c r="R392" s="9" t="str">
        <f t="shared" ca="1" si="118"/>
        <v/>
      </c>
      <c r="T392" s="6" t="str">
        <f t="shared" si="127"/>
        <v/>
      </c>
      <c r="U392" s="6" t="str">
        <f t="shared" si="119"/>
        <v/>
      </c>
      <c r="V392" s="10" t="str">
        <f t="shared" si="120"/>
        <v/>
      </c>
      <c r="W392" s="8" t="str">
        <f t="shared" si="121"/>
        <v/>
      </c>
      <c r="X392" s="9">
        <f t="shared" si="128"/>
        <v>0</v>
      </c>
      <c r="Y392" s="9">
        <f t="shared" si="130"/>
        <v>0</v>
      </c>
    </row>
    <row r="393" spans="2:25" x14ac:dyDescent="0.3">
      <c r="B393" s="6">
        <v>356</v>
      </c>
      <c r="C393" s="79" t="str">
        <f t="shared" si="129"/>
        <v/>
      </c>
      <c r="D393" s="6" t="str">
        <f t="shared" si="110"/>
        <v/>
      </c>
      <c r="E393" s="79" t="str">
        <f t="shared" si="122"/>
        <v/>
      </c>
      <c r="F393" s="79" t="str">
        <f>IF(B392&gt;$C$18,"",IF(COUNTIF(Feriados!$A$2:$B$17,EDATE($C$38,B392))=0,EDATE($C$38,B392),EDATE($C$38,B392)+VLOOKUP(EDATE($C$38,B392),Feriados!$A$2:$B$17,2,FALSE)))</f>
        <v/>
      </c>
      <c r="G393" s="6" t="str">
        <f t="shared" si="123"/>
        <v/>
      </c>
      <c r="H393" s="6" t="str">
        <f t="shared" si="124"/>
        <v/>
      </c>
      <c r="I393" s="8" t="str">
        <f t="shared" si="125"/>
        <v/>
      </c>
      <c r="J393" s="8" t="str">
        <f t="shared" si="111"/>
        <v/>
      </c>
      <c r="K393" s="9" t="str">
        <f t="shared" si="112"/>
        <v/>
      </c>
      <c r="L393" s="9" t="str">
        <f t="shared" si="126"/>
        <v/>
      </c>
      <c r="M393" s="10" t="str">
        <f t="shared" si="113"/>
        <v/>
      </c>
      <c r="N393" s="6" t="str">
        <f t="shared" si="114"/>
        <v/>
      </c>
      <c r="O393" s="9" t="str">
        <f t="shared" si="115"/>
        <v/>
      </c>
      <c r="P393" s="9" t="str">
        <f t="shared" si="116"/>
        <v/>
      </c>
      <c r="Q393" s="9" t="str">
        <f t="shared" si="117"/>
        <v/>
      </c>
      <c r="R393" s="9" t="str">
        <f t="shared" ca="1" si="118"/>
        <v/>
      </c>
      <c r="T393" s="6" t="str">
        <f t="shared" si="127"/>
        <v/>
      </c>
      <c r="U393" s="6" t="str">
        <f t="shared" si="119"/>
        <v/>
      </c>
      <c r="V393" s="10" t="str">
        <f t="shared" si="120"/>
        <v/>
      </c>
      <c r="W393" s="8" t="str">
        <f t="shared" si="121"/>
        <v/>
      </c>
      <c r="X393" s="9">
        <f t="shared" si="128"/>
        <v>0</v>
      </c>
      <c r="Y393" s="9">
        <f t="shared" si="130"/>
        <v>0</v>
      </c>
    </row>
    <row r="394" spans="2:25" x14ac:dyDescent="0.3">
      <c r="B394" s="6">
        <v>357</v>
      </c>
      <c r="C394" s="79" t="str">
        <f t="shared" si="129"/>
        <v/>
      </c>
      <c r="D394" s="6" t="str">
        <f t="shared" si="110"/>
        <v/>
      </c>
      <c r="E394" s="79" t="str">
        <f t="shared" si="122"/>
        <v/>
      </c>
      <c r="F394" s="79" t="str">
        <f>IF(B393&gt;$C$18,"",IF(COUNTIF(Feriados!$A$2:$B$17,EDATE($C$38,B393))=0,EDATE($C$38,B393),EDATE($C$38,B393)+VLOOKUP(EDATE($C$38,B393),Feriados!$A$2:$B$17,2,FALSE)))</f>
        <v/>
      </c>
      <c r="G394" s="6" t="str">
        <f t="shared" si="123"/>
        <v/>
      </c>
      <c r="H394" s="6" t="str">
        <f t="shared" si="124"/>
        <v/>
      </c>
      <c r="I394" s="8" t="str">
        <f t="shared" si="125"/>
        <v/>
      </c>
      <c r="J394" s="8" t="str">
        <f t="shared" si="111"/>
        <v/>
      </c>
      <c r="K394" s="9" t="str">
        <f t="shared" si="112"/>
        <v/>
      </c>
      <c r="L394" s="9" t="str">
        <f t="shared" si="126"/>
        <v/>
      </c>
      <c r="M394" s="10" t="str">
        <f t="shared" si="113"/>
        <v/>
      </c>
      <c r="N394" s="6" t="str">
        <f t="shared" si="114"/>
        <v/>
      </c>
      <c r="O394" s="9" t="str">
        <f t="shared" si="115"/>
        <v/>
      </c>
      <c r="P394" s="9" t="str">
        <f t="shared" si="116"/>
        <v/>
      </c>
      <c r="Q394" s="9" t="str">
        <f t="shared" si="117"/>
        <v/>
      </c>
      <c r="R394" s="9" t="str">
        <f t="shared" ca="1" si="118"/>
        <v/>
      </c>
      <c r="T394" s="6" t="str">
        <f t="shared" si="127"/>
        <v/>
      </c>
      <c r="U394" s="6" t="str">
        <f t="shared" si="119"/>
        <v/>
      </c>
      <c r="V394" s="10" t="str">
        <f t="shared" si="120"/>
        <v/>
      </c>
      <c r="W394" s="8" t="str">
        <f t="shared" si="121"/>
        <v/>
      </c>
      <c r="X394" s="9">
        <f t="shared" si="128"/>
        <v>0</v>
      </c>
      <c r="Y394" s="9">
        <f t="shared" si="130"/>
        <v>0</v>
      </c>
    </row>
    <row r="395" spans="2:25" x14ac:dyDescent="0.3">
      <c r="B395" s="6">
        <v>358</v>
      </c>
      <c r="C395" s="79" t="str">
        <f t="shared" si="129"/>
        <v/>
      </c>
      <c r="D395" s="6" t="str">
        <f t="shared" si="110"/>
        <v/>
      </c>
      <c r="E395" s="79" t="str">
        <f t="shared" si="122"/>
        <v/>
      </c>
      <c r="F395" s="79" t="str">
        <f>IF(B394&gt;$C$18,"",IF(COUNTIF(Feriados!$A$2:$B$17,EDATE($C$38,B394))=0,EDATE($C$38,B394),EDATE($C$38,B394)+VLOOKUP(EDATE($C$38,B394),Feriados!$A$2:$B$17,2,FALSE)))</f>
        <v/>
      </c>
      <c r="G395" s="6" t="str">
        <f t="shared" si="123"/>
        <v/>
      </c>
      <c r="H395" s="6" t="str">
        <f t="shared" si="124"/>
        <v/>
      </c>
      <c r="I395" s="8" t="str">
        <f t="shared" si="125"/>
        <v/>
      </c>
      <c r="J395" s="8" t="str">
        <f t="shared" si="111"/>
        <v/>
      </c>
      <c r="K395" s="9" t="str">
        <f t="shared" si="112"/>
        <v/>
      </c>
      <c r="L395" s="9" t="str">
        <f t="shared" si="126"/>
        <v/>
      </c>
      <c r="M395" s="10" t="str">
        <f t="shared" si="113"/>
        <v/>
      </c>
      <c r="N395" s="6" t="str">
        <f t="shared" si="114"/>
        <v/>
      </c>
      <c r="O395" s="9" t="str">
        <f t="shared" si="115"/>
        <v/>
      </c>
      <c r="P395" s="9" t="str">
        <f t="shared" si="116"/>
        <v/>
      </c>
      <c r="Q395" s="9" t="str">
        <f t="shared" si="117"/>
        <v/>
      </c>
      <c r="R395" s="9" t="str">
        <f t="shared" ca="1" si="118"/>
        <v/>
      </c>
      <c r="T395" s="6" t="str">
        <f t="shared" si="127"/>
        <v/>
      </c>
      <c r="U395" s="6" t="str">
        <f t="shared" si="119"/>
        <v/>
      </c>
      <c r="V395" s="10" t="str">
        <f t="shared" si="120"/>
        <v/>
      </c>
      <c r="W395" s="8" t="str">
        <f t="shared" si="121"/>
        <v/>
      </c>
      <c r="X395" s="9">
        <f t="shared" si="128"/>
        <v>0</v>
      </c>
      <c r="Y395" s="9">
        <f t="shared" si="130"/>
        <v>0</v>
      </c>
    </row>
    <row r="396" spans="2:25" x14ac:dyDescent="0.3">
      <c r="B396" s="6">
        <v>359</v>
      </c>
      <c r="C396" s="79" t="str">
        <f t="shared" si="129"/>
        <v/>
      </c>
      <c r="D396" s="6" t="str">
        <f t="shared" si="110"/>
        <v/>
      </c>
      <c r="E396" s="79" t="str">
        <f t="shared" si="122"/>
        <v/>
      </c>
      <c r="F396" s="79" t="str">
        <f>IF(B395&gt;$C$18,"",IF(COUNTIF(Feriados!$A$2:$B$17,EDATE($C$38,B395))=0,EDATE($C$38,B395),EDATE($C$38,B395)+VLOOKUP(EDATE($C$38,B395),Feriados!$A$2:$B$17,2,FALSE)))</f>
        <v/>
      </c>
      <c r="G396" s="6" t="str">
        <f t="shared" si="123"/>
        <v/>
      </c>
      <c r="H396" s="6" t="str">
        <f t="shared" si="124"/>
        <v/>
      </c>
      <c r="I396" s="8" t="str">
        <f t="shared" si="125"/>
        <v/>
      </c>
      <c r="J396" s="8" t="str">
        <f t="shared" si="111"/>
        <v/>
      </c>
      <c r="K396" s="9" t="str">
        <f t="shared" si="112"/>
        <v/>
      </c>
      <c r="L396" s="9" t="str">
        <f t="shared" si="126"/>
        <v/>
      </c>
      <c r="M396" s="10" t="str">
        <f t="shared" si="113"/>
        <v/>
      </c>
      <c r="N396" s="6" t="str">
        <f t="shared" si="114"/>
        <v/>
      </c>
      <c r="O396" s="9" t="str">
        <f t="shared" si="115"/>
        <v/>
      </c>
      <c r="P396" s="9" t="str">
        <f t="shared" si="116"/>
        <v/>
      </c>
      <c r="Q396" s="9" t="str">
        <f t="shared" si="117"/>
        <v/>
      </c>
      <c r="R396" s="9" t="str">
        <f t="shared" ca="1" si="118"/>
        <v/>
      </c>
      <c r="T396" s="6" t="str">
        <f t="shared" si="127"/>
        <v/>
      </c>
      <c r="U396" s="6" t="str">
        <f t="shared" si="119"/>
        <v/>
      </c>
      <c r="V396" s="10" t="str">
        <f t="shared" si="120"/>
        <v/>
      </c>
      <c r="W396" s="8" t="str">
        <f t="shared" si="121"/>
        <v/>
      </c>
      <c r="X396" s="9">
        <f t="shared" si="128"/>
        <v>0</v>
      </c>
      <c r="Y396" s="9">
        <f t="shared" si="130"/>
        <v>0</v>
      </c>
    </row>
    <row r="397" spans="2:25" x14ac:dyDescent="0.3">
      <c r="B397" s="6">
        <v>360</v>
      </c>
      <c r="C397" s="79" t="str">
        <f t="shared" si="129"/>
        <v/>
      </c>
      <c r="D397" s="6" t="str">
        <f t="shared" si="110"/>
        <v/>
      </c>
      <c r="E397" s="79" t="str">
        <f t="shared" si="122"/>
        <v/>
      </c>
      <c r="F397" s="79" t="str">
        <f>IF(B396&gt;$C$18,"",IF(COUNTIF(Feriados!$A$2:$B$17,EDATE($C$38,B396))=0,EDATE($C$38,B396),EDATE($C$38,B396)+VLOOKUP(EDATE($C$38,B396),Feriados!$A$2:$B$17,2,FALSE)))</f>
        <v/>
      </c>
      <c r="G397" s="6" t="str">
        <f t="shared" si="123"/>
        <v/>
      </c>
      <c r="H397" s="6" t="str">
        <f t="shared" si="124"/>
        <v/>
      </c>
      <c r="I397" s="8" t="str">
        <f t="shared" si="125"/>
        <v/>
      </c>
      <c r="J397" s="8" t="str">
        <f t="shared" si="111"/>
        <v/>
      </c>
      <c r="K397" s="9" t="str">
        <f t="shared" si="112"/>
        <v/>
      </c>
      <c r="L397" s="9" t="str">
        <f t="shared" si="126"/>
        <v/>
      </c>
      <c r="M397" s="10" t="str">
        <f t="shared" si="113"/>
        <v/>
      </c>
      <c r="N397" s="6" t="str">
        <f t="shared" si="114"/>
        <v/>
      </c>
      <c r="O397" s="9" t="str">
        <f t="shared" si="115"/>
        <v/>
      </c>
      <c r="P397" s="9" t="str">
        <f t="shared" si="116"/>
        <v/>
      </c>
      <c r="Q397" s="9" t="str">
        <f t="shared" si="117"/>
        <v/>
      </c>
      <c r="R397" s="9" t="str">
        <f t="shared" ca="1" si="118"/>
        <v/>
      </c>
      <c r="T397" s="6" t="str">
        <f t="shared" si="127"/>
        <v/>
      </c>
      <c r="U397" s="6" t="str">
        <f t="shared" si="119"/>
        <v/>
      </c>
      <c r="V397" s="10" t="str">
        <f t="shared" si="120"/>
        <v/>
      </c>
      <c r="W397" s="8" t="str">
        <f t="shared" si="121"/>
        <v/>
      </c>
      <c r="X397" s="9">
        <f t="shared" si="128"/>
        <v>0</v>
      </c>
      <c r="Y397" s="9">
        <f t="shared" si="130"/>
        <v>0</v>
      </c>
    </row>
  </sheetData>
  <dataConsolidate/>
  <mergeCells count="1">
    <mergeCell ref="C2:J4"/>
  </mergeCells>
  <pageMargins left="0.7" right="0.7" top="0.75" bottom="0.75" header="0.3" footer="0.3"/>
  <pageSetup paperSize="9" orientation="portrait" verticalDpi="599"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DCEFE09E-B49D-4DB7-A058-072315F14AB7}">
          <x14:formula1>
            <xm:f>TarifarioBD!$G$2</xm:f>
          </x14:formula1>
          <xm:sqref>C11</xm:sqref>
        </x14:dataValidation>
        <x14:dataValidation type="list" allowBlank="1" showInputMessage="1" showErrorMessage="1" xr:uid="{4DB69B28-E61E-466E-982A-F58AC5B7191E}">
          <x14:formula1>
            <xm:f>TarifarioBD!$H$2</xm:f>
          </x14:formula1>
          <xm:sqref>C9</xm:sqref>
        </x14:dataValidation>
        <x14:dataValidation type="list" allowBlank="1" showInputMessage="1" showErrorMessage="1" xr:uid="{B829ACAD-1FA1-4236-AEC7-47C525B68CA1}">
          <x14:formula1>
            <xm:f>TarifarioBD!$I$2:$I$5</xm:f>
          </x14:formula1>
          <xm:sqref>C10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CAB46-22AC-4940-B73D-C198D7D98A14}">
  <sheetPr codeName="Hoja6">
    <tabColor rgb="FF289254"/>
  </sheetPr>
  <dimension ref="B1:Y397"/>
  <sheetViews>
    <sheetView topLeftCell="A10" workbookViewId="0">
      <selection activeCell="C10" sqref="C10"/>
    </sheetView>
  </sheetViews>
  <sheetFormatPr baseColWidth="10" defaultColWidth="11.453125" defaultRowHeight="13" x14ac:dyDescent="0.3"/>
  <cols>
    <col min="1" max="1" width="2.7265625" style="1" customWidth="1"/>
    <col min="2" max="2" width="37.54296875" style="1" customWidth="1"/>
    <col min="3" max="3" width="23.1796875" style="1" customWidth="1"/>
    <col min="4" max="4" width="6.26953125" style="1" customWidth="1"/>
    <col min="5" max="5" width="15.1796875" style="1" customWidth="1"/>
    <col min="6" max="6" width="12.1796875" style="1" customWidth="1"/>
    <col min="7" max="7" width="35.81640625" style="1" customWidth="1"/>
    <col min="8" max="8" width="15.81640625" style="1" bestFit="1" customWidth="1"/>
    <col min="9" max="9" width="11.26953125" style="1" bestFit="1" customWidth="1"/>
    <col min="10" max="10" width="12.7265625" style="1" bestFit="1" customWidth="1"/>
    <col min="11" max="11" width="8" style="1" bestFit="1" customWidth="1"/>
    <col min="12" max="12" width="19.54296875" style="1" bestFit="1" customWidth="1"/>
    <col min="13" max="13" width="14.1796875" style="1" bestFit="1" customWidth="1"/>
    <col min="14" max="14" width="6.54296875" style="1" bestFit="1" customWidth="1"/>
    <col min="15" max="15" width="15.7265625" style="1" bestFit="1" customWidth="1"/>
    <col min="16" max="16" width="10.54296875" style="1" bestFit="1" customWidth="1"/>
    <col min="17" max="17" width="18.453125" style="1" bestFit="1" customWidth="1"/>
    <col min="18" max="18" width="20" style="1" bestFit="1" customWidth="1"/>
    <col min="19" max="19" width="5.453125" style="1" customWidth="1"/>
    <col min="20" max="20" width="14.7265625" style="1" bestFit="1" customWidth="1"/>
    <col min="21" max="21" width="10.26953125" style="1" bestFit="1" customWidth="1"/>
    <col min="22" max="22" width="15.54296875" style="1" bestFit="1" customWidth="1"/>
    <col min="23" max="23" width="10.453125" style="1" bestFit="1" customWidth="1"/>
    <col min="24" max="25" width="19.1796875" style="1" bestFit="1" customWidth="1"/>
    <col min="26" max="26" width="3.26953125" style="1" customWidth="1"/>
    <col min="27" max="16384" width="11.453125" style="1"/>
  </cols>
  <sheetData>
    <row r="1" spans="2:11" s="16" customFormat="1" x14ac:dyDescent="0.3"/>
    <row r="2" spans="2:11" s="16" customFormat="1" x14ac:dyDescent="0.3">
      <c r="C2" s="171" t="s">
        <v>37</v>
      </c>
      <c r="D2" s="171"/>
      <c r="E2" s="171"/>
      <c r="F2" s="171"/>
      <c r="G2" s="171"/>
      <c r="H2" s="171"/>
      <c r="I2" s="171"/>
      <c r="J2" s="171"/>
    </row>
    <row r="3" spans="2:11" s="16" customFormat="1" x14ac:dyDescent="0.3">
      <c r="C3" s="171"/>
      <c r="D3" s="171"/>
      <c r="E3" s="171"/>
      <c r="F3" s="171"/>
      <c r="G3" s="171"/>
      <c r="H3" s="171"/>
      <c r="I3" s="171"/>
      <c r="J3" s="171"/>
    </row>
    <row r="4" spans="2:11" s="16" customFormat="1" x14ac:dyDescent="0.3">
      <c r="C4" s="171"/>
      <c r="D4" s="171"/>
      <c r="E4" s="171"/>
      <c r="F4" s="171"/>
      <c r="G4" s="171"/>
      <c r="H4" s="171"/>
      <c r="I4" s="171"/>
      <c r="J4" s="171"/>
    </row>
    <row r="5" spans="2:11" s="16" customFormat="1" x14ac:dyDescent="0.3"/>
    <row r="6" spans="2:11" s="16" customFormat="1" x14ac:dyDescent="0.3"/>
    <row r="7" spans="2:11" s="16" customFormat="1" x14ac:dyDescent="0.3">
      <c r="B7" s="17" t="s">
        <v>38</v>
      </c>
      <c r="G7" s="17" t="s">
        <v>50</v>
      </c>
    </row>
    <row r="8" spans="2:11" s="16" customFormat="1" x14ac:dyDescent="0.3"/>
    <row r="9" spans="2:11" s="16" customFormat="1" x14ac:dyDescent="0.3">
      <c r="B9" s="52" t="s">
        <v>39</v>
      </c>
      <c r="C9" s="62" t="str">
        <f>RESUMEN!C14</f>
        <v>Préstamos Personales (LD )</v>
      </c>
      <c r="G9" s="18" t="s">
        <v>36</v>
      </c>
      <c r="H9" s="19">
        <f ca="1">SUM(L38:L397)</f>
        <v>122303.57103066485</v>
      </c>
      <c r="I9" s="20"/>
    </row>
    <row r="10" spans="2:11" s="16" customFormat="1" x14ac:dyDescent="0.3">
      <c r="B10" s="52" t="s">
        <v>43</v>
      </c>
      <c r="C10" s="62" t="str">
        <f>RESUMEN!C9</f>
        <v>Seguro de Vida</v>
      </c>
      <c r="G10" s="18" t="s">
        <v>34</v>
      </c>
      <c r="H10" s="19">
        <f ca="1">NPV(C16,L38:L397)</f>
        <v>114347.77318811741</v>
      </c>
      <c r="I10" s="21"/>
    </row>
    <row r="11" spans="2:11" s="16" customFormat="1" x14ac:dyDescent="0.3">
      <c r="B11" s="52" t="s">
        <v>44</v>
      </c>
      <c r="C11" s="62" t="str">
        <f>RESUMEN!C15</f>
        <v>TARIFA TITULAR</v>
      </c>
      <c r="G11" s="21"/>
      <c r="H11" s="22"/>
      <c r="I11" s="21"/>
    </row>
    <row r="12" spans="2:11" s="16" customFormat="1" x14ac:dyDescent="0.3">
      <c r="B12" s="52" t="s">
        <v>33</v>
      </c>
      <c r="C12" s="63">
        <f>RESUMEN!C16</f>
        <v>30000</v>
      </c>
      <c r="G12" s="23" t="s">
        <v>51</v>
      </c>
      <c r="H12" s="22"/>
      <c r="I12" s="21"/>
      <c r="J12" s="22"/>
      <c r="K12" s="24"/>
    </row>
    <row r="13" spans="2:11" s="16" customFormat="1" x14ac:dyDescent="0.3">
      <c r="B13" s="64" t="str">
        <f>C10</f>
        <v>Seguro de Vida</v>
      </c>
      <c r="C13" s="82" cm="1">
        <f t="array" aca="1" ref="C13" ca="1">INDEX(_xlfn._xlws.FILTER(TarifarioPrincipal[],(TarifarioPrincipal[TARIFA]=Prima_Des_Dev!C11)*(TarifarioPrincipal[PRODUCTO]=Prima_Des_Dev!C9)*(TarifarioPrincipal[TIPO_SEGURO]=Prima_Des_Dev!C10)*(TarifarioPrincipal[Plazo]=Prima_Des_Dev!C20)),0,5)</f>
        <v>8.1000000000000003E-2</v>
      </c>
      <c r="I13" s="21"/>
      <c r="J13" s="25"/>
      <c r="K13" s="26"/>
    </row>
    <row r="14" spans="2:11" s="16" customFormat="1" ht="26" x14ac:dyDescent="0.3">
      <c r="B14" s="52" t="s">
        <v>53</v>
      </c>
      <c r="C14" s="65"/>
      <c r="G14" s="18" t="s">
        <v>33</v>
      </c>
      <c r="H14" s="27">
        <f>C12</f>
        <v>30000</v>
      </c>
      <c r="I14" s="24"/>
      <c r="J14" s="22"/>
      <c r="K14" s="28"/>
    </row>
    <row r="15" spans="2:11" s="16" customFormat="1" x14ac:dyDescent="0.3">
      <c r="B15" s="52" t="s">
        <v>32</v>
      </c>
      <c r="C15" s="63">
        <f>C12+C14</f>
        <v>30000</v>
      </c>
      <c r="G15" s="18" t="s">
        <v>55</v>
      </c>
      <c r="H15" s="27">
        <f ca="1">H10</f>
        <v>114347.77318811741</v>
      </c>
      <c r="J15" s="22"/>
    </row>
    <row r="16" spans="2:11" s="16" customFormat="1" x14ac:dyDescent="0.3">
      <c r="B16" s="52" t="s">
        <v>35</v>
      </c>
      <c r="C16" s="82" cm="1">
        <f t="array" ref="C16">INDEX(_xlfn._xlws.FILTER(Tabla2[],Tabla2[TARIFA]=C11),0,2)</f>
        <v>2.8709999999999999E-3</v>
      </c>
      <c r="E16" s="21"/>
      <c r="F16" s="21"/>
      <c r="G16" s="18" t="s">
        <v>54</v>
      </c>
      <c r="H16" s="29">
        <f ca="1">H15/H14</f>
        <v>3.8115924396039138</v>
      </c>
      <c r="I16" s="30"/>
      <c r="J16" s="22"/>
    </row>
    <row r="17" spans="2:21" s="16" customFormat="1" x14ac:dyDescent="0.3">
      <c r="B17" s="52" t="s">
        <v>1</v>
      </c>
      <c r="C17" s="66" t="str">
        <f>RESUMEN!C34</f>
        <v>Soles</v>
      </c>
      <c r="G17" s="18" t="s">
        <v>32</v>
      </c>
      <c r="H17" s="27">
        <f ca="1">H14+H15</f>
        <v>144347.77318811743</v>
      </c>
      <c r="M17" s="26"/>
    </row>
    <row r="18" spans="2:21" s="16" customFormat="1" x14ac:dyDescent="0.3">
      <c r="B18" s="52" t="s">
        <v>56</v>
      </c>
      <c r="C18" s="54">
        <f>RESUMEN!C19</f>
        <v>72</v>
      </c>
      <c r="G18" s="31"/>
      <c r="J18" s="22"/>
      <c r="L18" s="31"/>
      <c r="M18" s="26"/>
      <c r="O18" s="33"/>
    </row>
    <row r="19" spans="2:21" s="16" customFormat="1" x14ac:dyDescent="0.3">
      <c r="B19" s="52" t="s">
        <v>74</v>
      </c>
      <c r="C19" s="53">
        <f ca="1">(OFFSET(C37,(COUNT(C38:C397)),0))-$C$21</f>
        <v>2195</v>
      </c>
      <c r="G19" s="31"/>
      <c r="J19" s="22"/>
      <c r="L19" s="31"/>
      <c r="M19" s="26"/>
      <c r="O19" s="33"/>
    </row>
    <row r="20" spans="2:21" s="16" customFormat="1" x14ac:dyDescent="0.3">
      <c r="B20" s="52" t="s">
        <v>63</v>
      </c>
      <c r="C20" s="54" t="str">
        <f ca="1">IF(C19&lt;=370,"0-370",IF(AND(C19&gt;=371,C19&lt;=553),"371-553",IF(AND(C19&gt;=554,C19&lt;=736),"554-736",IF(AND(C19&gt;=737,C19&lt;=1101),"737-1101",IF(AND(C19&gt;=1102,C19&lt;=1466),"1102-1466",IF(AND(C19&gt;=1467,C19&lt;=1831),"1467-1831","1832-2257"))))))</f>
        <v>1832-2257</v>
      </c>
      <c r="G20" s="31"/>
      <c r="J20" s="22"/>
      <c r="L20" s="31"/>
      <c r="M20" s="26"/>
      <c r="O20" s="33"/>
    </row>
    <row r="21" spans="2:21" s="16" customFormat="1" x14ac:dyDescent="0.3">
      <c r="B21" s="52" t="s">
        <v>3</v>
      </c>
      <c r="C21" s="67">
        <f>RESUMEN!C20</f>
        <v>45891</v>
      </c>
      <c r="J21" s="22"/>
      <c r="L21" s="31"/>
      <c r="M21" s="26"/>
      <c r="O21" s="33"/>
    </row>
    <row r="22" spans="2:21" s="16" customFormat="1" x14ac:dyDescent="0.3">
      <c r="B22" s="52" t="s">
        <v>4</v>
      </c>
      <c r="C22" s="67">
        <f>RESUMEN!C21</f>
        <v>45926</v>
      </c>
      <c r="J22" s="22"/>
      <c r="L22" s="31"/>
      <c r="M22" s="26"/>
      <c r="O22" s="33"/>
    </row>
    <row r="23" spans="2:21" s="16" customFormat="1" x14ac:dyDescent="0.3">
      <c r="B23" s="52" t="s">
        <v>5</v>
      </c>
      <c r="C23" s="54">
        <f>RESUMEN!C22</f>
        <v>1</v>
      </c>
      <c r="J23" s="22"/>
      <c r="L23" s="31"/>
      <c r="M23" s="26"/>
      <c r="O23" s="33"/>
    </row>
    <row r="24" spans="2:21" s="16" customFormat="1" x14ac:dyDescent="0.3">
      <c r="B24" s="52" t="s">
        <v>6</v>
      </c>
      <c r="C24" s="54">
        <f>RESUMEN!C23</f>
        <v>1</v>
      </c>
      <c r="J24" s="26"/>
      <c r="L24" s="31"/>
      <c r="M24" s="26"/>
      <c r="O24" s="33"/>
    </row>
    <row r="25" spans="2:21" s="16" customFormat="1" x14ac:dyDescent="0.3">
      <c r="B25" s="68" t="s">
        <v>7</v>
      </c>
      <c r="C25" s="69">
        <f>RESUMEN!C24</f>
        <v>0.45</v>
      </c>
      <c r="D25" s="34"/>
      <c r="J25" s="26"/>
      <c r="L25" s="31"/>
      <c r="M25" s="26"/>
      <c r="O25" s="33"/>
    </row>
    <row r="26" spans="2:21" s="16" customFormat="1" x14ac:dyDescent="0.3">
      <c r="B26" s="70" t="s">
        <v>9</v>
      </c>
      <c r="C26" s="71">
        <f ca="1">(1+(((1+C25)^(30/360)-1)+C13))^12-1</f>
        <v>2.5921675386133924</v>
      </c>
      <c r="E26" s="31"/>
      <c r="F26" s="31"/>
      <c r="G26" s="34"/>
      <c r="J26" s="26"/>
      <c r="L26" s="31"/>
      <c r="M26" s="26"/>
      <c r="O26" s="33"/>
      <c r="U26" s="35"/>
    </row>
    <row r="27" spans="2:21" s="16" customFormat="1" x14ac:dyDescent="0.3">
      <c r="B27" s="70" t="s">
        <v>0</v>
      </c>
      <c r="C27" s="72">
        <v>0</v>
      </c>
      <c r="G27" s="30"/>
      <c r="J27" s="26"/>
      <c r="L27" s="31"/>
      <c r="M27" s="26"/>
      <c r="O27" s="33"/>
    </row>
    <row r="28" spans="2:21" s="16" customFormat="1" x14ac:dyDescent="0.3">
      <c r="B28" s="70" t="s">
        <v>10</v>
      </c>
      <c r="C28" s="73">
        <v>0</v>
      </c>
      <c r="J28" s="26"/>
      <c r="L28" s="31"/>
      <c r="M28" s="22"/>
      <c r="O28" s="33"/>
    </row>
    <row r="29" spans="2:21" s="16" customFormat="1" x14ac:dyDescent="0.3">
      <c r="B29" s="70" t="s">
        <v>11</v>
      </c>
      <c r="C29" s="74">
        <v>0</v>
      </c>
      <c r="J29" s="26"/>
      <c r="L29" s="31"/>
      <c r="M29" s="22"/>
      <c r="N29" s="28"/>
      <c r="O29" s="33"/>
    </row>
    <row r="30" spans="2:21" s="16" customFormat="1" x14ac:dyDescent="0.3">
      <c r="B30" s="75" t="s">
        <v>12</v>
      </c>
      <c r="C30" s="72">
        <f ca="1">(C15+(C28*C27+C29)*R36)/Q36</f>
        <v>3479.3690482548782</v>
      </c>
      <c r="D30" s="36"/>
      <c r="J30" s="26"/>
      <c r="L30" s="31"/>
      <c r="M30" s="22"/>
      <c r="O30" s="33"/>
      <c r="Q30" s="20"/>
    </row>
    <row r="31" spans="2:21" s="16" customFormat="1" x14ac:dyDescent="0.3">
      <c r="B31" s="76"/>
      <c r="C31" s="76"/>
      <c r="L31" s="31"/>
      <c r="O31" s="21"/>
      <c r="Q31" s="21"/>
    </row>
    <row r="32" spans="2:21" x14ac:dyDescent="0.3">
      <c r="B32" s="77" t="s">
        <v>13</v>
      </c>
      <c r="C32" s="71">
        <v>0.9236764757563436</v>
      </c>
      <c r="K32" s="16"/>
      <c r="N32" s="5"/>
      <c r="O32" s="3"/>
      <c r="P32" s="4"/>
      <c r="Q32" s="3"/>
    </row>
    <row r="33" spans="2:25" x14ac:dyDescent="0.3">
      <c r="E33" s="7"/>
      <c r="F33" s="7"/>
      <c r="K33" s="16"/>
      <c r="O33" s="3"/>
      <c r="P33" s="4"/>
      <c r="Q33" s="3"/>
      <c r="W33" s="8">
        <f ca="1">C15-W36-C14</f>
        <v>-28642.810000000012</v>
      </c>
    </row>
    <row r="34" spans="2:25" x14ac:dyDescent="0.3">
      <c r="E34" s="7"/>
      <c r="F34" s="7"/>
      <c r="K34" s="16"/>
      <c r="L34" s="4"/>
      <c r="M34" s="3"/>
      <c r="O34" s="3"/>
      <c r="P34" s="4"/>
      <c r="Q34" s="3"/>
      <c r="W34" s="8"/>
    </row>
    <row r="35" spans="2:25" x14ac:dyDescent="0.3">
      <c r="B35" s="2" t="s">
        <v>52</v>
      </c>
      <c r="E35" s="7"/>
      <c r="F35" s="7"/>
      <c r="K35" s="3"/>
      <c r="L35" s="4"/>
      <c r="M35" s="3"/>
      <c r="O35" s="3"/>
      <c r="P35" s="4"/>
      <c r="Q35" s="3"/>
      <c r="W35" s="8"/>
    </row>
    <row r="36" spans="2:25" x14ac:dyDescent="0.3">
      <c r="Q36" s="81">
        <f ca="1">SUM(Q38:Q397)</f>
        <v>8.622252938373089</v>
      </c>
      <c r="R36" s="81">
        <f ca="1">SUM(R38:R397)</f>
        <v>8.622252938373089</v>
      </c>
      <c r="W36" s="8">
        <f ca="1">SUM(W38:W397)</f>
        <v>58642.810000000012</v>
      </c>
    </row>
    <row r="37" spans="2:25" s="16" customFormat="1" ht="26" x14ac:dyDescent="0.3">
      <c r="B37" s="55" t="s">
        <v>14</v>
      </c>
      <c r="C37" s="55" t="s">
        <v>15</v>
      </c>
      <c r="D37" s="55" t="s">
        <v>16</v>
      </c>
      <c r="E37" s="55" t="s">
        <v>15</v>
      </c>
      <c r="F37" s="78" t="s">
        <v>79</v>
      </c>
      <c r="G37" s="55" t="s">
        <v>17</v>
      </c>
      <c r="H37" s="55" t="s">
        <v>18</v>
      </c>
      <c r="I37" s="55" t="s">
        <v>19</v>
      </c>
      <c r="J37" s="55" t="s">
        <v>20</v>
      </c>
      <c r="K37" s="55" t="s">
        <v>21</v>
      </c>
      <c r="L37" s="55" t="s">
        <v>22</v>
      </c>
      <c r="M37" s="55" t="s">
        <v>10</v>
      </c>
      <c r="N37" s="55" t="s">
        <v>11</v>
      </c>
      <c r="O37" s="56" t="s">
        <v>23</v>
      </c>
      <c r="P37" s="56" t="s">
        <v>24</v>
      </c>
      <c r="Q37" s="56" t="s">
        <v>25</v>
      </c>
      <c r="R37" s="56" t="s">
        <v>26</v>
      </c>
      <c r="T37" s="55" t="s">
        <v>27</v>
      </c>
      <c r="U37" s="55" t="s">
        <v>28</v>
      </c>
      <c r="V37" s="55" t="s">
        <v>29</v>
      </c>
      <c r="W37" s="55" t="s">
        <v>30</v>
      </c>
      <c r="X37" s="56" t="s">
        <v>34</v>
      </c>
      <c r="Y37" s="56" t="s">
        <v>34</v>
      </c>
    </row>
    <row r="38" spans="2:25" s="16" customFormat="1" x14ac:dyDescent="0.3">
      <c r="B38" s="32">
        <v>1</v>
      </c>
      <c r="C38" s="79">
        <f>C22</f>
        <v>45926</v>
      </c>
      <c r="D38" s="32">
        <f t="shared" ref="D38:D101" si="0">IF(B38&lt;=$C$18,WEEKDAY(C38,2),"")</f>
        <v>5</v>
      </c>
      <c r="E38" s="79">
        <f>IF(D38=7,C38+1,C38)</f>
        <v>45926</v>
      </c>
      <c r="F38" s="79"/>
      <c r="G38" s="32">
        <f>E38-C21</f>
        <v>35</v>
      </c>
      <c r="H38" s="32">
        <f>G38</f>
        <v>35</v>
      </c>
      <c r="I38" s="57">
        <f>C15</f>
        <v>30000</v>
      </c>
      <c r="J38" s="57">
        <f ca="1">IF(B38&gt;C$18,"",O38-N38-M38-L38-K38)</f>
        <v>-477.89121525628138</v>
      </c>
      <c r="K38" s="58">
        <f t="shared" ref="K38:K101" si="1">IF(B38&gt;C$18,"",((1+C$25)^(G38/360)-1)*I38)</f>
        <v>1103.5392921237096</v>
      </c>
      <c r="L38" s="58">
        <f ca="1">IF(B38&gt;C$18,"",((1+C$13)^(G38/30)-1)*I38)</f>
        <v>2853.7209713874499</v>
      </c>
      <c r="M38" s="59">
        <f t="shared" ref="M38:M101" si="2">IF(B38&gt;C$18,"",C$27*C$28)</f>
        <v>0</v>
      </c>
      <c r="N38" s="32">
        <f t="shared" ref="N38:N101" si="3">IF(B38&gt;C$18,"",C$29)</f>
        <v>0</v>
      </c>
      <c r="O38" s="58">
        <f t="shared" ref="O38:O101" ca="1" si="4">IF(B38&gt;C$18,"",IF(B38=C$18,I38+K38+L38+M38+N38,IF(AND(C$23=2,MONTH(E38)=7),2*C$30,IF(AND(C$24=2,MONTH(E38)=12),2*C$30,C$30))))</f>
        <v>3479.3690482548782</v>
      </c>
      <c r="P38" s="58">
        <f t="shared" ref="P38:P101" ca="1" si="5">IF(B38&gt;C$18,"",I38-J38)</f>
        <v>30477.891215256281</v>
      </c>
      <c r="Q38" s="58">
        <f t="shared" ref="Q38:Q101" ca="1" si="6">IFERROR(IF(AND(MONTH(E38)=7,C$23=2),2/(1+C$26)^(H38/360),IF(AND(MONTH(E38)=12,C$24=2),2/(1+C$26)^(H38/360),1/(1+C$26)^(H38/360))),"")</f>
        <v>0.88309413162369332</v>
      </c>
      <c r="R38" s="58">
        <f t="shared" ref="R38:R101" ca="1" si="7">IFERROR(1/(1+C$26)^(H38/360),"")</f>
        <v>0.88309413162369332</v>
      </c>
      <c r="T38" s="32">
        <f t="shared" ref="T38:T101" ca="1" si="8">IFERROR(J38+K38+L38+M38+N38,"")</f>
        <v>3479.3690482548782</v>
      </c>
      <c r="U38" s="32">
        <f t="shared" ref="U38:U101" si="9">H38</f>
        <v>35</v>
      </c>
      <c r="V38" s="59">
        <f t="shared" ref="V38:V101" si="10">IFERROR((1+C$32)^(U38/360),"")</f>
        <v>1.0656729636205533</v>
      </c>
      <c r="W38" s="57">
        <f t="shared" ref="W38:W101" ca="1" si="11">IFERROR(ROUND(T38/V38,2),"")</f>
        <v>3264.95</v>
      </c>
      <c r="X38" s="58">
        <f ca="1">L38/(1+$I$9)</f>
        <v>2853.7209713874499</v>
      </c>
      <c r="Y38" s="58">
        <f ca="1">L38/(1+$Q$30)</f>
        <v>2853.7209713874499</v>
      </c>
    </row>
    <row r="39" spans="2:25" s="16" customFormat="1" x14ac:dyDescent="0.3">
      <c r="B39" s="32">
        <v>2</v>
      </c>
      <c r="C39" s="79">
        <f>IF(B39&gt;$C$18,"",IF(WEEKDAY(F39,2)=7,F39+1,F39))</f>
        <v>45957</v>
      </c>
      <c r="D39" s="32">
        <f t="shared" si="0"/>
        <v>1</v>
      </c>
      <c r="E39" s="79">
        <f t="shared" ref="E39:E102" si="12">IF(D39=7,C39+1,C39)</f>
        <v>45957</v>
      </c>
      <c r="F39" s="79">
        <f>IF(B38&gt;$C$18,"",IF(COUNTIF(Feriados!$A$2:$B$18,EDATE($C$38,B38))=0,EDATE($C$38,B38),EDATE($C$38,B38)+VLOOKUP(EDATE($C$38,B38),Feriados!$A$2:$B$18,2,FALSE)))</f>
        <v>45956</v>
      </c>
      <c r="G39" s="32">
        <f t="shared" ref="G39:G102" si="13">IF(B39&gt;C$18,"",E39-E38)</f>
        <v>31</v>
      </c>
      <c r="H39" s="32">
        <f t="shared" ref="H39:H102" si="14">IFERROR(G39+H38,"")</f>
        <v>66</v>
      </c>
      <c r="I39" s="57">
        <f t="shared" ref="I39:I102" ca="1" si="15">IF(B39&gt;C$18,"",P38)</f>
        <v>30477.891215256281</v>
      </c>
      <c r="J39" s="57">
        <f t="shared" ref="J39:J102" ca="1" si="16">IF(B39&gt;C$18,"",O39-N39-M39-L39-K39)</f>
        <v>-65.91909593975322</v>
      </c>
      <c r="K39" s="58">
        <f t="shared" ca="1" si="1"/>
        <v>990.93126830276276</v>
      </c>
      <c r="L39" s="58">
        <f t="shared" ref="L39:L102" ca="1" si="17">IF(B39&gt;C$18,"",((1+C$13)^(G39/30)-1)*I39)</f>
        <v>2554.3568758918686</v>
      </c>
      <c r="M39" s="59">
        <f t="shared" si="2"/>
        <v>0</v>
      </c>
      <c r="N39" s="32">
        <f t="shared" si="3"/>
        <v>0</v>
      </c>
      <c r="O39" s="58">
        <f t="shared" ca="1" si="4"/>
        <v>3479.3690482548782</v>
      </c>
      <c r="P39" s="58">
        <f t="shared" ca="1" si="5"/>
        <v>30543.810311196034</v>
      </c>
      <c r="Q39" s="58">
        <f t="shared" ca="1" si="6"/>
        <v>0.79101483094491398</v>
      </c>
      <c r="R39" s="58">
        <f t="shared" ca="1" si="7"/>
        <v>0.79101483094491398</v>
      </c>
      <c r="T39" s="32">
        <f t="shared" ca="1" si="8"/>
        <v>3479.3690482548782</v>
      </c>
      <c r="U39" s="32">
        <f t="shared" si="9"/>
        <v>66</v>
      </c>
      <c r="V39" s="59">
        <f t="shared" si="10"/>
        <v>1.1274333386202915</v>
      </c>
      <c r="W39" s="57">
        <f t="shared" ca="1" si="11"/>
        <v>3086.1</v>
      </c>
      <c r="X39" s="58">
        <f t="shared" ref="X39:X102" ca="1" si="18">IF(O39="",0,L39/((1+$I$9)^B39))</f>
        <v>2554.3568758918686</v>
      </c>
      <c r="Y39" s="58">
        <f t="shared" ref="Y39:Y102" ca="1" si="19">IF(O39="",0,L39/((1+$Q$30)^B39))</f>
        <v>2554.3568758918686</v>
      </c>
    </row>
    <row r="40" spans="2:25" s="16" customFormat="1" x14ac:dyDescent="0.3">
      <c r="B40" s="32">
        <v>3</v>
      </c>
      <c r="C40" s="79">
        <f t="shared" ref="C40:C103" si="20">IF(B40&gt;$C$18,"",IF(WEEKDAY(F40,2)=7,F40+1,F40))</f>
        <v>45987</v>
      </c>
      <c r="D40" s="32">
        <f t="shared" si="0"/>
        <v>3</v>
      </c>
      <c r="E40" s="79">
        <f t="shared" si="12"/>
        <v>45987</v>
      </c>
      <c r="F40" s="79">
        <f>IF(B39&gt;$C$18,"",IF(COUNTIF(Feriados!$A$2:$B$18,EDATE($C$38,B39))=0,EDATE($C$38,B39),EDATE($C$38,B39)+VLOOKUP(EDATE($C$38,B39),Feriados!$A$2:$B$18,2,FALSE)))</f>
        <v>45987</v>
      </c>
      <c r="G40" s="32">
        <f t="shared" si="13"/>
        <v>30</v>
      </c>
      <c r="H40" s="32">
        <f t="shared" si="14"/>
        <v>96</v>
      </c>
      <c r="I40" s="57">
        <f t="shared" ca="1" si="15"/>
        <v>30543.810311196034</v>
      </c>
      <c r="J40" s="57">
        <f t="shared" ca="1" si="16"/>
        <v>44.778998261135939</v>
      </c>
      <c r="K40" s="58">
        <f t="shared" ca="1" si="1"/>
        <v>960.54141478686483</v>
      </c>
      <c r="L40" s="58">
        <f t="shared" ca="1" si="17"/>
        <v>2474.0486352068774</v>
      </c>
      <c r="M40" s="59">
        <f t="shared" si="2"/>
        <v>0</v>
      </c>
      <c r="N40" s="32">
        <f t="shared" si="3"/>
        <v>0</v>
      </c>
      <c r="O40" s="58">
        <f t="shared" ca="1" si="4"/>
        <v>3479.3690482548782</v>
      </c>
      <c r="P40" s="58">
        <f t="shared" ca="1" si="5"/>
        <v>30499.031312934898</v>
      </c>
      <c r="Q40" s="58">
        <f t="shared" ca="1" si="6"/>
        <v>0.71105781004689561</v>
      </c>
      <c r="R40" s="58">
        <f t="shared" ca="1" si="7"/>
        <v>0.71105781004689561</v>
      </c>
      <c r="T40" s="32">
        <f t="shared" ca="1" si="8"/>
        <v>3479.3690482548782</v>
      </c>
      <c r="U40" s="32">
        <f t="shared" si="9"/>
        <v>96</v>
      </c>
      <c r="V40" s="59">
        <f t="shared" si="10"/>
        <v>1.190607303860109</v>
      </c>
      <c r="W40" s="57">
        <f t="shared" ca="1" si="11"/>
        <v>2922.35</v>
      </c>
      <c r="X40" s="58">
        <f t="shared" ca="1" si="18"/>
        <v>2474.0486352068774</v>
      </c>
      <c r="Y40" s="58">
        <f t="shared" ca="1" si="19"/>
        <v>2474.0486352068774</v>
      </c>
    </row>
    <row r="41" spans="2:25" s="16" customFormat="1" x14ac:dyDescent="0.3">
      <c r="B41" s="32">
        <v>4</v>
      </c>
      <c r="C41" s="79">
        <f t="shared" si="20"/>
        <v>46017</v>
      </c>
      <c r="D41" s="32">
        <f t="shared" si="0"/>
        <v>5</v>
      </c>
      <c r="E41" s="79">
        <f t="shared" si="12"/>
        <v>46017</v>
      </c>
      <c r="F41" s="79">
        <f>IF(B40&gt;$C$18,"",IF(COUNTIF(Feriados!$A$2:$B$18,EDATE($C$38,B40))=0,EDATE($C$38,B40),EDATE($C$38,B40)+VLOOKUP(EDATE($C$38,B40),Feriados!$A$2:$B$18,2,FALSE)))</f>
        <v>46017</v>
      </c>
      <c r="G41" s="32">
        <f>IF(B41&gt;C$18,"",E41-E40)</f>
        <v>30</v>
      </c>
      <c r="H41" s="32">
        <f t="shared" si="14"/>
        <v>126</v>
      </c>
      <c r="I41" s="57">
        <f t="shared" ca="1" si="15"/>
        <v>30499.031312934898</v>
      </c>
      <c r="J41" s="57">
        <f t="shared" ca="1" si="16"/>
        <v>49.814306571049087</v>
      </c>
      <c r="K41" s="58">
        <f t="shared" ca="1" si="1"/>
        <v>959.13320533610352</v>
      </c>
      <c r="L41" s="58">
        <f t="shared" ca="1" si="17"/>
        <v>2470.4215363477256</v>
      </c>
      <c r="M41" s="59">
        <f t="shared" si="2"/>
        <v>0</v>
      </c>
      <c r="N41" s="32">
        <f t="shared" si="3"/>
        <v>0</v>
      </c>
      <c r="O41" s="58">
        <f t="shared" ca="1" si="4"/>
        <v>3479.3690482548782</v>
      </c>
      <c r="P41" s="58">
        <f t="shared" ca="1" si="5"/>
        <v>30449.217006363848</v>
      </c>
      <c r="Q41" s="58">
        <f t="shared" ca="1" si="6"/>
        <v>0.63918297034293825</v>
      </c>
      <c r="R41" s="58">
        <f t="shared" ca="1" si="7"/>
        <v>0.63918297034293825</v>
      </c>
      <c r="T41" s="32">
        <f t="shared" ca="1" si="8"/>
        <v>3479.3690482548782</v>
      </c>
      <c r="U41" s="32">
        <f t="shared" si="9"/>
        <v>126</v>
      </c>
      <c r="V41" s="59">
        <f t="shared" si="10"/>
        <v>1.2573211235173998</v>
      </c>
      <c r="W41" s="57">
        <f t="shared" ca="1" si="11"/>
        <v>2767.29</v>
      </c>
      <c r="X41" s="58">
        <f t="shared" ca="1" si="18"/>
        <v>2470.4215363477256</v>
      </c>
      <c r="Y41" s="58">
        <f t="shared" ca="1" si="19"/>
        <v>2470.4215363477256</v>
      </c>
    </row>
    <row r="42" spans="2:25" s="16" customFormat="1" x14ac:dyDescent="0.3">
      <c r="B42" s="32">
        <v>5</v>
      </c>
      <c r="C42" s="79">
        <f t="shared" si="20"/>
        <v>46048</v>
      </c>
      <c r="D42" s="32">
        <f t="shared" si="0"/>
        <v>1</v>
      </c>
      <c r="E42" s="79">
        <f t="shared" si="12"/>
        <v>46048</v>
      </c>
      <c r="F42" s="79">
        <f>IF(B41&gt;$C$18,"",IF(COUNTIF(Feriados!$A$2:$B$18,EDATE($C$38,B41))=0,EDATE($C$38,B41),EDATE($C$38,B41)+VLOOKUP(EDATE($C$38,B41),Feriados!$A$2:$B$18,2,FALSE)))</f>
        <v>46048</v>
      </c>
      <c r="G42" s="32">
        <f t="shared" si="13"/>
        <v>31</v>
      </c>
      <c r="H42" s="32">
        <f t="shared" si="14"/>
        <v>157</v>
      </c>
      <c r="I42" s="57">
        <f t="shared" ca="1" si="15"/>
        <v>30449.217006363848</v>
      </c>
      <c r="J42" s="57">
        <f t="shared" ca="1" si="16"/>
        <v>-62.583618031766832</v>
      </c>
      <c r="K42" s="58">
        <f t="shared" ca="1" si="1"/>
        <v>989.99898037035052</v>
      </c>
      <c r="L42" s="58">
        <f t="shared" ca="1" si="17"/>
        <v>2551.9536859162945</v>
      </c>
      <c r="M42" s="59">
        <f t="shared" si="2"/>
        <v>0</v>
      </c>
      <c r="N42" s="32">
        <f t="shared" si="3"/>
        <v>0</v>
      </c>
      <c r="O42" s="58">
        <f t="shared" ca="1" si="4"/>
        <v>3479.3690482548782</v>
      </c>
      <c r="P42" s="58">
        <f t="shared" ca="1" si="5"/>
        <v>30511.800624395615</v>
      </c>
      <c r="Q42" s="58">
        <f t="shared" ca="1" si="6"/>
        <v>0.57253603112395757</v>
      </c>
      <c r="R42" s="58">
        <f t="shared" ca="1" si="7"/>
        <v>0.57253603112395757</v>
      </c>
      <c r="T42" s="32">
        <f t="shared" ca="1" si="8"/>
        <v>3479.3690482548782</v>
      </c>
      <c r="U42" s="32">
        <f t="shared" si="9"/>
        <v>157</v>
      </c>
      <c r="V42" s="59">
        <f t="shared" si="10"/>
        <v>1.3301883414485998</v>
      </c>
      <c r="W42" s="57">
        <f t="shared" ca="1" si="11"/>
        <v>2615.6999999999998</v>
      </c>
      <c r="X42" s="58">
        <f t="shared" ca="1" si="18"/>
        <v>2551.9536859162945</v>
      </c>
      <c r="Y42" s="58">
        <f t="shared" ca="1" si="19"/>
        <v>2551.9536859162945</v>
      </c>
    </row>
    <row r="43" spans="2:25" s="16" customFormat="1" x14ac:dyDescent="0.3">
      <c r="B43" s="32">
        <v>6</v>
      </c>
      <c r="C43" s="79">
        <f t="shared" si="20"/>
        <v>46079</v>
      </c>
      <c r="D43" s="32">
        <f t="shared" si="0"/>
        <v>4</v>
      </c>
      <c r="E43" s="79">
        <f t="shared" si="12"/>
        <v>46079</v>
      </c>
      <c r="F43" s="79">
        <f>IF(B42&gt;$C$18,"",IF(COUNTIF(Feriados!$A$2:$B$18,EDATE($C$38,B42))=0,EDATE($C$38,B42),EDATE($C$38,B42)+VLOOKUP(EDATE($C$38,B42),Feriados!$A$2:$B$18,2,FALSE)))</f>
        <v>46079</v>
      </c>
      <c r="G43" s="32">
        <f t="shared" si="13"/>
        <v>31</v>
      </c>
      <c r="H43" s="32">
        <f t="shared" si="14"/>
        <v>188</v>
      </c>
      <c r="I43" s="57">
        <f t="shared" ca="1" si="15"/>
        <v>30511.800624395615</v>
      </c>
      <c r="J43" s="57">
        <f t="shared" ca="1" si="16"/>
        <v>-69.863549489681191</v>
      </c>
      <c r="K43" s="58">
        <f t="shared" ca="1" si="1"/>
        <v>992.03376891766811</v>
      </c>
      <c r="L43" s="58">
        <f t="shared" ca="1" si="17"/>
        <v>2557.1988288268913</v>
      </c>
      <c r="M43" s="59">
        <f t="shared" si="2"/>
        <v>0</v>
      </c>
      <c r="N43" s="32">
        <f t="shared" si="3"/>
        <v>0</v>
      </c>
      <c r="O43" s="58">
        <f t="shared" ca="1" si="4"/>
        <v>3479.3690482548782</v>
      </c>
      <c r="P43" s="58">
        <f t="shared" ca="1" si="5"/>
        <v>30581.664173885296</v>
      </c>
      <c r="Q43" s="58">
        <f t="shared" ca="1" si="6"/>
        <v>0.51283829849112139</v>
      </c>
      <c r="R43" s="58">
        <f t="shared" ca="1" si="7"/>
        <v>0.51283829849112139</v>
      </c>
      <c r="T43" s="32">
        <f t="shared" ca="1" si="8"/>
        <v>3479.3690482548782</v>
      </c>
      <c r="U43" s="32">
        <f t="shared" si="9"/>
        <v>188</v>
      </c>
      <c r="V43" s="59">
        <f t="shared" si="10"/>
        <v>1.4072785310214271</v>
      </c>
      <c r="W43" s="57">
        <f t="shared" ca="1" si="11"/>
        <v>2472.41</v>
      </c>
      <c r="X43" s="58">
        <f t="shared" ca="1" si="18"/>
        <v>2557.1988288268913</v>
      </c>
      <c r="Y43" s="58">
        <f t="shared" ca="1" si="19"/>
        <v>2557.1988288268913</v>
      </c>
    </row>
    <row r="44" spans="2:25" s="16" customFormat="1" x14ac:dyDescent="0.3">
      <c r="B44" s="32">
        <v>7</v>
      </c>
      <c r="C44" s="79">
        <f t="shared" si="20"/>
        <v>46107</v>
      </c>
      <c r="D44" s="32">
        <f t="shared" si="0"/>
        <v>4</v>
      </c>
      <c r="E44" s="79">
        <f t="shared" si="12"/>
        <v>46107</v>
      </c>
      <c r="F44" s="79">
        <f>IF(B43&gt;$C$18,"",IF(COUNTIF(Feriados!$A$2:$B$18,EDATE($C$38,B43))=0,EDATE($C$38,B43),EDATE($C$38,B43)+VLOOKUP(EDATE($C$38,B43),Feriados!$A$2:$B$18,2,FALSE)))</f>
        <v>46107</v>
      </c>
      <c r="G44" s="32">
        <f t="shared" si="13"/>
        <v>28</v>
      </c>
      <c r="H44" s="32">
        <f t="shared" si="14"/>
        <v>216</v>
      </c>
      <c r="I44" s="57">
        <f t="shared" ca="1" si="15"/>
        <v>30581.664173885296</v>
      </c>
      <c r="J44" s="57">
        <f t="shared" ca="1" si="16"/>
        <v>276.77915739917808</v>
      </c>
      <c r="K44" s="58">
        <f t="shared" ca="1" si="1"/>
        <v>896.68579887900341</v>
      </c>
      <c r="L44" s="58">
        <f t="shared" ca="1" si="17"/>
        <v>2305.9040919766967</v>
      </c>
      <c r="M44" s="59">
        <f t="shared" si="2"/>
        <v>0</v>
      </c>
      <c r="N44" s="32">
        <f t="shared" si="3"/>
        <v>0</v>
      </c>
      <c r="O44" s="58">
        <f t="shared" ca="1" si="4"/>
        <v>3479.3690482548782</v>
      </c>
      <c r="P44" s="58">
        <f t="shared" ca="1" si="5"/>
        <v>30304.885016486118</v>
      </c>
      <c r="Q44" s="58">
        <f t="shared" ca="1" si="6"/>
        <v>0.46428649326983873</v>
      </c>
      <c r="R44" s="58">
        <f t="shared" ca="1" si="7"/>
        <v>0.46428649326983873</v>
      </c>
      <c r="T44" s="32">
        <f t="shared" ca="1" si="8"/>
        <v>3479.3690482548782</v>
      </c>
      <c r="U44" s="32">
        <f t="shared" si="9"/>
        <v>216</v>
      </c>
      <c r="V44" s="59">
        <f t="shared" si="10"/>
        <v>1.4807414050877201</v>
      </c>
      <c r="W44" s="57">
        <f t="shared" ca="1" si="11"/>
        <v>2349.75</v>
      </c>
      <c r="X44" s="58">
        <f t="shared" ca="1" si="18"/>
        <v>2305.9040919766967</v>
      </c>
      <c r="Y44" s="58">
        <f t="shared" ca="1" si="19"/>
        <v>2305.9040919766967</v>
      </c>
    </row>
    <row r="45" spans="2:25" s="16" customFormat="1" x14ac:dyDescent="0.3">
      <c r="B45" s="32">
        <v>8</v>
      </c>
      <c r="C45" s="79">
        <f t="shared" si="20"/>
        <v>46139</v>
      </c>
      <c r="D45" s="32">
        <f t="shared" si="0"/>
        <v>1</v>
      </c>
      <c r="E45" s="79">
        <f t="shared" si="12"/>
        <v>46139</v>
      </c>
      <c r="F45" s="79">
        <f>IF(B44&gt;$C$18,"",IF(COUNTIF(Feriados!$A$2:$B$18,EDATE($C$38,B44))=0,EDATE($C$38,B44),EDATE($C$38,B44)+VLOOKUP(EDATE($C$38,B44),Feriados!$A$2:$B$18,2,FALSE)))</f>
        <v>46138</v>
      </c>
      <c r="G45" s="32">
        <f t="shared" si="13"/>
        <v>32</v>
      </c>
      <c r="H45" s="32">
        <f t="shared" si="14"/>
        <v>248</v>
      </c>
      <c r="I45" s="57">
        <f t="shared" ca="1" si="15"/>
        <v>30304.885016486118</v>
      </c>
      <c r="J45" s="57">
        <f t="shared" ca="1" si="16"/>
        <v>-163.48928127922545</v>
      </c>
      <c r="K45" s="58">
        <f t="shared" ca="1" si="1"/>
        <v>1017.6182326606408</v>
      </c>
      <c r="L45" s="58">
        <f t="shared" ca="1" si="17"/>
        <v>2625.2400968734628</v>
      </c>
      <c r="M45" s="59">
        <f t="shared" si="2"/>
        <v>0</v>
      </c>
      <c r="N45" s="32">
        <f t="shared" si="3"/>
        <v>0</v>
      </c>
      <c r="O45" s="58">
        <f t="shared" ca="1" si="4"/>
        <v>3479.3690482548782</v>
      </c>
      <c r="P45" s="58">
        <f t="shared" ca="1" si="5"/>
        <v>30468.374297765342</v>
      </c>
      <c r="Q45" s="58">
        <f t="shared" ca="1" si="6"/>
        <v>0.41440121488442866</v>
      </c>
      <c r="R45" s="58">
        <f t="shared" ca="1" si="7"/>
        <v>0.41440121488442866</v>
      </c>
      <c r="T45" s="32">
        <f t="shared" ca="1" si="8"/>
        <v>3479.3690482548782</v>
      </c>
      <c r="U45" s="32">
        <f t="shared" si="9"/>
        <v>248</v>
      </c>
      <c r="V45" s="59">
        <f t="shared" si="10"/>
        <v>1.569406334826944</v>
      </c>
      <c r="W45" s="57">
        <f t="shared" ca="1" si="11"/>
        <v>2217</v>
      </c>
      <c r="X45" s="58">
        <f t="shared" ca="1" si="18"/>
        <v>2625.2400968734628</v>
      </c>
      <c r="Y45" s="58">
        <f t="shared" ca="1" si="19"/>
        <v>2625.2400968734628</v>
      </c>
    </row>
    <row r="46" spans="2:25" s="16" customFormat="1" x14ac:dyDescent="0.3">
      <c r="B46" s="32">
        <v>9</v>
      </c>
      <c r="C46" s="79">
        <f t="shared" si="20"/>
        <v>46168</v>
      </c>
      <c r="D46" s="32">
        <f t="shared" si="0"/>
        <v>2</v>
      </c>
      <c r="E46" s="79">
        <f t="shared" si="12"/>
        <v>46168</v>
      </c>
      <c r="F46" s="79">
        <f>IF(B45&gt;$C$18,"",IF(COUNTIF(Feriados!$A$2:$B$18,EDATE($C$38,B45))=0,EDATE($C$38,B45),EDATE($C$38,B45)+VLOOKUP(EDATE($C$38,B45),Feriados!$A$2:$B$18,2,FALSE)))</f>
        <v>46168</v>
      </c>
      <c r="G46" s="32">
        <f t="shared" si="13"/>
        <v>29</v>
      </c>
      <c r="H46" s="32">
        <f t="shared" si="14"/>
        <v>277</v>
      </c>
      <c r="I46" s="57">
        <f t="shared" ca="1" si="15"/>
        <v>30468.374297765342</v>
      </c>
      <c r="J46" s="57">
        <f t="shared" ca="1" si="16"/>
        <v>171.07982928450951</v>
      </c>
      <c r="K46" s="58">
        <f t="shared" ca="1" si="1"/>
        <v>925.74984194367039</v>
      </c>
      <c r="L46" s="58">
        <f t="shared" ca="1" si="17"/>
        <v>2382.5393770266983</v>
      </c>
      <c r="M46" s="59">
        <f t="shared" si="2"/>
        <v>0</v>
      </c>
      <c r="N46" s="32">
        <f t="shared" si="3"/>
        <v>0</v>
      </c>
      <c r="O46" s="58">
        <f t="shared" ca="1" si="4"/>
        <v>3479.3690482548782</v>
      </c>
      <c r="P46" s="58">
        <f t="shared" ca="1" si="5"/>
        <v>30297.294468480832</v>
      </c>
      <c r="Q46" s="58">
        <f t="shared" ca="1" si="6"/>
        <v>0.37383844520833281</v>
      </c>
      <c r="R46" s="58">
        <f t="shared" ca="1" si="7"/>
        <v>0.37383844520833281</v>
      </c>
      <c r="T46" s="32">
        <f t="shared" ca="1" si="8"/>
        <v>3479.3690482548782</v>
      </c>
      <c r="U46" s="32">
        <f t="shared" si="9"/>
        <v>277</v>
      </c>
      <c r="V46" s="59">
        <f t="shared" si="10"/>
        <v>1.6543363604120225</v>
      </c>
      <c r="W46" s="57">
        <f t="shared" ca="1" si="11"/>
        <v>2103.1799999999998</v>
      </c>
      <c r="X46" s="58">
        <f t="shared" ca="1" si="18"/>
        <v>2382.5393770266983</v>
      </c>
      <c r="Y46" s="58">
        <f t="shared" ca="1" si="19"/>
        <v>2382.5393770266983</v>
      </c>
    </row>
    <row r="47" spans="2:25" s="16" customFormat="1" x14ac:dyDescent="0.3">
      <c r="B47" s="32">
        <v>10</v>
      </c>
      <c r="C47" s="79">
        <f t="shared" si="20"/>
        <v>46199</v>
      </c>
      <c r="D47" s="32">
        <f t="shared" si="0"/>
        <v>5</v>
      </c>
      <c r="E47" s="79">
        <f t="shared" si="12"/>
        <v>46199</v>
      </c>
      <c r="F47" s="79">
        <f>IF(B46&gt;$C$18,"",IF(COUNTIF(Feriados!$A$2:$B$18,EDATE($C$38,B46))=0,EDATE($C$38,B46),EDATE($C$38,B46)+VLOOKUP(EDATE($C$38,B46),Feriados!$A$2:$B$18,2,FALSE)))</f>
        <v>46199</v>
      </c>
      <c r="G47" s="32">
        <f t="shared" si="13"/>
        <v>31</v>
      </c>
      <c r="H47" s="32">
        <f t="shared" si="14"/>
        <v>308</v>
      </c>
      <c r="I47" s="57">
        <f t="shared" ca="1" si="15"/>
        <v>30297.294468480832</v>
      </c>
      <c r="J47" s="57">
        <f t="shared" ca="1" si="16"/>
        <v>-44.911490764542918</v>
      </c>
      <c r="K47" s="58">
        <f t="shared" ca="1" si="1"/>
        <v>985.05950499507151</v>
      </c>
      <c r="L47" s="58">
        <f t="shared" ca="1" si="17"/>
        <v>2539.2210340243496</v>
      </c>
      <c r="M47" s="59">
        <f t="shared" si="2"/>
        <v>0</v>
      </c>
      <c r="N47" s="32">
        <f t="shared" si="3"/>
        <v>0</v>
      </c>
      <c r="O47" s="58">
        <f t="shared" ca="1" si="4"/>
        <v>3479.3690482548782</v>
      </c>
      <c r="P47" s="58">
        <f t="shared" ca="1" si="5"/>
        <v>30342.205959245373</v>
      </c>
      <c r="Q47" s="58">
        <f t="shared" ca="1" si="6"/>
        <v>0.33485870186168148</v>
      </c>
      <c r="R47" s="58">
        <f t="shared" ca="1" si="7"/>
        <v>0.33485870186168148</v>
      </c>
      <c r="T47" s="32">
        <f t="shared" ca="1" si="8"/>
        <v>3479.3690482548782</v>
      </c>
      <c r="U47" s="32">
        <f t="shared" si="9"/>
        <v>308</v>
      </c>
      <c r="V47" s="59">
        <f t="shared" si="10"/>
        <v>1.7502123350146099</v>
      </c>
      <c r="W47" s="57">
        <f t="shared" ca="1" si="11"/>
        <v>1987.97</v>
      </c>
      <c r="X47" s="58">
        <f t="shared" ca="1" si="18"/>
        <v>2539.2210340243496</v>
      </c>
      <c r="Y47" s="58">
        <f t="shared" ca="1" si="19"/>
        <v>2539.2210340243496</v>
      </c>
    </row>
    <row r="48" spans="2:25" s="16" customFormat="1" x14ac:dyDescent="0.3">
      <c r="B48" s="32">
        <v>11</v>
      </c>
      <c r="C48" s="79">
        <f t="shared" si="20"/>
        <v>46230</v>
      </c>
      <c r="D48" s="32">
        <f t="shared" si="0"/>
        <v>1</v>
      </c>
      <c r="E48" s="79">
        <f t="shared" si="12"/>
        <v>46230</v>
      </c>
      <c r="F48" s="79">
        <f>IF(B47&gt;$C$18,"",IF(COUNTIF(Feriados!$A$2:$B$18,EDATE($C$38,B47))=0,EDATE($C$38,B47),EDATE($C$38,B47)+VLOOKUP(EDATE($C$38,B47),Feriados!$A$2:$B$18,2,FALSE)))</f>
        <v>46229</v>
      </c>
      <c r="G48" s="32">
        <f t="shared" si="13"/>
        <v>31</v>
      </c>
      <c r="H48" s="32">
        <f t="shared" si="14"/>
        <v>339</v>
      </c>
      <c r="I48" s="57">
        <f t="shared" ca="1" si="15"/>
        <v>30342.205959245373</v>
      </c>
      <c r="J48" s="57">
        <f t="shared" ca="1" si="16"/>
        <v>-50.135742489214181</v>
      </c>
      <c r="K48" s="58">
        <f t="shared" ca="1" si="1"/>
        <v>986.51971758623654</v>
      </c>
      <c r="L48" s="58">
        <f t="shared" ca="1" si="17"/>
        <v>2542.9850731578558</v>
      </c>
      <c r="M48" s="59">
        <f t="shared" si="2"/>
        <v>0</v>
      </c>
      <c r="N48" s="32">
        <f t="shared" si="3"/>
        <v>0</v>
      </c>
      <c r="O48" s="58">
        <f t="shared" ca="1" si="4"/>
        <v>3479.3690482548782</v>
      </c>
      <c r="P48" s="58">
        <f t="shared" ca="1" si="5"/>
        <v>30392.341701734589</v>
      </c>
      <c r="Q48" s="58">
        <f t="shared" ca="1" si="6"/>
        <v>0.29994333554967162</v>
      </c>
      <c r="R48" s="58">
        <f t="shared" ca="1" si="7"/>
        <v>0.29994333554967162</v>
      </c>
      <c r="T48" s="32">
        <f t="shared" ca="1" si="8"/>
        <v>3479.3690482548782</v>
      </c>
      <c r="U48" s="32">
        <f t="shared" si="9"/>
        <v>339</v>
      </c>
      <c r="V48" s="59">
        <f t="shared" si="10"/>
        <v>1.8516447386034447</v>
      </c>
      <c r="W48" s="57">
        <f t="shared" ca="1" si="11"/>
        <v>1879.07</v>
      </c>
      <c r="X48" s="58">
        <f t="shared" ca="1" si="18"/>
        <v>2542.9850731578558</v>
      </c>
      <c r="Y48" s="58">
        <f t="shared" ca="1" si="19"/>
        <v>2542.9850731578558</v>
      </c>
    </row>
    <row r="49" spans="2:25" s="16" customFormat="1" x14ac:dyDescent="0.3">
      <c r="B49" s="32">
        <v>12</v>
      </c>
      <c r="C49" s="79">
        <f t="shared" si="20"/>
        <v>46260</v>
      </c>
      <c r="D49" s="32">
        <f t="shared" si="0"/>
        <v>3</v>
      </c>
      <c r="E49" s="79">
        <f t="shared" si="12"/>
        <v>46260</v>
      </c>
      <c r="F49" s="79">
        <f>IF(B48&gt;$C$18,"",IF(COUNTIF(Feriados!$A$2:$B$18,EDATE($C$38,B48))=0,EDATE($C$38,B48),EDATE($C$38,B48)+VLOOKUP(EDATE($C$38,B48),Feriados!$A$2:$B$18,2,FALSE)))</f>
        <v>46260</v>
      </c>
      <c r="G49" s="32">
        <f t="shared" si="13"/>
        <v>30</v>
      </c>
      <c r="H49" s="32">
        <f t="shared" si="14"/>
        <v>369</v>
      </c>
      <c r="I49" s="57">
        <f t="shared" ca="1" si="15"/>
        <v>30392.341701734589</v>
      </c>
      <c r="J49" s="57">
        <f t="shared" ca="1" si="16"/>
        <v>61.811338812045165</v>
      </c>
      <c r="K49" s="58">
        <f t="shared" ca="1" si="1"/>
        <v>955.77803160233259</v>
      </c>
      <c r="L49" s="58">
        <f t="shared" ca="1" si="17"/>
        <v>2461.7796778405004</v>
      </c>
      <c r="M49" s="59">
        <f t="shared" si="2"/>
        <v>0</v>
      </c>
      <c r="N49" s="32">
        <f t="shared" si="3"/>
        <v>0</v>
      </c>
      <c r="O49" s="58">
        <f t="shared" ca="1" si="4"/>
        <v>3479.3690482548782</v>
      </c>
      <c r="P49" s="58">
        <f t="shared" ca="1" si="5"/>
        <v>30330.530362922545</v>
      </c>
      <c r="Q49" s="58">
        <f t="shared" ca="1" si="6"/>
        <v>0.26962459232191477</v>
      </c>
      <c r="R49" s="58">
        <f t="shared" ca="1" si="7"/>
        <v>0.26962459232191477</v>
      </c>
      <c r="T49" s="32">
        <f t="shared" ca="1" si="8"/>
        <v>3479.3690482548782</v>
      </c>
      <c r="U49" s="32">
        <f t="shared" si="9"/>
        <v>369</v>
      </c>
      <c r="V49" s="59">
        <f t="shared" si="10"/>
        <v>1.9553987578842436</v>
      </c>
      <c r="W49" s="57">
        <f t="shared" ca="1" si="11"/>
        <v>1779.37</v>
      </c>
      <c r="X49" s="58">
        <f t="shared" ca="1" si="18"/>
        <v>2461.7796778405004</v>
      </c>
      <c r="Y49" s="58">
        <f t="shared" ca="1" si="19"/>
        <v>2461.7796778405004</v>
      </c>
    </row>
    <row r="50" spans="2:25" s="16" customFormat="1" x14ac:dyDescent="0.3">
      <c r="B50" s="32">
        <v>13</v>
      </c>
      <c r="C50" s="79">
        <f t="shared" si="20"/>
        <v>46291</v>
      </c>
      <c r="D50" s="32">
        <f t="shared" si="0"/>
        <v>6</v>
      </c>
      <c r="E50" s="79">
        <f t="shared" si="12"/>
        <v>46291</v>
      </c>
      <c r="F50" s="79">
        <f>IF(B49&gt;$C$18,"",IF(COUNTIF(Feriados!$A$2:$B$18,EDATE($C$38,B49))=0,EDATE($C$38,B49),EDATE($C$38,B49)+VLOOKUP(EDATE($C$38,B49),Feriados!$A$2:$B$18,2,FALSE)))</f>
        <v>46291</v>
      </c>
      <c r="G50" s="32">
        <f t="shared" si="13"/>
        <v>31</v>
      </c>
      <c r="H50" s="32">
        <f t="shared" si="14"/>
        <v>400</v>
      </c>
      <c r="I50" s="57">
        <f t="shared" ca="1" si="15"/>
        <v>30330.530362922545</v>
      </c>
      <c r="J50" s="57">
        <f t="shared" ca="1" si="16"/>
        <v>-48.7775988785761</v>
      </c>
      <c r="K50" s="58">
        <f t="shared" ca="1" si="1"/>
        <v>986.14010754725268</v>
      </c>
      <c r="L50" s="58">
        <f t="shared" ca="1" si="17"/>
        <v>2542.0065395862016</v>
      </c>
      <c r="M50" s="59">
        <f t="shared" si="2"/>
        <v>0</v>
      </c>
      <c r="N50" s="32">
        <f t="shared" si="3"/>
        <v>0</v>
      </c>
      <c r="O50" s="58">
        <f t="shared" ca="1" si="4"/>
        <v>3479.3690482548782</v>
      </c>
      <c r="P50" s="58">
        <f t="shared" ca="1" si="5"/>
        <v>30379.307961801122</v>
      </c>
      <c r="Q50" s="58">
        <f t="shared" ca="1" si="6"/>
        <v>0.24151111832435201</v>
      </c>
      <c r="R50" s="58">
        <f t="shared" ca="1" si="7"/>
        <v>0.24151111832435201</v>
      </c>
      <c r="T50" s="32">
        <f t="shared" ca="1" si="8"/>
        <v>3479.3690482548782</v>
      </c>
      <c r="U50" s="32">
        <f t="shared" si="9"/>
        <v>400</v>
      </c>
      <c r="V50" s="59">
        <f t="shared" si="10"/>
        <v>2.0687226055219448</v>
      </c>
      <c r="W50" s="57">
        <f t="shared" ca="1" si="11"/>
        <v>1681.89</v>
      </c>
      <c r="X50" s="58">
        <f t="shared" ca="1" si="18"/>
        <v>2542.0065395862016</v>
      </c>
      <c r="Y50" s="58">
        <f t="shared" ca="1" si="19"/>
        <v>2542.0065395862016</v>
      </c>
    </row>
    <row r="51" spans="2:25" s="16" customFormat="1" x14ac:dyDescent="0.3">
      <c r="B51" s="32">
        <v>14</v>
      </c>
      <c r="C51" s="79">
        <f t="shared" si="20"/>
        <v>46321</v>
      </c>
      <c r="D51" s="32">
        <f t="shared" si="0"/>
        <v>1</v>
      </c>
      <c r="E51" s="79">
        <f t="shared" si="12"/>
        <v>46321</v>
      </c>
      <c r="F51" s="79">
        <f>IF(B50&gt;$C$18,"",IF(COUNTIF(Feriados!$A$2:$B$17,EDATE($C$38,B50))=0,EDATE($C$38,B50),EDATE($C$38,B50)+VLOOKUP(EDATE($C$38,B50),Feriados!$A$2:$B$17,2,FALSE)))</f>
        <v>46321</v>
      </c>
      <c r="G51" s="32">
        <f t="shared" si="13"/>
        <v>30</v>
      </c>
      <c r="H51" s="32">
        <f t="shared" si="14"/>
        <v>430</v>
      </c>
      <c r="I51" s="57">
        <f t="shared" ca="1" si="15"/>
        <v>30379.307961801122</v>
      </c>
      <c r="J51" s="57">
        <f t="shared" ca="1" si="16"/>
        <v>63.27695665846295</v>
      </c>
      <c r="K51" s="58">
        <f t="shared" ca="1" si="1"/>
        <v>955.36814669052546</v>
      </c>
      <c r="L51" s="58">
        <f t="shared" ca="1" si="17"/>
        <v>2460.7239449058898</v>
      </c>
      <c r="M51" s="59">
        <f t="shared" si="2"/>
        <v>0</v>
      </c>
      <c r="N51" s="32">
        <f t="shared" si="3"/>
        <v>0</v>
      </c>
      <c r="O51" s="58">
        <f t="shared" ca="1" si="4"/>
        <v>3479.3690482548782</v>
      </c>
      <c r="P51" s="58">
        <f t="shared" ca="1" si="5"/>
        <v>30316.031005142657</v>
      </c>
      <c r="Q51" s="58">
        <f t="shared" ca="1" si="6"/>
        <v>0.21709879534439422</v>
      </c>
      <c r="R51" s="58">
        <f t="shared" ca="1" si="7"/>
        <v>0.21709879534439422</v>
      </c>
      <c r="T51" s="32">
        <f t="shared" ca="1" si="8"/>
        <v>3479.3690482548782</v>
      </c>
      <c r="U51" s="32">
        <f t="shared" si="9"/>
        <v>430</v>
      </c>
      <c r="V51" s="59">
        <f t="shared" si="10"/>
        <v>2.1846402438383707</v>
      </c>
      <c r="W51" s="57">
        <f t="shared" ca="1" si="11"/>
        <v>1592.65</v>
      </c>
      <c r="X51" s="58">
        <f t="shared" ca="1" si="18"/>
        <v>2460.7239449058898</v>
      </c>
      <c r="Y51" s="58">
        <f t="shared" ca="1" si="19"/>
        <v>2460.7239449058898</v>
      </c>
    </row>
    <row r="52" spans="2:25" s="16" customFormat="1" x14ac:dyDescent="0.3">
      <c r="B52" s="32">
        <v>15</v>
      </c>
      <c r="C52" s="79">
        <f t="shared" si="20"/>
        <v>46352</v>
      </c>
      <c r="D52" s="32">
        <f t="shared" si="0"/>
        <v>4</v>
      </c>
      <c r="E52" s="79">
        <f t="shared" si="12"/>
        <v>46352</v>
      </c>
      <c r="F52" s="79">
        <f>IF(B51&gt;$C$18,"",IF(COUNTIF(Feriados!$A$2:$B$17,EDATE($C$38,B51))=0,EDATE($C$38,B51),EDATE($C$38,B51)+VLOOKUP(EDATE($C$38,B51),Feriados!$A$2:$B$17,2,FALSE)))</f>
        <v>46352</v>
      </c>
      <c r="G52" s="32">
        <f t="shared" si="13"/>
        <v>31</v>
      </c>
      <c r="H52" s="32">
        <f t="shared" si="14"/>
        <v>461</v>
      </c>
      <c r="I52" s="57">
        <f t="shared" ca="1" si="15"/>
        <v>30316.031005142657</v>
      </c>
      <c r="J52" s="57">
        <f t="shared" ca="1" si="16"/>
        <v>-47.090986085308145</v>
      </c>
      <c r="K52" s="58">
        <f t="shared" ca="1" si="1"/>
        <v>985.6686882192904</v>
      </c>
      <c r="L52" s="58">
        <f t="shared" ca="1" si="17"/>
        <v>2540.7913461208959</v>
      </c>
      <c r="M52" s="59">
        <f t="shared" si="2"/>
        <v>0</v>
      </c>
      <c r="N52" s="32">
        <f t="shared" si="3"/>
        <v>0</v>
      </c>
      <c r="O52" s="58">
        <f t="shared" ca="1" si="4"/>
        <v>3479.3690482548782</v>
      </c>
      <c r="P52" s="58">
        <f t="shared" ca="1" si="5"/>
        <v>30363.121991227967</v>
      </c>
      <c r="Q52" s="58">
        <f t="shared" ca="1" si="6"/>
        <v>0.19446213121351355</v>
      </c>
      <c r="R52" s="58">
        <f t="shared" ca="1" si="7"/>
        <v>0.19446213121351355</v>
      </c>
      <c r="T52" s="32">
        <f t="shared" ca="1" si="8"/>
        <v>3479.3690482548782</v>
      </c>
      <c r="U52" s="32">
        <f t="shared" si="9"/>
        <v>461</v>
      </c>
      <c r="V52" s="59">
        <f t="shared" si="10"/>
        <v>2.3112496308688733</v>
      </c>
      <c r="W52" s="57">
        <f t="shared" ca="1" si="11"/>
        <v>1505.41</v>
      </c>
      <c r="X52" s="58">
        <f t="shared" ca="1" si="18"/>
        <v>2540.7913461208959</v>
      </c>
      <c r="Y52" s="58">
        <f t="shared" ca="1" si="19"/>
        <v>2540.7913461208959</v>
      </c>
    </row>
    <row r="53" spans="2:25" s="16" customFormat="1" x14ac:dyDescent="0.3">
      <c r="B53" s="32">
        <v>16</v>
      </c>
      <c r="C53" s="79">
        <f t="shared" si="20"/>
        <v>46382</v>
      </c>
      <c r="D53" s="32">
        <f t="shared" si="0"/>
        <v>6</v>
      </c>
      <c r="E53" s="79">
        <f t="shared" si="12"/>
        <v>46382</v>
      </c>
      <c r="F53" s="79">
        <f>IF(B52&gt;$C$18,"",IF(COUNTIF(Feriados!$A$2:$B$17,EDATE($C$38,B52))=0,EDATE($C$38,B52),EDATE($C$38,B52)+VLOOKUP(EDATE($C$38,B52),Feriados!$A$2:$B$17,2,FALSE)))</f>
        <v>46382</v>
      </c>
      <c r="G53" s="32">
        <f t="shared" si="13"/>
        <v>30</v>
      </c>
      <c r="H53" s="32">
        <f t="shared" si="14"/>
        <v>491</v>
      </c>
      <c r="I53" s="57">
        <f t="shared" ca="1" si="15"/>
        <v>30363.121991227967</v>
      </c>
      <c r="J53" s="57">
        <f t="shared" ca="1" si="16"/>
        <v>65.097036501601337</v>
      </c>
      <c r="K53" s="58">
        <f t="shared" ca="1" si="1"/>
        <v>954.85913046381268</v>
      </c>
      <c r="L53" s="58">
        <f t="shared" ca="1" si="17"/>
        <v>2459.4128812894642</v>
      </c>
      <c r="M53" s="59">
        <f t="shared" si="2"/>
        <v>0</v>
      </c>
      <c r="N53" s="32">
        <f t="shared" si="3"/>
        <v>0</v>
      </c>
      <c r="O53" s="58">
        <f t="shared" ca="1" si="4"/>
        <v>3479.3690482548782</v>
      </c>
      <c r="P53" s="58">
        <f t="shared" ca="1" si="5"/>
        <v>30298.024954726367</v>
      </c>
      <c r="Q53" s="58">
        <f t="shared" ca="1" si="6"/>
        <v>0.17480559371125412</v>
      </c>
      <c r="R53" s="58">
        <f t="shared" ca="1" si="7"/>
        <v>0.17480559371125412</v>
      </c>
      <c r="T53" s="32">
        <f t="shared" ca="1" si="8"/>
        <v>3479.3690482548782</v>
      </c>
      <c r="U53" s="32">
        <f t="shared" si="9"/>
        <v>491</v>
      </c>
      <c r="V53" s="59">
        <f t="shared" si="10"/>
        <v>2.440756892042943</v>
      </c>
      <c r="W53" s="57">
        <f t="shared" ca="1" si="11"/>
        <v>1425.53</v>
      </c>
      <c r="X53" s="58">
        <f t="shared" ca="1" si="18"/>
        <v>2459.4128812894642</v>
      </c>
      <c r="Y53" s="58">
        <f t="shared" ca="1" si="19"/>
        <v>2459.4128812894642</v>
      </c>
    </row>
    <row r="54" spans="2:25" s="16" customFormat="1" x14ac:dyDescent="0.3">
      <c r="B54" s="32">
        <v>17</v>
      </c>
      <c r="C54" s="79">
        <f t="shared" si="20"/>
        <v>46413</v>
      </c>
      <c r="D54" s="32">
        <f t="shared" si="0"/>
        <v>2</v>
      </c>
      <c r="E54" s="79">
        <f t="shared" si="12"/>
        <v>46413</v>
      </c>
      <c r="F54" s="79">
        <f>IF(B53&gt;$C$18,"",IF(COUNTIF(Feriados!$A$2:$B$17,EDATE($C$38,B53))=0,EDATE($C$38,B53),EDATE($C$38,B53)+VLOOKUP(EDATE($C$38,B53),Feriados!$A$2:$B$17,2,FALSE)))</f>
        <v>46413</v>
      </c>
      <c r="G54" s="32">
        <f t="shared" si="13"/>
        <v>31</v>
      </c>
      <c r="H54" s="32">
        <f t="shared" si="14"/>
        <v>522</v>
      </c>
      <c r="I54" s="57">
        <f t="shared" ca="1" si="15"/>
        <v>30298.024954726367</v>
      </c>
      <c r="J54" s="57">
        <f t="shared" ca="1" si="16"/>
        <v>-44.996463317515804</v>
      </c>
      <c r="K54" s="58">
        <f t="shared" ca="1" si="1"/>
        <v>985.08325538044608</v>
      </c>
      <c r="L54" s="58">
        <f t="shared" ca="1" si="17"/>
        <v>2539.2822561919479</v>
      </c>
      <c r="M54" s="59">
        <f t="shared" si="2"/>
        <v>0</v>
      </c>
      <c r="N54" s="32">
        <f t="shared" si="3"/>
        <v>0</v>
      </c>
      <c r="O54" s="58">
        <f t="shared" ca="1" si="4"/>
        <v>3479.3690482548782</v>
      </c>
      <c r="P54" s="58">
        <f t="shared" ca="1" si="5"/>
        <v>30343.021418043882</v>
      </c>
      <c r="Q54" s="58">
        <f t="shared" ca="1" si="6"/>
        <v>0.15657879744200887</v>
      </c>
      <c r="R54" s="58">
        <f t="shared" ca="1" si="7"/>
        <v>0.15657879744200887</v>
      </c>
      <c r="T54" s="32">
        <f t="shared" ca="1" si="8"/>
        <v>3479.3690482548782</v>
      </c>
      <c r="U54" s="32">
        <f t="shared" si="9"/>
        <v>522</v>
      </c>
      <c r="V54" s="59">
        <f t="shared" si="10"/>
        <v>2.5822093508006758</v>
      </c>
      <c r="W54" s="57">
        <f t="shared" ca="1" si="11"/>
        <v>1347.44</v>
      </c>
      <c r="X54" s="58">
        <f t="shared" ca="1" si="18"/>
        <v>2539.2822561919479</v>
      </c>
      <c r="Y54" s="58">
        <f t="shared" ca="1" si="19"/>
        <v>2539.2822561919479</v>
      </c>
    </row>
    <row r="55" spans="2:25" s="16" customFormat="1" x14ac:dyDescent="0.3">
      <c r="B55" s="32">
        <v>18</v>
      </c>
      <c r="C55" s="79">
        <f t="shared" si="20"/>
        <v>46444</v>
      </c>
      <c r="D55" s="32">
        <f t="shared" si="0"/>
        <v>5</v>
      </c>
      <c r="E55" s="79">
        <f t="shared" si="12"/>
        <v>46444</v>
      </c>
      <c r="F55" s="79">
        <f>IF(B54&gt;$C$18,"",IF(COUNTIF(Feriados!$A$2:$B$17,EDATE($C$38,B54))=0,EDATE($C$38,B54),EDATE($C$38,B54)+VLOOKUP(EDATE($C$38,B54),Feriados!$A$2:$B$17,2,FALSE)))</f>
        <v>46444</v>
      </c>
      <c r="G55" s="32">
        <f t="shared" si="13"/>
        <v>31</v>
      </c>
      <c r="H55" s="32">
        <f t="shared" si="14"/>
        <v>553</v>
      </c>
      <c r="I55" s="57">
        <f t="shared" ca="1" si="15"/>
        <v>30343.021418043882</v>
      </c>
      <c r="J55" s="57">
        <f t="shared" ca="1" si="16"/>
        <v>-50.230599327897949</v>
      </c>
      <c r="K55" s="58">
        <f t="shared" ca="1" si="1"/>
        <v>986.54623069423826</v>
      </c>
      <c r="L55" s="58">
        <f t="shared" ca="1" si="17"/>
        <v>2543.0534168885379</v>
      </c>
      <c r="M55" s="59">
        <f t="shared" si="2"/>
        <v>0</v>
      </c>
      <c r="N55" s="32">
        <f t="shared" si="3"/>
        <v>0</v>
      </c>
      <c r="O55" s="58">
        <f t="shared" ca="1" si="4"/>
        <v>3479.3690482548782</v>
      </c>
      <c r="P55" s="58">
        <f t="shared" ca="1" si="5"/>
        <v>30393.252017371778</v>
      </c>
      <c r="Q55" s="58">
        <f t="shared" ca="1" si="6"/>
        <v>0.14025249013989205</v>
      </c>
      <c r="R55" s="58">
        <f t="shared" ca="1" si="7"/>
        <v>0.14025249013989205</v>
      </c>
      <c r="T55" s="32">
        <f t="shared" ca="1" si="8"/>
        <v>3479.3690482548782</v>
      </c>
      <c r="U55" s="32">
        <f t="shared" si="9"/>
        <v>553</v>
      </c>
      <c r="V55" s="59">
        <f t="shared" si="10"/>
        <v>2.7318595936776875</v>
      </c>
      <c r="W55" s="57">
        <f t="shared" ca="1" si="11"/>
        <v>1273.6300000000001</v>
      </c>
      <c r="X55" s="58">
        <f t="shared" ca="1" si="18"/>
        <v>2543.0534168885379</v>
      </c>
      <c r="Y55" s="58">
        <f t="shared" ca="1" si="19"/>
        <v>2543.0534168885379</v>
      </c>
    </row>
    <row r="56" spans="2:25" s="16" customFormat="1" x14ac:dyDescent="0.3">
      <c r="B56" s="32">
        <v>19</v>
      </c>
      <c r="C56" s="79">
        <f t="shared" si="20"/>
        <v>46472</v>
      </c>
      <c r="D56" s="32">
        <f t="shared" si="0"/>
        <v>5</v>
      </c>
      <c r="E56" s="79">
        <f t="shared" si="12"/>
        <v>46472</v>
      </c>
      <c r="F56" s="79">
        <f>IF(B55&gt;$C$18,"",IF(COUNTIF(Feriados!$A$2:$B$17,EDATE($C$38,B55))=0,EDATE($C$38,B55),EDATE($C$38,B55)+VLOOKUP(EDATE($C$38,B55),Feriados!$A$2:$B$17,2,FALSE)))</f>
        <v>46472</v>
      </c>
      <c r="G56" s="32">
        <f t="shared" si="13"/>
        <v>28</v>
      </c>
      <c r="H56" s="32">
        <f t="shared" si="14"/>
        <v>581</v>
      </c>
      <c r="I56" s="57">
        <f t="shared" ca="1" si="15"/>
        <v>30393.252017371778</v>
      </c>
      <c r="J56" s="57">
        <f t="shared" ca="1" si="16"/>
        <v>296.51015909789498</v>
      </c>
      <c r="K56" s="58">
        <f t="shared" ca="1" si="1"/>
        <v>891.16136096348578</v>
      </c>
      <c r="L56" s="58">
        <f t="shared" ca="1" si="17"/>
        <v>2291.6975281934974</v>
      </c>
      <c r="M56" s="59">
        <f t="shared" si="2"/>
        <v>0</v>
      </c>
      <c r="N56" s="32">
        <f t="shared" si="3"/>
        <v>0</v>
      </c>
      <c r="O56" s="58">
        <f t="shared" ca="1" si="4"/>
        <v>3479.3690482548782</v>
      </c>
      <c r="P56" s="58">
        <f t="shared" ca="1" si="5"/>
        <v>30096.741858273883</v>
      </c>
      <c r="Q56" s="58">
        <f t="shared" ca="1" si="6"/>
        <v>0.12697440306428376</v>
      </c>
      <c r="R56" s="58">
        <f t="shared" ca="1" si="7"/>
        <v>0.12697440306428376</v>
      </c>
      <c r="T56" s="32">
        <f t="shared" ca="1" si="8"/>
        <v>3479.3690482548782</v>
      </c>
      <c r="U56" s="32">
        <f t="shared" si="9"/>
        <v>581</v>
      </c>
      <c r="V56" s="59">
        <f t="shared" si="10"/>
        <v>2.8744683615038213</v>
      </c>
      <c r="W56" s="57">
        <f t="shared" ca="1" si="11"/>
        <v>1210.44</v>
      </c>
      <c r="X56" s="58">
        <f t="shared" ca="1" si="18"/>
        <v>2291.6975281934974</v>
      </c>
      <c r="Y56" s="58">
        <f t="shared" ca="1" si="19"/>
        <v>2291.6975281934974</v>
      </c>
    </row>
    <row r="57" spans="2:25" s="16" customFormat="1" x14ac:dyDescent="0.3">
      <c r="B57" s="32">
        <v>20</v>
      </c>
      <c r="C57" s="79">
        <f t="shared" si="20"/>
        <v>46503</v>
      </c>
      <c r="D57" s="32">
        <f t="shared" si="0"/>
        <v>1</v>
      </c>
      <c r="E57" s="79">
        <f t="shared" si="12"/>
        <v>46503</v>
      </c>
      <c r="F57" s="79">
        <f>IF(B56&gt;$C$18,"",IF(COUNTIF(Feriados!$A$2:$B$17,EDATE($C$38,B56))=0,EDATE($C$38,B56),EDATE($C$38,B56)+VLOOKUP(EDATE($C$38,B56),Feriados!$A$2:$B$17,2,FALSE)))</f>
        <v>46503</v>
      </c>
      <c r="G57" s="32">
        <f t="shared" si="13"/>
        <v>31</v>
      </c>
      <c r="H57" s="32">
        <f t="shared" si="14"/>
        <v>612</v>
      </c>
      <c r="I57" s="57">
        <f t="shared" ca="1" si="15"/>
        <v>30096.741858273883</v>
      </c>
      <c r="J57" s="57">
        <f t="shared" ca="1" si="16"/>
        <v>-21.582554184505966</v>
      </c>
      <c r="K57" s="58">
        <f t="shared" ca="1" si="1"/>
        <v>978.53891434822515</v>
      </c>
      <c r="L57" s="58">
        <f t="shared" ca="1" si="17"/>
        <v>2522.412688091159</v>
      </c>
      <c r="M57" s="59">
        <f t="shared" si="2"/>
        <v>0</v>
      </c>
      <c r="N57" s="32">
        <f t="shared" si="3"/>
        <v>0</v>
      </c>
      <c r="O57" s="58">
        <f t="shared" ca="1" si="4"/>
        <v>3479.3690482548782</v>
      </c>
      <c r="P57" s="58">
        <f t="shared" ca="1" si="5"/>
        <v>30118.324412458387</v>
      </c>
      <c r="Q57" s="58">
        <f t="shared" ca="1" si="6"/>
        <v>0.11373491497396225</v>
      </c>
      <c r="R57" s="58">
        <f t="shared" ca="1" si="7"/>
        <v>0.11373491497396225</v>
      </c>
      <c r="T57" s="32">
        <f t="shared" ca="1" si="8"/>
        <v>3479.3690482548782</v>
      </c>
      <c r="U57" s="32">
        <f t="shared" si="9"/>
        <v>612</v>
      </c>
      <c r="V57" s="59">
        <f t="shared" si="10"/>
        <v>3.0410562829316281</v>
      </c>
      <c r="W57" s="57">
        <f t="shared" ca="1" si="11"/>
        <v>1144.1300000000001</v>
      </c>
      <c r="X57" s="58">
        <f t="shared" ca="1" si="18"/>
        <v>2522.412688091159</v>
      </c>
      <c r="Y57" s="58">
        <f t="shared" ca="1" si="19"/>
        <v>2522.412688091159</v>
      </c>
    </row>
    <row r="58" spans="2:25" s="16" customFormat="1" x14ac:dyDescent="0.3">
      <c r="B58" s="32">
        <v>21</v>
      </c>
      <c r="C58" s="79">
        <f t="shared" si="20"/>
        <v>46533</v>
      </c>
      <c r="D58" s="32">
        <f t="shared" si="0"/>
        <v>3</v>
      </c>
      <c r="E58" s="79">
        <f t="shared" si="12"/>
        <v>46533</v>
      </c>
      <c r="F58" s="79">
        <f>IF(B57&gt;$C$18,"",IF(COUNTIF(Feriados!$A$2:$B$17,EDATE($C$38,B57))=0,EDATE($C$38,B57),EDATE($C$38,B57)+VLOOKUP(EDATE($C$38,B57),Feriados!$A$2:$B$17,2,FALSE)))</f>
        <v>46533</v>
      </c>
      <c r="G58" s="32">
        <f t="shared" si="13"/>
        <v>30</v>
      </c>
      <c r="H58" s="32">
        <f t="shared" si="14"/>
        <v>642</v>
      </c>
      <c r="I58" s="57">
        <f t="shared" ca="1" si="15"/>
        <v>30118.324412458387</v>
      </c>
      <c r="J58" s="57">
        <f t="shared" ca="1" si="16"/>
        <v>92.624031979187748</v>
      </c>
      <c r="K58" s="58">
        <f t="shared" ca="1" si="1"/>
        <v>947.16073886656204</v>
      </c>
      <c r="L58" s="58">
        <f t="shared" ca="1" si="17"/>
        <v>2439.5842774091284</v>
      </c>
      <c r="M58" s="59">
        <f t="shared" si="2"/>
        <v>0</v>
      </c>
      <c r="N58" s="32">
        <f t="shared" si="3"/>
        <v>0</v>
      </c>
      <c r="O58" s="58">
        <f t="shared" ca="1" si="4"/>
        <v>3479.3690482548782</v>
      </c>
      <c r="P58" s="58">
        <f t="shared" ca="1" si="5"/>
        <v>30025.7003804792</v>
      </c>
      <c r="Q58" s="58">
        <f t="shared" ca="1" si="6"/>
        <v>0.10223841121998806</v>
      </c>
      <c r="R58" s="58">
        <f t="shared" ca="1" si="7"/>
        <v>0.10223841121998806</v>
      </c>
      <c r="T58" s="32">
        <f t="shared" ca="1" si="8"/>
        <v>3479.3690482548782</v>
      </c>
      <c r="U58" s="32">
        <f t="shared" si="9"/>
        <v>642</v>
      </c>
      <c r="V58" s="59">
        <f t="shared" si="10"/>
        <v>3.211457119353013</v>
      </c>
      <c r="W58" s="57">
        <f t="shared" ca="1" si="11"/>
        <v>1083.42</v>
      </c>
      <c r="X58" s="58">
        <f t="shared" ca="1" si="18"/>
        <v>2439.5842774091284</v>
      </c>
      <c r="Y58" s="58">
        <f t="shared" ca="1" si="19"/>
        <v>2439.5842774091284</v>
      </c>
    </row>
    <row r="59" spans="2:25" s="16" customFormat="1" x14ac:dyDescent="0.3">
      <c r="B59" s="32">
        <v>22</v>
      </c>
      <c r="C59" s="79">
        <f t="shared" si="20"/>
        <v>46564</v>
      </c>
      <c r="D59" s="32">
        <f t="shared" si="0"/>
        <v>6</v>
      </c>
      <c r="E59" s="79">
        <f t="shared" si="12"/>
        <v>46564</v>
      </c>
      <c r="F59" s="79">
        <f>IF(B58&gt;$C$18,"",IF(COUNTIF(Feriados!$A$2:$B$17,EDATE($C$38,B58))=0,EDATE($C$38,B58),EDATE($C$38,B58)+VLOOKUP(EDATE($C$38,B58),Feriados!$A$2:$B$17,2,FALSE)))</f>
        <v>46564</v>
      </c>
      <c r="G59" s="32">
        <f t="shared" si="13"/>
        <v>31</v>
      </c>
      <c r="H59" s="32">
        <f t="shared" si="14"/>
        <v>673</v>
      </c>
      <c r="I59" s="57">
        <f t="shared" ca="1" si="15"/>
        <v>30025.7003804792</v>
      </c>
      <c r="J59" s="57">
        <f t="shared" ca="1" si="16"/>
        <v>-13.318776773112063</v>
      </c>
      <c r="K59" s="58">
        <f t="shared" ca="1" si="1"/>
        <v>976.22913440984314</v>
      </c>
      <c r="L59" s="58">
        <f t="shared" ca="1" si="17"/>
        <v>2516.4586906181471</v>
      </c>
      <c r="M59" s="59">
        <f t="shared" si="2"/>
        <v>0</v>
      </c>
      <c r="N59" s="32">
        <f t="shared" si="3"/>
        <v>0</v>
      </c>
      <c r="O59" s="58">
        <f t="shared" ca="1" si="4"/>
        <v>3479.3690482548782</v>
      </c>
      <c r="P59" s="58">
        <f t="shared" ca="1" si="5"/>
        <v>30039.019157252311</v>
      </c>
      <c r="Q59" s="58">
        <f t="shared" ca="1" si="6"/>
        <v>9.1578119105559797E-2</v>
      </c>
      <c r="R59" s="58">
        <f t="shared" ca="1" si="7"/>
        <v>9.1578119105559797E-2</v>
      </c>
      <c r="T59" s="32">
        <f t="shared" ca="1" si="8"/>
        <v>3479.3690482548782</v>
      </c>
      <c r="U59" s="32">
        <f t="shared" si="9"/>
        <v>673</v>
      </c>
      <c r="V59" s="59">
        <f t="shared" si="10"/>
        <v>3.3975750023787499</v>
      </c>
      <c r="W59" s="57">
        <f t="shared" ca="1" si="11"/>
        <v>1024.07</v>
      </c>
      <c r="X59" s="58">
        <f t="shared" ca="1" si="18"/>
        <v>2516.4586906181471</v>
      </c>
      <c r="Y59" s="58">
        <f t="shared" ca="1" si="19"/>
        <v>2516.4586906181471</v>
      </c>
    </row>
    <row r="60" spans="2:25" s="16" customFormat="1" x14ac:dyDescent="0.3">
      <c r="B60" s="32">
        <v>23</v>
      </c>
      <c r="C60" s="79">
        <f t="shared" si="20"/>
        <v>46594</v>
      </c>
      <c r="D60" s="32">
        <f t="shared" si="0"/>
        <v>1</v>
      </c>
      <c r="E60" s="79">
        <f t="shared" si="12"/>
        <v>46594</v>
      </c>
      <c r="F60" s="79">
        <f>IF(B59&gt;$C$18,"",IF(COUNTIF(Feriados!$A$2:$B$17,EDATE($C$38,B59))=0,EDATE($C$38,B59),EDATE($C$38,B59)+VLOOKUP(EDATE($C$38,B59),Feriados!$A$2:$B$17,2,FALSE)))</f>
        <v>46594</v>
      </c>
      <c r="G60" s="32">
        <f t="shared" si="13"/>
        <v>30</v>
      </c>
      <c r="H60" s="32">
        <f t="shared" si="14"/>
        <v>703</v>
      </c>
      <c r="I60" s="57">
        <f t="shared" ca="1" si="15"/>
        <v>30039.019157252311</v>
      </c>
      <c r="J60" s="57">
        <f t="shared" ca="1" si="16"/>
        <v>101.54174845489445</v>
      </c>
      <c r="K60" s="58">
        <f t="shared" ca="1" si="1"/>
        <v>944.66674806254775</v>
      </c>
      <c r="L60" s="58">
        <f t="shared" ca="1" si="17"/>
        <v>2433.160551737436</v>
      </c>
      <c r="M60" s="59">
        <f t="shared" si="2"/>
        <v>0</v>
      </c>
      <c r="N60" s="32">
        <f t="shared" si="3"/>
        <v>0</v>
      </c>
      <c r="O60" s="58">
        <f t="shared" ca="1" si="4"/>
        <v>3479.3690482548782</v>
      </c>
      <c r="P60" s="58">
        <f t="shared" ca="1" si="5"/>
        <v>29937.477408797415</v>
      </c>
      <c r="Q60" s="58">
        <f t="shared" ca="1" si="6"/>
        <v>8.232125906113115E-2</v>
      </c>
      <c r="R60" s="58">
        <f t="shared" ca="1" si="7"/>
        <v>8.232125906113115E-2</v>
      </c>
      <c r="T60" s="32">
        <f t="shared" ca="1" si="8"/>
        <v>3479.3690482548782</v>
      </c>
      <c r="U60" s="32">
        <f t="shared" si="9"/>
        <v>703</v>
      </c>
      <c r="V60" s="59">
        <f t="shared" si="10"/>
        <v>3.5879528080968361</v>
      </c>
      <c r="W60" s="57">
        <f t="shared" ca="1" si="11"/>
        <v>969.74</v>
      </c>
      <c r="X60" s="58">
        <f t="shared" ca="1" si="18"/>
        <v>2433.160551737436</v>
      </c>
      <c r="Y60" s="58">
        <f t="shared" ca="1" si="19"/>
        <v>2433.160551737436</v>
      </c>
    </row>
    <row r="61" spans="2:25" s="16" customFormat="1" x14ac:dyDescent="0.3">
      <c r="B61" s="32">
        <v>24</v>
      </c>
      <c r="C61" s="79">
        <f t="shared" si="20"/>
        <v>46625</v>
      </c>
      <c r="D61" s="32">
        <f t="shared" si="0"/>
        <v>4</v>
      </c>
      <c r="E61" s="79">
        <f t="shared" si="12"/>
        <v>46625</v>
      </c>
      <c r="F61" s="79">
        <f>IF(B60&gt;$C$18,"",IF(COUNTIF(Feriados!$A$2:$B$17,EDATE($C$38,B60))=0,EDATE($C$38,B60),EDATE($C$38,B60)+VLOOKUP(EDATE($C$38,B60),Feriados!$A$2:$B$17,2,FALSE)))</f>
        <v>46625</v>
      </c>
      <c r="G61" s="32">
        <f t="shared" si="13"/>
        <v>31</v>
      </c>
      <c r="H61" s="32">
        <f t="shared" si="14"/>
        <v>734</v>
      </c>
      <c r="I61" s="57">
        <f t="shared" ca="1" si="15"/>
        <v>29937.477408797415</v>
      </c>
      <c r="J61" s="57">
        <f t="shared" ca="1" si="16"/>
        <v>-3.0563917104447</v>
      </c>
      <c r="K61" s="58">
        <f t="shared" ca="1" si="1"/>
        <v>973.36073053620805</v>
      </c>
      <c r="L61" s="58">
        <f t="shared" ca="1" si="17"/>
        <v>2509.0647094291148</v>
      </c>
      <c r="M61" s="59">
        <f t="shared" si="2"/>
        <v>0</v>
      </c>
      <c r="N61" s="32">
        <f t="shared" si="3"/>
        <v>0</v>
      </c>
      <c r="O61" s="58">
        <f t="shared" ca="1" si="4"/>
        <v>3479.3690482548782</v>
      </c>
      <c r="P61" s="58">
        <f t="shared" ca="1" si="5"/>
        <v>29940.533800507859</v>
      </c>
      <c r="Q61" s="58">
        <f t="shared" ca="1" si="6"/>
        <v>7.373770755297139E-2</v>
      </c>
      <c r="R61" s="58">
        <f t="shared" ca="1" si="7"/>
        <v>7.373770755297139E-2</v>
      </c>
      <c r="T61" s="32">
        <f t="shared" ca="1" si="8"/>
        <v>3479.3690482548782</v>
      </c>
      <c r="U61" s="32">
        <f t="shared" si="9"/>
        <v>734</v>
      </c>
      <c r="V61" s="59">
        <f t="shared" si="10"/>
        <v>3.7958902508903316</v>
      </c>
      <c r="W61" s="57">
        <f t="shared" ca="1" si="11"/>
        <v>916.61</v>
      </c>
      <c r="X61" s="58">
        <f t="shared" ca="1" si="18"/>
        <v>2509.0647094291148</v>
      </c>
      <c r="Y61" s="58">
        <f t="shared" ca="1" si="19"/>
        <v>2509.0647094291148</v>
      </c>
    </row>
    <row r="62" spans="2:25" s="16" customFormat="1" x14ac:dyDescent="0.3">
      <c r="B62" s="32">
        <v>25</v>
      </c>
      <c r="C62" s="79">
        <f t="shared" si="20"/>
        <v>46657</v>
      </c>
      <c r="D62" s="32">
        <f t="shared" si="0"/>
        <v>1</v>
      </c>
      <c r="E62" s="79">
        <f t="shared" si="12"/>
        <v>46657</v>
      </c>
      <c r="F62" s="79">
        <f>IF(B61&gt;$C$18,"",IF(COUNTIF(Feriados!$A$2:$B$17,EDATE($C$38,B61))=0,EDATE($C$38,B61),EDATE($C$38,B61)+VLOOKUP(EDATE($C$38,B61),Feriados!$A$2:$B$17,2,FALSE)))</f>
        <v>46656</v>
      </c>
      <c r="G62" s="32">
        <f t="shared" si="13"/>
        <v>32</v>
      </c>
      <c r="H62" s="32">
        <f t="shared" si="14"/>
        <v>766</v>
      </c>
      <c r="I62" s="57">
        <f t="shared" ca="1" si="15"/>
        <v>29940.533800507859</v>
      </c>
      <c r="J62" s="57">
        <f t="shared" ca="1" si="16"/>
        <v>-119.69172648631911</v>
      </c>
      <c r="K62" s="58">
        <f t="shared" ca="1" si="1"/>
        <v>1005.3835569550624</v>
      </c>
      <c r="L62" s="58">
        <f t="shared" ca="1" si="17"/>
        <v>2593.6772177861349</v>
      </c>
      <c r="M62" s="59">
        <f t="shared" si="2"/>
        <v>0</v>
      </c>
      <c r="N62" s="32">
        <f t="shared" si="3"/>
        <v>0</v>
      </c>
      <c r="O62" s="58">
        <f t="shared" ca="1" si="4"/>
        <v>3479.3690482548782</v>
      </c>
      <c r="P62" s="58">
        <f t="shared" ca="1" si="5"/>
        <v>30060.225526994178</v>
      </c>
      <c r="Q62" s="58">
        <f t="shared" ca="1" si="6"/>
        <v>6.5814957005403629E-2</v>
      </c>
      <c r="R62" s="58">
        <f t="shared" ca="1" si="7"/>
        <v>6.5814957005403629E-2</v>
      </c>
      <c r="T62" s="32">
        <f t="shared" ca="1" si="8"/>
        <v>3479.3690482548782</v>
      </c>
      <c r="U62" s="32">
        <f t="shared" si="9"/>
        <v>766</v>
      </c>
      <c r="V62" s="59">
        <f t="shared" si="10"/>
        <v>4.0231833766424678</v>
      </c>
      <c r="W62" s="57">
        <f t="shared" ca="1" si="11"/>
        <v>864.83</v>
      </c>
      <c r="X62" s="58">
        <f t="shared" ca="1" si="18"/>
        <v>2593.6772177861349</v>
      </c>
      <c r="Y62" s="58">
        <f t="shared" ca="1" si="19"/>
        <v>2593.6772177861349</v>
      </c>
    </row>
    <row r="63" spans="2:25" s="16" customFormat="1" x14ac:dyDescent="0.3">
      <c r="B63" s="32">
        <v>26</v>
      </c>
      <c r="C63" s="79">
        <f t="shared" si="20"/>
        <v>46686</v>
      </c>
      <c r="D63" s="32">
        <f t="shared" si="0"/>
        <v>2</v>
      </c>
      <c r="E63" s="79">
        <f t="shared" si="12"/>
        <v>46686</v>
      </c>
      <c r="F63" s="79">
        <f>IF(B62&gt;$C$18,"",IF(COUNTIF(Feriados!$A$2:$B$17,EDATE($C$38,B62))=0,EDATE($C$38,B62),EDATE($C$38,B62)+VLOOKUP(EDATE($C$38,B62),Feriados!$A$2:$B$17,2,FALSE)))</f>
        <v>46686</v>
      </c>
      <c r="G63" s="32">
        <f t="shared" si="13"/>
        <v>29</v>
      </c>
      <c r="H63" s="32">
        <f t="shared" si="14"/>
        <v>795</v>
      </c>
      <c r="I63" s="57">
        <f t="shared" ca="1" si="15"/>
        <v>30060.225526994178</v>
      </c>
      <c r="J63" s="57">
        <f t="shared" ca="1" si="16"/>
        <v>215.39706672166722</v>
      </c>
      <c r="K63" s="58">
        <f t="shared" ca="1" si="1"/>
        <v>913.34866633980437</v>
      </c>
      <c r="L63" s="58">
        <f t="shared" ca="1" si="17"/>
        <v>2350.6233151934066</v>
      </c>
      <c r="M63" s="59">
        <f t="shared" si="2"/>
        <v>0</v>
      </c>
      <c r="N63" s="32">
        <f t="shared" si="3"/>
        <v>0</v>
      </c>
      <c r="O63" s="58">
        <f t="shared" ca="1" si="4"/>
        <v>3479.3690482548782</v>
      </c>
      <c r="P63" s="58">
        <f t="shared" ca="1" si="5"/>
        <v>29844.828460272511</v>
      </c>
      <c r="Q63" s="58">
        <f t="shared" ca="1" si="6"/>
        <v>5.9372801803235883E-2</v>
      </c>
      <c r="R63" s="58">
        <f t="shared" ca="1" si="7"/>
        <v>5.9372801803235883E-2</v>
      </c>
      <c r="T63" s="32">
        <f t="shared" ca="1" si="8"/>
        <v>3479.3690482548782</v>
      </c>
      <c r="U63" s="32">
        <f t="shared" si="9"/>
        <v>795</v>
      </c>
      <c r="V63" s="59">
        <f t="shared" si="10"/>
        <v>4.2409020512324904</v>
      </c>
      <c r="W63" s="57">
        <f t="shared" ca="1" si="11"/>
        <v>820.43</v>
      </c>
      <c r="X63" s="58">
        <f t="shared" ca="1" si="18"/>
        <v>2350.6233151934066</v>
      </c>
      <c r="Y63" s="58">
        <f t="shared" ca="1" si="19"/>
        <v>2350.6233151934066</v>
      </c>
    </row>
    <row r="64" spans="2:25" s="16" customFormat="1" x14ac:dyDescent="0.3">
      <c r="B64" s="32">
        <v>27</v>
      </c>
      <c r="C64" s="79">
        <f t="shared" si="20"/>
        <v>46717</v>
      </c>
      <c r="D64" s="32">
        <f t="shared" si="0"/>
        <v>5</v>
      </c>
      <c r="E64" s="79">
        <f t="shared" si="12"/>
        <v>46717</v>
      </c>
      <c r="F64" s="79">
        <f>IF(B63&gt;$C$18,"",IF(COUNTIF(Feriados!$A$2:$B$17,EDATE($C$38,B63))=0,EDATE($C$38,B63),EDATE($C$38,B63)+VLOOKUP(EDATE($C$38,B63),Feriados!$A$2:$B$17,2,FALSE)))</f>
        <v>46717</v>
      </c>
      <c r="G64" s="32">
        <f t="shared" si="13"/>
        <v>31</v>
      </c>
      <c r="H64" s="32">
        <f t="shared" si="14"/>
        <v>826</v>
      </c>
      <c r="I64" s="57">
        <f t="shared" ca="1" si="15"/>
        <v>29844.828460272511</v>
      </c>
      <c r="J64" s="57">
        <f t="shared" ca="1" si="16"/>
        <v>7.7208374770203818</v>
      </c>
      <c r="K64" s="58">
        <f t="shared" ca="1" si="1"/>
        <v>970.34842435595817</v>
      </c>
      <c r="L64" s="58">
        <f t="shared" ca="1" si="17"/>
        <v>2501.2997864218996</v>
      </c>
      <c r="M64" s="59">
        <f t="shared" si="2"/>
        <v>0</v>
      </c>
      <c r="N64" s="32">
        <f t="shared" si="3"/>
        <v>0</v>
      </c>
      <c r="O64" s="58">
        <f t="shared" ca="1" si="4"/>
        <v>3479.3690482548782</v>
      </c>
      <c r="P64" s="58">
        <f t="shared" ca="1" si="5"/>
        <v>29837.107622795491</v>
      </c>
      <c r="Q64" s="58">
        <f t="shared" ca="1" si="6"/>
        <v>5.3182061910842029E-2</v>
      </c>
      <c r="R64" s="58">
        <f t="shared" ca="1" si="7"/>
        <v>5.3182061910842029E-2</v>
      </c>
      <c r="T64" s="32">
        <f t="shared" ca="1" si="8"/>
        <v>3479.3690482548782</v>
      </c>
      <c r="U64" s="32">
        <f t="shared" si="9"/>
        <v>826</v>
      </c>
      <c r="V64" s="59">
        <f t="shared" si="10"/>
        <v>4.4866807375298521</v>
      </c>
      <c r="W64" s="57">
        <f t="shared" ca="1" si="11"/>
        <v>775.49</v>
      </c>
      <c r="X64" s="58">
        <f t="shared" ca="1" si="18"/>
        <v>2501.2997864218996</v>
      </c>
      <c r="Y64" s="58">
        <f t="shared" ca="1" si="19"/>
        <v>2501.2997864218996</v>
      </c>
    </row>
    <row r="65" spans="2:25" s="16" customFormat="1" x14ac:dyDescent="0.3">
      <c r="B65" s="32">
        <v>28</v>
      </c>
      <c r="C65" s="79">
        <f t="shared" si="20"/>
        <v>46748</v>
      </c>
      <c r="D65" s="32">
        <f t="shared" si="0"/>
        <v>1</v>
      </c>
      <c r="E65" s="79">
        <f t="shared" si="12"/>
        <v>46748</v>
      </c>
      <c r="F65" s="79">
        <f>IF(B64&gt;$C$18,"",IF(COUNTIF(Feriados!$A$2:$B$17,EDATE($C$38,B64))=0,EDATE($C$38,B64),EDATE($C$38,B64)+VLOOKUP(EDATE($C$38,B64),Feriados!$A$2:$B$17,2,FALSE)))</f>
        <v>46747</v>
      </c>
      <c r="G65" s="32">
        <f t="shared" si="13"/>
        <v>31</v>
      </c>
      <c r="H65" s="32">
        <f t="shared" si="14"/>
        <v>857</v>
      </c>
      <c r="I65" s="57">
        <f t="shared" ca="1" si="15"/>
        <v>29837.107622795491</v>
      </c>
      <c r="J65" s="57">
        <f t="shared" ca="1" si="16"/>
        <v>8.6189505839018921</v>
      </c>
      <c r="K65" s="58">
        <f t="shared" ca="1" si="1"/>
        <v>970.0973958573187</v>
      </c>
      <c r="L65" s="58">
        <f t="shared" ca="1" si="17"/>
        <v>2500.6527018136576</v>
      </c>
      <c r="M65" s="59">
        <f t="shared" si="2"/>
        <v>0</v>
      </c>
      <c r="N65" s="32">
        <f t="shared" si="3"/>
        <v>0</v>
      </c>
      <c r="O65" s="58">
        <f t="shared" ca="1" si="4"/>
        <v>3479.3690482548782</v>
      </c>
      <c r="P65" s="58">
        <f t="shared" ca="1" si="5"/>
        <v>29828.488672211588</v>
      </c>
      <c r="Q65" s="58">
        <f t="shared" ca="1" si="6"/>
        <v>4.7636823986542703E-2</v>
      </c>
      <c r="R65" s="58">
        <f t="shared" ca="1" si="7"/>
        <v>4.7636823986542703E-2</v>
      </c>
      <c r="T65" s="32">
        <f t="shared" ca="1" si="8"/>
        <v>3479.3690482548782</v>
      </c>
      <c r="U65" s="32">
        <f t="shared" si="9"/>
        <v>857</v>
      </c>
      <c r="V65" s="59">
        <f t="shared" si="10"/>
        <v>4.7467033657783162</v>
      </c>
      <c r="W65" s="57">
        <f t="shared" ca="1" si="11"/>
        <v>733.01</v>
      </c>
      <c r="X65" s="58">
        <f t="shared" ca="1" si="18"/>
        <v>2500.6527018136576</v>
      </c>
      <c r="Y65" s="58">
        <f t="shared" ca="1" si="19"/>
        <v>2500.6527018136576</v>
      </c>
    </row>
    <row r="66" spans="2:25" s="16" customFormat="1" x14ac:dyDescent="0.3">
      <c r="B66" s="32">
        <v>29</v>
      </c>
      <c r="C66" s="79">
        <f t="shared" si="20"/>
        <v>46778</v>
      </c>
      <c r="D66" s="32">
        <f t="shared" si="0"/>
        <v>3</v>
      </c>
      <c r="E66" s="79">
        <f t="shared" si="12"/>
        <v>46778</v>
      </c>
      <c r="F66" s="79">
        <f>IF(B65&gt;$C$18,"",IF(COUNTIF(Feriados!$A$2:$B$17,EDATE($C$38,B65))=0,EDATE($C$38,B65),EDATE($C$38,B65)+VLOOKUP(EDATE($C$38,B65),Feriados!$A$2:$B$17,2,FALSE)))</f>
        <v>46778</v>
      </c>
      <c r="G66" s="32">
        <f t="shared" si="13"/>
        <v>30</v>
      </c>
      <c r="H66" s="32">
        <f t="shared" si="14"/>
        <v>887</v>
      </c>
      <c r="I66" s="57">
        <f t="shared" ca="1" si="15"/>
        <v>29828.488672211588</v>
      </c>
      <c r="J66" s="57">
        <f t="shared" ca="1" si="16"/>
        <v>125.21547814919404</v>
      </c>
      <c r="K66" s="58">
        <f t="shared" ca="1" si="1"/>
        <v>938.04598765654646</v>
      </c>
      <c r="L66" s="58">
        <f t="shared" ca="1" si="17"/>
        <v>2416.1075824491377</v>
      </c>
      <c r="M66" s="59">
        <f t="shared" si="2"/>
        <v>0</v>
      </c>
      <c r="N66" s="32">
        <f t="shared" si="3"/>
        <v>0</v>
      </c>
      <c r="O66" s="58">
        <f t="shared" ca="1" si="4"/>
        <v>3479.3690482548782</v>
      </c>
      <c r="P66" s="58">
        <f t="shared" ca="1" si="5"/>
        <v>29703.273194062393</v>
      </c>
      <c r="Q66" s="58">
        <f t="shared" ca="1" si="6"/>
        <v>4.2821619034623823E-2</v>
      </c>
      <c r="R66" s="58">
        <f t="shared" ca="1" si="7"/>
        <v>4.2821619034623823E-2</v>
      </c>
      <c r="T66" s="32">
        <f t="shared" ca="1" si="8"/>
        <v>3479.3690482548782</v>
      </c>
      <c r="U66" s="32">
        <f t="shared" si="9"/>
        <v>887</v>
      </c>
      <c r="V66" s="59">
        <f t="shared" si="10"/>
        <v>5.0126774709971409</v>
      </c>
      <c r="W66" s="57">
        <f t="shared" ca="1" si="11"/>
        <v>694.11</v>
      </c>
      <c r="X66" s="58">
        <f t="shared" ca="1" si="18"/>
        <v>2416.1075824491377</v>
      </c>
      <c r="Y66" s="58">
        <f t="shared" ca="1" si="19"/>
        <v>2416.1075824491377</v>
      </c>
    </row>
    <row r="67" spans="2:25" s="16" customFormat="1" x14ac:dyDescent="0.3">
      <c r="B67" s="32">
        <v>30</v>
      </c>
      <c r="C67" s="79">
        <f t="shared" si="20"/>
        <v>46809</v>
      </c>
      <c r="D67" s="32">
        <f t="shared" si="0"/>
        <v>6</v>
      </c>
      <c r="E67" s="79">
        <f t="shared" si="12"/>
        <v>46809</v>
      </c>
      <c r="F67" s="79">
        <f>IF(B66&gt;$C$18,"",IF(COUNTIF(Feriados!$A$2:$B$17,EDATE($C$38,B66))=0,EDATE($C$38,B66),EDATE($C$38,B66)+VLOOKUP(EDATE($C$38,B66),Feriados!$A$2:$B$17,2,FALSE)))</f>
        <v>46809</v>
      </c>
      <c r="G67" s="32">
        <f t="shared" si="13"/>
        <v>31</v>
      </c>
      <c r="H67" s="32">
        <f t="shared" si="14"/>
        <v>918</v>
      </c>
      <c r="I67" s="57">
        <f t="shared" ca="1" si="15"/>
        <v>29703.273194062393</v>
      </c>
      <c r="J67" s="57">
        <f t="shared" ca="1" si="16"/>
        <v>24.187009742634018</v>
      </c>
      <c r="K67" s="58">
        <f t="shared" ca="1" si="1"/>
        <v>965.74602130615949</v>
      </c>
      <c r="L67" s="58">
        <f t="shared" ca="1" si="17"/>
        <v>2489.4360172060847</v>
      </c>
      <c r="M67" s="59">
        <f t="shared" si="2"/>
        <v>0</v>
      </c>
      <c r="N67" s="32">
        <f t="shared" si="3"/>
        <v>0</v>
      </c>
      <c r="O67" s="58">
        <f t="shared" ca="1" si="4"/>
        <v>3479.3690482548782</v>
      </c>
      <c r="P67" s="58">
        <f t="shared" ca="1" si="5"/>
        <v>29679.08618431976</v>
      </c>
      <c r="Q67" s="58">
        <f t="shared" ca="1" si="6"/>
        <v>3.8356653643684686E-2</v>
      </c>
      <c r="R67" s="58">
        <f t="shared" ca="1" si="7"/>
        <v>3.8356653643684686E-2</v>
      </c>
      <c r="T67" s="32">
        <f t="shared" ca="1" si="8"/>
        <v>3479.3690482548782</v>
      </c>
      <c r="U67" s="32">
        <f t="shared" si="9"/>
        <v>918</v>
      </c>
      <c r="V67" s="59">
        <f t="shared" si="10"/>
        <v>5.3031838936333386</v>
      </c>
      <c r="W67" s="57">
        <f t="shared" ca="1" si="11"/>
        <v>656.09</v>
      </c>
      <c r="X67" s="58">
        <f t="shared" ca="1" si="18"/>
        <v>2489.4360172060847</v>
      </c>
      <c r="Y67" s="58">
        <f t="shared" ca="1" si="19"/>
        <v>2489.4360172060847</v>
      </c>
    </row>
    <row r="68" spans="2:25" s="16" customFormat="1" x14ac:dyDescent="0.3">
      <c r="B68" s="32">
        <v>31</v>
      </c>
      <c r="C68" s="79">
        <f t="shared" si="20"/>
        <v>46839</v>
      </c>
      <c r="D68" s="32">
        <f t="shared" si="0"/>
        <v>1</v>
      </c>
      <c r="E68" s="79">
        <f t="shared" si="12"/>
        <v>46839</v>
      </c>
      <c r="F68" s="79">
        <f>IF(B67&gt;$C$18,"",IF(COUNTIF(Feriados!$A$2:$B$17,EDATE($C$38,B67))=0,EDATE($C$38,B67),EDATE($C$38,B67)+VLOOKUP(EDATE($C$38,B67),Feriados!$A$2:$B$17,2,FALSE)))</f>
        <v>46838</v>
      </c>
      <c r="G68" s="32">
        <f t="shared" si="13"/>
        <v>30</v>
      </c>
      <c r="H68" s="32">
        <f t="shared" si="14"/>
        <v>948</v>
      </c>
      <c r="I68" s="57">
        <f t="shared" ca="1" si="15"/>
        <v>29679.08618431976</v>
      </c>
      <c r="J68" s="57">
        <f t="shared" ca="1" si="16"/>
        <v>142.01548748429298</v>
      </c>
      <c r="K68" s="58">
        <f t="shared" ca="1" si="1"/>
        <v>933.34757984068563</v>
      </c>
      <c r="L68" s="58">
        <f t="shared" ca="1" si="17"/>
        <v>2404.0059809298996</v>
      </c>
      <c r="M68" s="59">
        <f t="shared" si="2"/>
        <v>0</v>
      </c>
      <c r="N68" s="32">
        <f t="shared" si="3"/>
        <v>0</v>
      </c>
      <c r="O68" s="58">
        <f t="shared" ca="1" si="4"/>
        <v>3479.3690482548782</v>
      </c>
      <c r="P68" s="58">
        <f t="shared" ca="1" si="5"/>
        <v>29537.070696835468</v>
      </c>
      <c r="Q68" s="58">
        <f t="shared" ca="1" si="6"/>
        <v>3.4479502878631926E-2</v>
      </c>
      <c r="R68" s="58">
        <f t="shared" ca="1" si="7"/>
        <v>3.4479502878631926E-2</v>
      </c>
      <c r="T68" s="32">
        <f t="shared" ca="1" si="8"/>
        <v>3479.3690482548782</v>
      </c>
      <c r="U68" s="32">
        <f t="shared" si="9"/>
        <v>948</v>
      </c>
      <c r="V68" s="59">
        <f t="shared" si="10"/>
        <v>5.6003395155938716</v>
      </c>
      <c r="W68" s="57">
        <f t="shared" ca="1" si="11"/>
        <v>621.28</v>
      </c>
      <c r="X68" s="58">
        <f t="shared" ca="1" si="18"/>
        <v>2404.0059809298996</v>
      </c>
      <c r="Y68" s="58">
        <f t="shared" ca="1" si="19"/>
        <v>2404.0059809298996</v>
      </c>
    </row>
    <row r="69" spans="2:25" s="16" customFormat="1" x14ac:dyDescent="0.3">
      <c r="B69" s="32">
        <v>32</v>
      </c>
      <c r="C69" s="79">
        <f t="shared" si="20"/>
        <v>46869</v>
      </c>
      <c r="D69" s="32">
        <f t="shared" si="0"/>
        <v>3</v>
      </c>
      <c r="E69" s="79">
        <f t="shared" si="12"/>
        <v>46869</v>
      </c>
      <c r="F69" s="79">
        <f>IF(B68&gt;$C$18,"",IF(COUNTIF(Feriados!$A$2:$B$17,EDATE($C$38,B68))=0,EDATE($C$38,B68),EDATE($C$38,B68)+VLOOKUP(EDATE($C$38,B68),Feriados!$A$2:$B$17,2,FALSE)))</f>
        <v>46869</v>
      </c>
      <c r="G69" s="32">
        <f t="shared" si="13"/>
        <v>30</v>
      </c>
      <c r="H69" s="32">
        <f t="shared" si="14"/>
        <v>978</v>
      </c>
      <c r="I69" s="57">
        <f t="shared" ca="1" si="15"/>
        <v>29537.070696835468</v>
      </c>
      <c r="J69" s="57">
        <f t="shared" ca="1" si="16"/>
        <v>157.9848434778304</v>
      </c>
      <c r="K69" s="58">
        <f t="shared" ca="1" si="1"/>
        <v>928.88147833337609</v>
      </c>
      <c r="L69" s="58">
        <f t="shared" ca="1" si="17"/>
        <v>2392.5027264436717</v>
      </c>
      <c r="M69" s="59">
        <f t="shared" si="2"/>
        <v>0</v>
      </c>
      <c r="N69" s="32">
        <f t="shared" si="3"/>
        <v>0</v>
      </c>
      <c r="O69" s="58">
        <f t="shared" ca="1" si="4"/>
        <v>3479.3690482548782</v>
      </c>
      <c r="P69" s="58">
        <f t="shared" ca="1" si="5"/>
        <v>29379.085853357639</v>
      </c>
      <c r="Q69" s="58">
        <f t="shared" ca="1" si="6"/>
        <v>3.0994260599512064E-2</v>
      </c>
      <c r="R69" s="58">
        <f t="shared" ca="1" si="7"/>
        <v>3.0994260599512064E-2</v>
      </c>
      <c r="T69" s="32">
        <f t="shared" ca="1" si="8"/>
        <v>3479.3690482548782</v>
      </c>
      <c r="U69" s="32">
        <f t="shared" si="9"/>
        <v>978</v>
      </c>
      <c r="V69" s="59">
        <f t="shared" si="10"/>
        <v>5.9141457884527755</v>
      </c>
      <c r="W69" s="57">
        <f t="shared" ca="1" si="11"/>
        <v>588.30999999999995</v>
      </c>
      <c r="X69" s="58">
        <f t="shared" ca="1" si="18"/>
        <v>2392.5027264436717</v>
      </c>
      <c r="Y69" s="58">
        <f t="shared" ca="1" si="19"/>
        <v>2392.5027264436717</v>
      </c>
    </row>
    <row r="70" spans="2:25" s="16" customFormat="1" x14ac:dyDescent="0.3">
      <c r="B70" s="32">
        <v>33</v>
      </c>
      <c r="C70" s="79">
        <f t="shared" si="20"/>
        <v>46899</v>
      </c>
      <c r="D70" s="32">
        <f t="shared" si="0"/>
        <v>5</v>
      </c>
      <c r="E70" s="79">
        <f t="shared" si="12"/>
        <v>46899</v>
      </c>
      <c r="F70" s="79">
        <f>IF(B69&gt;$C$18,"",IF(COUNTIF(Feriados!$A$2:$B$17,EDATE($C$38,B69))=0,EDATE($C$38,B69),EDATE($C$38,B69)+VLOOKUP(EDATE($C$38,B69),Feriados!$A$2:$B$17,2,FALSE)))</f>
        <v>46899</v>
      </c>
      <c r="G70" s="32">
        <f t="shared" si="13"/>
        <v>30</v>
      </c>
      <c r="H70" s="32">
        <f t="shared" si="14"/>
        <v>1008</v>
      </c>
      <c r="I70" s="57">
        <f t="shared" ca="1" si="15"/>
        <v>29379.085853357639</v>
      </c>
      <c r="J70" s="57">
        <f t="shared" ca="1" si="16"/>
        <v>175.74992144061036</v>
      </c>
      <c r="K70" s="58">
        <f t="shared" ca="1" si="1"/>
        <v>923.91317269230001</v>
      </c>
      <c r="L70" s="58">
        <f t="shared" ca="1" si="17"/>
        <v>2379.7059541219678</v>
      </c>
      <c r="M70" s="59">
        <f t="shared" si="2"/>
        <v>0</v>
      </c>
      <c r="N70" s="32">
        <f t="shared" si="3"/>
        <v>0</v>
      </c>
      <c r="O70" s="58">
        <f t="shared" ca="1" si="4"/>
        <v>3479.3690482548782</v>
      </c>
      <c r="P70" s="58">
        <f t="shared" ca="1" si="5"/>
        <v>29203.33593191703</v>
      </c>
      <c r="Q70" s="58">
        <f t="shared" ca="1" si="6"/>
        <v>2.7861312081323811E-2</v>
      </c>
      <c r="R70" s="58">
        <f t="shared" ca="1" si="7"/>
        <v>2.7861312081323811E-2</v>
      </c>
      <c r="T70" s="32">
        <f t="shared" ca="1" si="8"/>
        <v>3479.3690482548782</v>
      </c>
      <c r="U70" s="32">
        <f t="shared" si="9"/>
        <v>1008</v>
      </c>
      <c r="V70" s="59">
        <f t="shared" si="10"/>
        <v>6.2455357054124327</v>
      </c>
      <c r="W70" s="57">
        <f t="shared" ca="1" si="11"/>
        <v>557.1</v>
      </c>
      <c r="X70" s="58">
        <f t="shared" ca="1" si="18"/>
        <v>2379.7059541219678</v>
      </c>
      <c r="Y70" s="58">
        <f t="shared" ca="1" si="19"/>
        <v>2379.7059541219678</v>
      </c>
    </row>
    <row r="71" spans="2:25" s="16" customFormat="1" x14ac:dyDescent="0.3">
      <c r="B71" s="32">
        <v>34</v>
      </c>
      <c r="C71" s="79">
        <f t="shared" si="20"/>
        <v>46930</v>
      </c>
      <c r="D71" s="32">
        <f t="shared" si="0"/>
        <v>1</v>
      </c>
      <c r="E71" s="79">
        <f t="shared" si="12"/>
        <v>46930</v>
      </c>
      <c r="F71" s="79">
        <f>IF(B70&gt;$C$18,"",IF(COUNTIF(Feriados!$A$2:$B$17,EDATE($C$38,B70))=0,EDATE($C$38,B70),EDATE($C$38,B70)+VLOOKUP(EDATE($C$38,B70),Feriados!$A$2:$B$17,2,FALSE)))</f>
        <v>46930</v>
      </c>
      <c r="G71" s="32">
        <f t="shared" si="13"/>
        <v>31</v>
      </c>
      <c r="H71" s="32">
        <f t="shared" si="14"/>
        <v>1039</v>
      </c>
      <c r="I71" s="57">
        <f t="shared" ca="1" si="15"/>
        <v>29203.33593191703</v>
      </c>
      <c r="J71" s="57">
        <f t="shared" ca="1" si="16"/>
        <v>82.341349746245101</v>
      </c>
      <c r="K71" s="58">
        <f t="shared" ca="1" si="1"/>
        <v>949.49150219423575</v>
      </c>
      <c r="L71" s="58">
        <f t="shared" ca="1" si="17"/>
        <v>2447.5361963143973</v>
      </c>
      <c r="M71" s="59">
        <f t="shared" si="2"/>
        <v>0</v>
      </c>
      <c r="N71" s="32">
        <f t="shared" si="3"/>
        <v>0</v>
      </c>
      <c r="O71" s="58">
        <f t="shared" ca="1" si="4"/>
        <v>3479.3690482548782</v>
      </c>
      <c r="P71" s="58">
        <f t="shared" ca="1" si="5"/>
        <v>29120.994582170784</v>
      </c>
      <c r="Q71" s="58">
        <f t="shared" ca="1" si="6"/>
        <v>2.4956242235910402E-2</v>
      </c>
      <c r="R71" s="58">
        <f t="shared" ca="1" si="7"/>
        <v>2.4956242235910402E-2</v>
      </c>
      <c r="T71" s="32">
        <f t="shared" ca="1" si="8"/>
        <v>3479.3690482548782</v>
      </c>
      <c r="U71" s="32">
        <f t="shared" si="9"/>
        <v>1039</v>
      </c>
      <c r="V71" s="59">
        <f t="shared" si="10"/>
        <v>6.6074916153475458</v>
      </c>
      <c r="W71" s="57">
        <f t="shared" ca="1" si="11"/>
        <v>526.58000000000004</v>
      </c>
      <c r="X71" s="58">
        <f t="shared" ca="1" si="18"/>
        <v>2447.5361963143973</v>
      </c>
      <c r="Y71" s="58">
        <f t="shared" ca="1" si="19"/>
        <v>2447.5361963143973</v>
      </c>
    </row>
    <row r="72" spans="2:25" s="16" customFormat="1" x14ac:dyDescent="0.3">
      <c r="B72" s="32">
        <v>35</v>
      </c>
      <c r="C72" s="79">
        <f t="shared" si="20"/>
        <v>46960</v>
      </c>
      <c r="D72" s="32">
        <f t="shared" si="0"/>
        <v>3</v>
      </c>
      <c r="E72" s="79">
        <f t="shared" si="12"/>
        <v>46960</v>
      </c>
      <c r="F72" s="79">
        <f>IF(B71&gt;$C$18,"",IF(COUNTIF(Feriados!$A$2:$B$17,EDATE($C$38,B71))=0,EDATE($C$38,B71),EDATE($C$38,B71)+VLOOKUP(EDATE($C$38,B71),Feriados!$A$2:$B$17,2,FALSE)))</f>
        <v>46960</v>
      </c>
      <c r="G72" s="32">
        <f t="shared" si="13"/>
        <v>30</v>
      </c>
      <c r="H72" s="32">
        <f t="shared" si="14"/>
        <v>1069</v>
      </c>
      <c r="I72" s="57">
        <f t="shared" ca="1" si="15"/>
        <v>29120.994582170784</v>
      </c>
      <c r="J72" s="57">
        <f t="shared" ca="1" si="16"/>
        <v>204.77176589868986</v>
      </c>
      <c r="K72" s="58">
        <f t="shared" ca="1" si="1"/>
        <v>915.79672120035593</v>
      </c>
      <c r="L72" s="58">
        <f t="shared" ca="1" si="17"/>
        <v>2358.8005611558324</v>
      </c>
      <c r="M72" s="59">
        <f t="shared" si="2"/>
        <v>0</v>
      </c>
      <c r="N72" s="32">
        <f t="shared" si="3"/>
        <v>0</v>
      </c>
      <c r="O72" s="58">
        <f t="shared" ca="1" si="4"/>
        <v>3479.3690482548782</v>
      </c>
      <c r="P72" s="58">
        <f t="shared" ca="1" si="5"/>
        <v>28916.222816272093</v>
      </c>
      <c r="Q72" s="58">
        <f t="shared" ca="1" si="6"/>
        <v>2.2433626092785704E-2</v>
      </c>
      <c r="R72" s="58">
        <f t="shared" ca="1" si="7"/>
        <v>2.2433626092785704E-2</v>
      </c>
      <c r="T72" s="32">
        <f t="shared" ca="1" si="8"/>
        <v>3479.3690482548782</v>
      </c>
      <c r="U72" s="32">
        <f t="shared" si="9"/>
        <v>1069</v>
      </c>
      <c r="V72" s="59">
        <f t="shared" si="10"/>
        <v>6.9777320821951703</v>
      </c>
      <c r="W72" s="57">
        <f t="shared" ca="1" si="11"/>
        <v>498.64</v>
      </c>
      <c r="X72" s="58">
        <f t="shared" ca="1" si="18"/>
        <v>2358.8005611558324</v>
      </c>
      <c r="Y72" s="58">
        <f t="shared" ca="1" si="19"/>
        <v>2358.8005611558324</v>
      </c>
    </row>
    <row r="73" spans="2:25" s="16" customFormat="1" x14ac:dyDescent="0.3">
      <c r="B73" s="32">
        <v>36</v>
      </c>
      <c r="C73" s="79">
        <f t="shared" si="20"/>
        <v>46991</v>
      </c>
      <c r="D73" s="32">
        <f t="shared" si="0"/>
        <v>6</v>
      </c>
      <c r="E73" s="79">
        <f t="shared" si="12"/>
        <v>46991</v>
      </c>
      <c r="F73" s="79">
        <f>IF(B72&gt;$C$18,"",IF(COUNTIF(Feriados!$A$2:$B$17,EDATE($C$38,B72))=0,EDATE($C$38,B72),EDATE($C$38,B72)+VLOOKUP(EDATE($C$38,B72),Feriados!$A$2:$B$17,2,FALSE)))</f>
        <v>46991</v>
      </c>
      <c r="G73" s="32">
        <f t="shared" si="13"/>
        <v>31</v>
      </c>
      <c r="H73" s="32">
        <f t="shared" si="14"/>
        <v>1100</v>
      </c>
      <c r="I73" s="57">
        <f t="shared" ca="1" si="15"/>
        <v>28916.222816272093</v>
      </c>
      <c r="J73" s="57">
        <f t="shared" ca="1" si="16"/>
        <v>115.73928786964257</v>
      </c>
      <c r="K73" s="58">
        <f t="shared" ca="1" si="1"/>
        <v>940.15655963462791</v>
      </c>
      <c r="L73" s="58">
        <f t="shared" ca="1" si="17"/>
        <v>2423.4732007506077</v>
      </c>
      <c r="M73" s="59">
        <f t="shared" si="2"/>
        <v>0</v>
      </c>
      <c r="N73" s="32">
        <f t="shared" si="3"/>
        <v>0</v>
      </c>
      <c r="O73" s="58">
        <f t="shared" ca="1" si="4"/>
        <v>3479.3690482548782</v>
      </c>
      <c r="P73" s="58">
        <f t="shared" ca="1" si="5"/>
        <v>28800.483528402452</v>
      </c>
      <c r="Q73" s="58">
        <f t="shared" ca="1" si="6"/>
        <v>2.0094495383678978E-2</v>
      </c>
      <c r="R73" s="58">
        <f t="shared" ca="1" si="7"/>
        <v>2.0094495383678978E-2</v>
      </c>
      <c r="T73" s="32">
        <f t="shared" ca="1" si="8"/>
        <v>3479.3690482548782</v>
      </c>
      <c r="U73" s="32">
        <f t="shared" si="9"/>
        <v>1100</v>
      </c>
      <c r="V73" s="59">
        <f t="shared" si="10"/>
        <v>7.3821219510907463</v>
      </c>
      <c r="W73" s="57">
        <f t="shared" ca="1" si="11"/>
        <v>471.32</v>
      </c>
      <c r="X73" s="58">
        <f t="shared" ca="1" si="18"/>
        <v>2423.4732007506077</v>
      </c>
      <c r="Y73" s="58">
        <f t="shared" ca="1" si="19"/>
        <v>2423.4732007506077</v>
      </c>
    </row>
    <row r="74" spans="2:25" s="16" customFormat="1" x14ac:dyDescent="0.3">
      <c r="B74" s="32">
        <v>37</v>
      </c>
      <c r="C74" s="79">
        <f t="shared" si="20"/>
        <v>47022</v>
      </c>
      <c r="D74" s="32">
        <f t="shared" si="0"/>
        <v>2</v>
      </c>
      <c r="E74" s="79">
        <f t="shared" si="12"/>
        <v>47022</v>
      </c>
      <c r="F74" s="79">
        <f>IF(B73&gt;$C$18,"",IF(COUNTIF(Feriados!$A$2:$B$17,EDATE($C$38,B73))=0,EDATE($C$38,B73),EDATE($C$38,B73)+VLOOKUP(EDATE($C$38,B73),Feriados!$A$2:$B$17,2,FALSE)))</f>
        <v>47022</v>
      </c>
      <c r="G74" s="32">
        <f t="shared" si="13"/>
        <v>31</v>
      </c>
      <c r="H74" s="32">
        <f t="shared" si="14"/>
        <v>1131</v>
      </c>
      <c r="I74" s="57">
        <f t="shared" ca="1" si="15"/>
        <v>28800.483528402452</v>
      </c>
      <c r="J74" s="57">
        <f t="shared" ca="1" si="16"/>
        <v>129.20246096793028</v>
      </c>
      <c r="K74" s="58">
        <f t="shared" ca="1" si="1"/>
        <v>936.39351453051938</v>
      </c>
      <c r="L74" s="58">
        <f t="shared" ca="1" si="17"/>
        <v>2413.7730727564285</v>
      </c>
      <c r="M74" s="59">
        <f t="shared" si="2"/>
        <v>0</v>
      </c>
      <c r="N74" s="32">
        <f t="shared" si="3"/>
        <v>0</v>
      </c>
      <c r="O74" s="58">
        <f t="shared" ca="1" si="4"/>
        <v>3479.3690482548782</v>
      </c>
      <c r="P74" s="58">
        <f t="shared" ca="1" si="5"/>
        <v>28671.28106743452</v>
      </c>
      <c r="Q74" s="58">
        <f t="shared" ca="1" si="6"/>
        <v>1.7999263385001657E-2</v>
      </c>
      <c r="R74" s="58">
        <f t="shared" ca="1" si="7"/>
        <v>1.7999263385001657E-2</v>
      </c>
      <c r="T74" s="32">
        <f t="shared" ca="1" si="8"/>
        <v>3479.3690482548782</v>
      </c>
      <c r="U74" s="32">
        <f t="shared" si="9"/>
        <v>1131</v>
      </c>
      <c r="V74" s="59">
        <f t="shared" si="10"/>
        <v>7.809947968600091</v>
      </c>
      <c r="W74" s="57">
        <f t="shared" ca="1" si="11"/>
        <v>445.5</v>
      </c>
      <c r="X74" s="58">
        <f t="shared" ca="1" si="18"/>
        <v>2413.7730727564285</v>
      </c>
      <c r="Y74" s="58">
        <f t="shared" ca="1" si="19"/>
        <v>2413.7730727564285</v>
      </c>
    </row>
    <row r="75" spans="2:25" s="16" customFormat="1" x14ac:dyDescent="0.3">
      <c r="B75" s="32">
        <v>38</v>
      </c>
      <c r="C75" s="79">
        <f t="shared" si="20"/>
        <v>47052</v>
      </c>
      <c r="D75" s="32">
        <f t="shared" si="0"/>
        <v>4</v>
      </c>
      <c r="E75" s="79">
        <f t="shared" si="12"/>
        <v>47052</v>
      </c>
      <c r="F75" s="79">
        <f>IF(B74&gt;$C$18,"",IF(COUNTIF(Feriados!$A$2:$B$17,EDATE($C$38,B74))=0,EDATE($C$38,B74),EDATE($C$38,B74)+VLOOKUP(EDATE($C$38,B74),Feriados!$A$2:$B$17,2,FALSE)))</f>
        <v>47052</v>
      </c>
      <c r="G75" s="32">
        <f t="shared" si="13"/>
        <v>30</v>
      </c>
      <c r="H75" s="32">
        <f t="shared" si="14"/>
        <v>1161</v>
      </c>
      <c r="I75" s="57">
        <f t="shared" ca="1" si="15"/>
        <v>28671.28106743452</v>
      </c>
      <c r="J75" s="57">
        <f t="shared" ca="1" si="16"/>
        <v>255.34114631730495</v>
      </c>
      <c r="K75" s="58">
        <f t="shared" ca="1" si="1"/>
        <v>901.65413547537833</v>
      </c>
      <c r="L75" s="58">
        <f t="shared" ca="1" si="17"/>
        <v>2322.3737664621949</v>
      </c>
      <c r="M75" s="59">
        <f t="shared" si="2"/>
        <v>0</v>
      </c>
      <c r="N75" s="32">
        <f t="shared" si="3"/>
        <v>0</v>
      </c>
      <c r="O75" s="58">
        <f t="shared" ca="1" si="4"/>
        <v>3479.3690482548782</v>
      </c>
      <c r="P75" s="58">
        <f t="shared" ca="1" si="5"/>
        <v>28415.939921117217</v>
      </c>
      <c r="Q75" s="58">
        <f t="shared" ca="1" si="6"/>
        <v>1.6179869585640976E-2</v>
      </c>
      <c r="R75" s="58">
        <f t="shared" ca="1" si="7"/>
        <v>1.6179869585640976E-2</v>
      </c>
      <c r="T75" s="32">
        <f t="shared" ca="1" si="8"/>
        <v>3479.3690482548782</v>
      </c>
      <c r="U75" s="32">
        <f t="shared" si="9"/>
        <v>1161</v>
      </c>
      <c r="V75" s="59">
        <f t="shared" si="10"/>
        <v>8.2475661980706807</v>
      </c>
      <c r="W75" s="57">
        <f t="shared" ca="1" si="11"/>
        <v>421.87</v>
      </c>
      <c r="X75" s="58">
        <f t="shared" ca="1" si="18"/>
        <v>2322.3737664621949</v>
      </c>
      <c r="Y75" s="58">
        <f t="shared" ca="1" si="19"/>
        <v>2322.3737664621949</v>
      </c>
    </row>
    <row r="76" spans="2:25" s="16" customFormat="1" x14ac:dyDescent="0.3">
      <c r="B76" s="32">
        <v>39</v>
      </c>
      <c r="C76" s="79">
        <f t="shared" si="20"/>
        <v>47084</v>
      </c>
      <c r="D76" s="32">
        <f t="shared" si="0"/>
        <v>1</v>
      </c>
      <c r="E76" s="79">
        <f t="shared" si="12"/>
        <v>47084</v>
      </c>
      <c r="F76" s="79">
        <f>IF(B75&gt;$C$18,"",IF(COUNTIF(Feriados!$A$2:$B$17,EDATE($C$38,B75))=0,EDATE($C$38,B75),EDATE($C$38,B75)+VLOOKUP(EDATE($C$38,B75),Feriados!$A$2:$B$17,2,FALSE)))</f>
        <v>47083</v>
      </c>
      <c r="G76" s="32">
        <f t="shared" si="13"/>
        <v>32</v>
      </c>
      <c r="H76" s="32">
        <f t="shared" si="14"/>
        <v>1193</v>
      </c>
      <c r="I76" s="57">
        <f t="shared" ca="1" si="15"/>
        <v>28415.939921117217</v>
      </c>
      <c r="J76" s="57">
        <f t="shared" ca="1" si="16"/>
        <v>63.575080487987748</v>
      </c>
      <c r="K76" s="58">
        <f t="shared" ca="1" si="1"/>
        <v>954.18869090535679</v>
      </c>
      <c r="L76" s="58">
        <f t="shared" ca="1" si="17"/>
        <v>2461.6052768615336</v>
      </c>
      <c r="M76" s="59">
        <f t="shared" si="2"/>
        <v>0</v>
      </c>
      <c r="N76" s="32">
        <f t="shared" si="3"/>
        <v>0</v>
      </c>
      <c r="O76" s="58">
        <f t="shared" ca="1" si="4"/>
        <v>3479.3690482548782</v>
      </c>
      <c r="P76" s="58">
        <f t="shared" ca="1" si="5"/>
        <v>28352.36484062923</v>
      </c>
      <c r="Q76" s="58">
        <f t="shared" ca="1" si="6"/>
        <v>1.4441422936385924E-2</v>
      </c>
      <c r="R76" s="58">
        <f t="shared" ca="1" si="7"/>
        <v>1.4441422936385924E-2</v>
      </c>
      <c r="T76" s="32">
        <f t="shared" ca="1" si="8"/>
        <v>3479.3690482548782</v>
      </c>
      <c r="U76" s="32">
        <f t="shared" si="9"/>
        <v>1193</v>
      </c>
      <c r="V76" s="59">
        <f t="shared" si="10"/>
        <v>8.7414200708393803</v>
      </c>
      <c r="W76" s="57">
        <f t="shared" ca="1" si="11"/>
        <v>398.03</v>
      </c>
      <c r="X76" s="58">
        <f t="shared" ca="1" si="18"/>
        <v>2461.6052768615336</v>
      </c>
      <c r="Y76" s="58">
        <f t="shared" ca="1" si="19"/>
        <v>2461.6052768615336</v>
      </c>
    </row>
    <row r="77" spans="2:25" s="16" customFormat="1" x14ac:dyDescent="0.3">
      <c r="B77" s="32">
        <v>40</v>
      </c>
      <c r="C77" s="79">
        <f t="shared" si="20"/>
        <v>47113</v>
      </c>
      <c r="D77" s="32">
        <f t="shared" si="0"/>
        <v>2</v>
      </c>
      <c r="E77" s="79">
        <f t="shared" si="12"/>
        <v>47113</v>
      </c>
      <c r="F77" s="79">
        <f>IF(B76&gt;$C$18,"",IF(COUNTIF(Feriados!$A$2:$B$17,EDATE($C$38,B76))=0,EDATE($C$38,B76),EDATE($C$38,B76)+VLOOKUP(EDATE($C$38,B76),Feriados!$A$2:$B$17,2,FALSE)))</f>
        <v>47113</v>
      </c>
      <c r="G77" s="32">
        <f t="shared" si="13"/>
        <v>29</v>
      </c>
      <c r="H77" s="32">
        <f t="shared" si="14"/>
        <v>1222</v>
      </c>
      <c r="I77" s="57">
        <f t="shared" ca="1" si="15"/>
        <v>28352.36484062923</v>
      </c>
      <c r="J77" s="57">
        <f t="shared" ca="1" si="16"/>
        <v>400.83843753411929</v>
      </c>
      <c r="K77" s="58">
        <f t="shared" ca="1" si="1"/>
        <v>861.45709690414469</v>
      </c>
      <c r="L77" s="58">
        <f t="shared" ca="1" si="17"/>
        <v>2217.0735138166142</v>
      </c>
      <c r="M77" s="59">
        <f t="shared" si="2"/>
        <v>0</v>
      </c>
      <c r="N77" s="32">
        <f t="shared" si="3"/>
        <v>0</v>
      </c>
      <c r="O77" s="58">
        <f t="shared" ca="1" si="4"/>
        <v>3479.3690482548782</v>
      </c>
      <c r="P77" s="58">
        <f t="shared" ca="1" si="5"/>
        <v>27951.526403095111</v>
      </c>
      <c r="Q77" s="58">
        <f t="shared" ca="1" si="6"/>
        <v>1.3027855380781446E-2</v>
      </c>
      <c r="R77" s="58">
        <f t="shared" ca="1" si="7"/>
        <v>1.3027855380781446E-2</v>
      </c>
      <c r="T77" s="32">
        <f t="shared" ca="1" si="8"/>
        <v>3479.3690482548782</v>
      </c>
      <c r="U77" s="32">
        <f t="shared" si="9"/>
        <v>1222</v>
      </c>
      <c r="V77" s="59">
        <f t="shared" si="10"/>
        <v>9.2144709396879314</v>
      </c>
      <c r="W77" s="57">
        <f t="shared" ca="1" si="11"/>
        <v>377.6</v>
      </c>
      <c r="X77" s="58">
        <f t="shared" ca="1" si="18"/>
        <v>2217.0735138166142</v>
      </c>
      <c r="Y77" s="58">
        <f t="shared" ca="1" si="19"/>
        <v>2217.0735138166142</v>
      </c>
    </row>
    <row r="78" spans="2:25" s="16" customFormat="1" x14ac:dyDescent="0.3">
      <c r="B78" s="32">
        <v>41</v>
      </c>
      <c r="C78" s="79">
        <f t="shared" si="20"/>
        <v>47144</v>
      </c>
      <c r="D78" s="32">
        <f t="shared" si="0"/>
        <v>5</v>
      </c>
      <c r="E78" s="79">
        <f t="shared" si="12"/>
        <v>47144</v>
      </c>
      <c r="F78" s="79">
        <f>IF(B77&gt;$C$18,"",IF(COUNTIF(Feriados!$A$2:$B$17,EDATE($C$38,B77))=0,EDATE($C$38,B77),EDATE($C$38,B77)+VLOOKUP(EDATE($C$38,B77),Feriados!$A$2:$B$17,2,FALSE)))</f>
        <v>47144</v>
      </c>
      <c r="G78" s="32">
        <f t="shared" si="13"/>
        <v>31</v>
      </c>
      <c r="H78" s="32">
        <f t="shared" si="14"/>
        <v>1253</v>
      </c>
      <c r="I78" s="57">
        <f t="shared" ca="1" si="15"/>
        <v>27951.526403095111</v>
      </c>
      <c r="J78" s="57">
        <f t="shared" ca="1" si="16"/>
        <v>227.9559347573196</v>
      </c>
      <c r="K78" s="58">
        <f t="shared" ca="1" si="1"/>
        <v>908.79127148247142</v>
      </c>
      <c r="L78" s="58">
        <f t="shared" ca="1" si="17"/>
        <v>2342.6218420150872</v>
      </c>
      <c r="M78" s="59">
        <f t="shared" si="2"/>
        <v>0</v>
      </c>
      <c r="N78" s="32">
        <f t="shared" si="3"/>
        <v>0</v>
      </c>
      <c r="O78" s="58">
        <f t="shared" ca="1" si="4"/>
        <v>3479.3690482548782</v>
      </c>
      <c r="P78" s="58">
        <f t="shared" ca="1" si="5"/>
        <v>27723.570468337792</v>
      </c>
      <c r="Q78" s="58">
        <f t="shared" ca="1" si="6"/>
        <v>1.1669454537825991E-2</v>
      </c>
      <c r="R78" s="58">
        <f t="shared" ca="1" si="7"/>
        <v>1.1669454537825991E-2</v>
      </c>
      <c r="T78" s="32">
        <f t="shared" ca="1" si="8"/>
        <v>3479.3690482548782</v>
      </c>
      <c r="U78" s="32">
        <f t="shared" si="9"/>
        <v>1253</v>
      </c>
      <c r="V78" s="59">
        <f t="shared" si="10"/>
        <v>9.7484895364681989</v>
      </c>
      <c r="W78" s="57">
        <f t="shared" ca="1" si="11"/>
        <v>356.91</v>
      </c>
      <c r="X78" s="58">
        <f t="shared" ca="1" si="18"/>
        <v>2342.6218420150872</v>
      </c>
      <c r="Y78" s="58">
        <f t="shared" ca="1" si="19"/>
        <v>2342.6218420150872</v>
      </c>
    </row>
    <row r="79" spans="2:25" s="16" customFormat="1" x14ac:dyDescent="0.3">
      <c r="B79" s="32">
        <v>42</v>
      </c>
      <c r="C79" s="79">
        <f t="shared" si="20"/>
        <v>47175</v>
      </c>
      <c r="D79" s="32">
        <f t="shared" si="0"/>
        <v>1</v>
      </c>
      <c r="E79" s="79">
        <f t="shared" si="12"/>
        <v>47175</v>
      </c>
      <c r="F79" s="79">
        <f>IF(B78&gt;$C$18,"",IF(COUNTIF(Feriados!$A$2:$B$17,EDATE($C$38,B78))=0,EDATE($C$38,B78),EDATE($C$38,B78)+VLOOKUP(EDATE($C$38,B78),Feriados!$A$2:$B$17,2,FALSE)))</f>
        <v>47175</v>
      </c>
      <c r="G79" s="32">
        <f t="shared" si="13"/>
        <v>31</v>
      </c>
      <c r="H79" s="32">
        <f t="shared" si="14"/>
        <v>1284</v>
      </c>
      <c r="I79" s="57">
        <f t="shared" ca="1" si="15"/>
        <v>27723.570468337792</v>
      </c>
      <c r="J79" s="57">
        <f t="shared" ca="1" si="16"/>
        <v>254.47251581557146</v>
      </c>
      <c r="K79" s="58">
        <f t="shared" ca="1" si="1"/>
        <v>901.37971331557503</v>
      </c>
      <c r="L79" s="58">
        <f t="shared" ca="1" si="17"/>
        <v>2323.5168191237317</v>
      </c>
      <c r="M79" s="59">
        <f t="shared" si="2"/>
        <v>0</v>
      </c>
      <c r="N79" s="32">
        <f t="shared" si="3"/>
        <v>0</v>
      </c>
      <c r="O79" s="58">
        <f t="shared" ca="1" si="4"/>
        <v>3479.3690482548782</v>
      </c>
      <c r="P79" s="58">
        <f t="shared" ca="1" si="5"/>
        <v>27469.097952522221</v>
      </c>
      <c r="Q79" s="58">
        <f t="shared" ca="1" si="6"/>
        <v>1.0452692728787381E-2</v>
      </c>
      <c r="R79" s="58">
        <f t="shared" ca="1" si="7"/>
        <v>1.0452692728787381E-2</v>
      </c>
      <c r="T79" s="32">
        <f t="shared" ca="1" si="8"/>
        <v>3479.3690482548782</v>
      </c>
      <c r="U79" s="32">
        <f t="shared" si="9"/>
        <v>1284</v>
      </c>
      <c r="V79" s="59">
        <f t="shared" si="10"/>
        <v>10.313456829443153</v>
      </c>
      <c r="W79" s="57">
        <f t="shared" ca="1" si="11"/>
        <v>337.36</v>
      </c>
      <c r="X79" s="58">
        <f t="shared" ca="1" si="18"/>
        <v>2323.5168191237317</v>
      </c>
      <c r="Y79" s="58">
        <f t="shared" ca="1" si="19"/>
        <v>2323.5168191237317</v>
      </c>
    </row>
    <row r="80" spans="2:25" s="16" customFormat="1" x14ac:dyDescent="0.3">
      <c r="B80" s="32">
        <v>43</v>
      </c>
      <c r="C80" s="79">
        <f t="shared" si="20"/>
        <v>47203</v>
      </c>
      <c r="D80" s="32">
        <f t="shared" si="0"/>
        <v>1</v>
      </c>
      <c r="E80" s="79">
        <f t="shared" si="12"/>
        <v>47203</v>
      </c>
      <c r="F80" s="79">
        <f>IF(B79&gt;$C$18,"",IF(COUNTIF(Feriados!$A$2:$B$17,EDATE($C$38,B79))=0,EDATE($C$38,B79),EDATE($C$38,B79)+VLOOKUP(EDATE($C$38,B79),Feriados!$A$2:$B$17,2,FALSE)))</f>
        <v>47203</v>
      </c>
      <c r="G80" s="32">
        <f t="shared" si="13"/>
        <v>28</v>
      </c>
      <c r="H80" s="32">
        <f t="shared" si="14"/>
        <v>1312</v>
      </c>
      <c r="I80" s="57">
        <f t="shared" ca="1" si="15"/>
        <v>27469.097952522221</v>
      </c>
      <c r="J80" s="57">
        <f t="shared" ca="1" si="16"/>
        <v>602.73503273929612</v>
      </c>
      <c r="K80" s="58">
        <f t="shared" ca="1" si="1"/>
        <v>805.42216087365011</v>
      </c>
      <c r="L80" s="58">
        <f t="shared" ca="1" si="17"/>
        <v>2071.211854641932</v>
      </c>
      <c r="M80" s="59">
        <f t="shared" si="2"/>
        <v>0</v>
      </c>
      <c r="N80" s="32">
        <f t="shared" si="3"/>
        <v>0</v>
      </c>
      <c r="O80" s="58">
        <f t="shared" ca="1" si="4"/>
        <v>3479.3690482548782</v>
      </c>
      <c r="P80" s="58">
        <f t="shared" ca="1" si="5"/>
        <v>26866.362919782925</v>
      </c>
      <c r="Q80" s="58">
        <f t="shared" ca="1" si="6"/>
        <v>9.4631077018906742E-3</v>
      </c>
      <c r="R80" s="58">
        <f t="shared" ca="1" si="7"/>
        <v>9.4631077018906742E-3</v>
      </c>
      <c r="T80" s="32">
        <f t="shared" ca="1" si="8"/>
        <v>3479.3690482548782</v>
      </c>
      <c r="U80" s="32">
        <f t="shared" si="9"/>
        <v>1312</v>
      </c>
      <c r="V80" s="59">
        <f t="shared" si="10"/>
        <v>10.85184078368397</v>
      </c>
      <c r="W80" s="57">
        <f t="shared" ca="1" si="11"/>
        <v>320.62</v>
      </c>
      <c r="X80" s="58">
        <f t="shared" ca="1" si="18"/>
        <v>2071.211854641932</v>
      </c>
      <c r="Y80" s="58">
        <f t="shared" ca="1" si="19"/>
        <v>2071.211854641932</v>
      </c>
    </row>
    <row r="81" spans="2:25" s="16" customFormat="1" x14ac:dyDescent="0.3">
      <c r="B81" s="32">
        <v>44</v>
      </c>
      <c r="C81" s="79">
        <f t="shared" si="20"/>
        <v>47234</v>
      </c>
      <c r="D81" s="32">
        <f t="shared" si="0"/>
        <v>4</v>
      </c>
      <c r="E81" s="79">
        <f t="shared" si="12"/>
        <v>47234</v>
      </c>
      <c r="F81" s="79">
        <f>IF(B80&gt;$C$18,"",IF(COUNTIF(Feriados!$A$2:$B$17,EDATE($C$38,B80))=0,EDATE($C$38,B80),EDATE($C$38,B80)+VLOOKUP(EDATE($C$38,B80),Feriados!$A$2:$B$17,2,FALSE)))</f>
        <v>47234</v>
      </c>
      <c r="G81" s="32">
        <f t="shared" si="13"/>
        <v>31</v>
      </c>
      <c r="H81" s="32">
        <f t="shared" si="14"/>
        <v>1343</v>
      </c>
      <c r="I81" s="57">
        <f t="shared" ca="1" si="15"/>
        <v>26866.362919782925</v>
      </c>
      <c r="J81" s="57">
        <f t="shared" ca="1" si="16"/>
        <v>354.1857058634597</v>
      </c>
      <c r="K81" s="58">
        <f t="shared" ca="1" si="1"/>
        <v>873.50922328432978</v>
      </c>
      <c r="L81" s="58">
        <f t="shared" ca="1" si="17"/>
        <v>2251.6741191070887</v>
      </c>
      <c r="M81" s="59">
        <f t="shared" si="2"/>
        <v>0</v>
      </c>
      <c r="N81" s="32">
        <f t="shared" si="3"/>
        <v>0</v>
      </c>
      <c r="O81" s="58">
        <f t="shared" ca="1" si="4"/>
        <v>3479.3690482548782</v>
      </c>
      <c r="P81" s="58">
        <f t="shared" ca="1" si="5"/>
        <v>26512.177213919465</v>
      </c>
      <c r="Q81" s="58">
        <f t="shared" ca="1" si="6"/>
        <v>8.4763993678244522E-3</v>
      </c>
      <c r="R81" s="58">
        <f t="shared" ca="1" si="7"/>
        <v>8.4763993678244522E-3</v>
      </c>
      <c r="T81" s="32">
        <f t="shared" ca="1" si="8"/>
        <v>3479.3690482548782</v>
      </c>
      <c r="U81" s="32">
        <f t="shared" si="9"/>
        <v>1343</v>
      </c>
      <c r="V81" s="59">
        <f t="shared" si="10"/>
        <v>11.480752071778181</v>
      </c>
      <c r="W81" s="57">
        <f t="shared" ca="1" si="11"/>
        <v>303.06</v>
      </c>
      <c r="X81" s="58">
        <f t="shared" ca="1" si="18"/>
        <v>2251.6741191070887</v>
      </c>
      <c r="Y81" s="58">
        <f t="shared" ca="1" si="19"/>
        <v>2251.6741191070887</v>
      </c>
    </row>
    <row r="82" spans="2:25" s="16" customFormat="1" x14ac:dyDescent="0.3">
      <c r="B82" s="32">
        <v>45</v>
      </c>
      <c r="C82" s="79">
        <f t="shared" si="20"/>
        <v>47264</v>
      </c>
      <c r="D82" s="32">
        <f t="shared" si="0"/>
        <v>6</v>
      </c>
      <c r="E82" s="79">
        <f t="shared" si="12"/>
        <v>47264</v>
      </c>
      <c r="F82" s="79">
        <f>IF(B81&gt;$C$18,"",IF(COUNTIF(Feriados!$A$2:$B$17,EDATE($C$38,B81))=0,EDATE($C$38,B81),EDATE($C$38,B81)+VLOOKUP(EDATE($C$38,B81),Feriados!$A$2:$B$17,2,FALSE)))</f>
        <v>47264</v>
      </c>
      <c r="G82" s="32">
        <f t="shared" si="13"/>
        <v>30</v>
      </c>
      <c r="H82" s="32">
        <f t="shared" si="14"/>
        <v>1373</v>
      </c>
      <c r="I82" s="57">
        <f t="shared" ca="1" si="15"/>
        <v>26512.177213919465</v>
      </c>
      <c r="J82" s="57">
        <f t="shared" ca="1" si="16"/>
        <v>498.12803297720882</v>
      </c>
      <c r="K82" s="58">
        <f t="shared" ca="1" si="1"/>
        <v>833.75466095019385</v>
      </c>
      <c r="L82" s="58">
        <f t="shared" ca="1" si="17"/>
        <v>2147.4863543274755</v>
      </c>
      <c r="M82" s="59">
        <f t="shared" si="2"/>
        <v>0</v>
      </c>
      <c r="N82" s="32">
        <f t="shared" si="3"/>
        <v>0</v>
      </c>
      <c r="O82" s="58">
        <f t="shared" ca="1" si="4"/>
        <v>3479.3690482548782</v>
      </c>
      <c r="P82" s="58">
        <f t="shared" ca="1" si="5"/>
        <v>26014.049180942256</v>
      </c>
      <c r="Q82" s="58">
        <f t="shared" ca="1" si="6"/>
        <v>7.6195916129262594E-3</v>
      </c>
      <c r="R82" s="58">
        <f t="shared" ca="1" si="7"/>
        <v>7.6195916129262594E-3</v>
      </c>
      <c r="T82" s="32">
        <f t="shared" ca="1" si="8"/>
        <v>3479.3690482548782</v>
      </c>
      <c r="U82" s="32">
        <f t="shared" si="9"/>
        <v>1373</v>
      </c>
      <c r="V82" s="59">
        <f t="shared" si="10"/>
        <v>12.12405807264299</v>
      </c>
      <c r="W82" s="57">
        <f t="shared" ca="1" si="11"/>
        <v>286.98</v>
      </c>
      <c r="X82" s="58">
        <f t="shared" ca="1" si="18"/>
        <v>2147.4863543274755</v>
      </c>
      <c r="Y82" s="58">
        <f t="shared" ca="1" si="19"/>
        <v>2147.4863543274755</v>
      </c>
    </row>
    <row r="83" spans="2:25" s="16" customFormat="1" x14ac:dyDescent="0.3">
      <c r="B83" s="32">
        <v>46</v>
      </c>
      <c r="C83" s="79">
        <f t="shared" si="20"/>
        <v>47295</v>
      </c>
      <c r="D83" s="32">
        <f t="shared" si="0"/>
        <v>2</v>
      </c>
      <c r="E83" s="79">
        <f t="shared" si="12"/>
        <v>47295</v>
      </c>
      <c r="F83" s="79">
        <f>IF(B82&gt;$C$18,"",IF(COUNTIF(Feriados!$A$2:$B$17,EDATE($C$38,B82))=0,EDATE($C$38,B82),EDATE($C$38,B82)+VLOOKUP(EDATE($C$38,B82),Feriados!$A$2:$B$17,2,FALSE)))</f>
        <v>47295</v>
      </c>
      <c r="G83" s="32">
        <f t="shared" si="13"/>
        <v>31</v>
      </c>
      <c r="H83" s="32">
        <f t="shared" si="14"/>
        <v>1404</v>
      </c>
      <c r="I83" s="57">
        <f t="shared" ca="1" si="15"/>
        <v>26014.049180942256</v>
      </c>
      <c r="J83" s="57">
        <f t="shared" ca="1" si="16"/>
        <v>453.32963193448177</v>
      </c>
      <c r="K83" s="58">
        <f t="shared" ca="1" si="1"/>
        <v>845.79784626496166</v>
      </c>
      <c r="L83" s="58">
        <f t="shared" ca="1" si="17"/>
        <v>2180.2415700554347</v>
      </c>
      <c r="M83" s="59">
        <f t="shared" si="2"/>
        <v>0</v>
      </c>
      <c r="N83" s="32">
        <f t="shared" si="3"/>
        <v>0</v>
      </c>
      <c r="O83" s="58">
        <f t="shared" ca="1" si="4"/>
        <v>3479.3690482548782</v>
      </c>
      <c r="P83" s="58">
        <f t="shared" ca="1" si="5"/>
        <v>25560.719549007776</v>
      </c>
      <c r="Q83" s="58">
        <f t="shared" ca="1" si="6"/>
        <v>6.8251047716581144E-3</v>
      </c>
      <c r="R83" s="58">
        <f t="shared" ca="1" si="7"/>
        <v>6.8251047716581144E-3</v>
      </c>
      <c r="T83" s="32">
        <f t="shared" ca="1" si="8"/>
        <v>3479.3690482548782</v>
      </c>
      <c r="U83" s="32">
        <f t="shared" si="9"/>
        <v>1404</v>
      </c>
      <c r="V83" s="59">
        <f t="shared" si="10"/>
        <v>12.826699876129378</v>
      </c>
      <c r="W83" s="57">
        <f t="shared" ca="1" si="11"/>
        <v>271.26</v>
      </c>
      <c r="X83" s="58">
        <f t="shared" ca="1" si="18"/>
        <v>2180.2415700554347</v>
      </c>
      <c r="Y83" s="58">
        <f t="shared" ca="1" si="19"/>
        <v>2180.2415700554347</v>
      </c>
    </row>
    <row r="84" spans="2:25" s="16" customFormat="1" x14ac:dyDescent="0.3">
      <c r="B84" s="32">
        <v>47</v>
      </c>
      <c r="C84" s="79">
        <f t="shared" si="20"/>
        <v>47325</v>
      </c>
      <c r="D84" s="32">
        <f t="shared" si="0"/>
        <v>4</v>
      </c>
      <c r="E84" s="79">
        <f t="shared" si="12"/>
        <v>47325</v>
      </c>
      <c r="F84" s="79">
        <f>IF(B83&gt;$C$18,"",IF(COUNTIF(Feriados!$A$2:$B$17,EDATE($C$38,B83))=0,EDATE($C$38,B83),EDATE($C$38,B83)+VLOOKUP(EDATE($C$38,B83),Feriados!$A$2:$B$17,2,FALSE)))</f>
        <v>47325</v>
      </c>
      <c r="G84" s="32">
        <f t="shared" si="13"/>
        <v>30</v>
      </c>
      <c r="H84" s="32">
        <f t="shared" si="14"/>
        <v>1434</v>
      </c>
      <c r="I84" s="57">
        <f t="shared" ca="1" si="15"/>
        <v>25560.719549007776</v>
      </c>
      <c r="J84" s="57">
        <f t="shared" ca="1" si="16"/>
        <v>605.11753414295254</v>
      </c>
      <c r="K84" s="58">
        <f t="shared" ca="1" si="1"/>
        <v>803.83323064229671</v>
      </c>
      <c r="L84" s="58">
        <f t="shared" ca="1" si="17"/>
        <v>2070.4182834696289</v>
      </c>
      <c r="M84" s="59">
        <f t="shared" si="2"/>
        <v>0</v>
      </c>
      <c r="N84" s="32">
        <f t="shared" si="3"/>
        <v>0</v>
      </c>
      <c r="O84" s="58">
        <f t="shared" ca="1" si="4"/>
        <v>3479.3690482548782</v>
      </c>
      <c r="P84" s="58">
        <f t="shared" ca="1" si="5"/>
        <v>24955.602014864824</v>
      </c>
      <c r="Q84" s="58">
        <f t="shared" ca="1" si="6"/>
        <v>6.1352124668491844E-3</v>
      </c>
      <c r="R84" s="58">
        <f t="shared" ca="1" si="7"/>
        <v>6.1352124668491844E-3</v>
      </c>
      <c r="T84" s="32">
        <f t="shared" ca="1" si="8"/>
        <v>3479.3690482548782</v>
      </c>
      <c r="U84" s="32">
        <f t="shared" si="9"/>
        <v>1434</v>
      </c>
      <c r="V84" s="59">
        <f t="shared" si="10"/>
        <v>13.545423958839045</v>
      </c>
      <c r="W84" s="57">
        <f t="shared" ca="1" si="11"/>
        <v>256.87</v>
      </c>
      <c r="X84" s="58">
        <f t="shared" ca="1" si="18"/>
        <v>2070.4182834696289</v>
      </c>
      <c r="Y84" s="58">
        <f t="shared" ca="1" si="19"/>
        <v>2070.4182834696289</v>
      </c>
    </row>
    <row r="85" spans="2:25" s="16" customFormat="1" x14ac:dyDescent="0.3">
      <c r="B85" s="32">
        <v>48</v>
      </c>
      <c r="C85" s="79">
        <f t="shared" si="20"/>
        <v>47357</v>
      </c>
      <c r="D85" s="32">
        <f t="shared" si="0"/>
        <v>1</v>
      </c>
      <c r="E85" s="79">
        <f t="shared" si="12"/>
        <v>47357</v>
      </c>
      <c r="F85" s="79">
        <f>IF(B84&gt;$C$18,"",IF(COUNTIF(Feriados!$A$2:$B$17,EDATE($C$38,B84))=0,EDATE($C$38,B84),EDATE($C$38,B84)+VLOOKUP(EDATE($C$38,B84),Feriados!$A$2:$B$17,2,FALSE)))</f>
        <v>47356</v>
      </c>
      <c r="G85" s="32">
        <f t="shared" si="13"/>
        <v>32</v>
      </c>
      <c r="H85" s="32">
        <f t="shared" si="14"/>
        <v>1466</v>
      </c>
      <c r="I85" s="57">
        <f t="shared" ca="1" si="15"/>
        <v>24955.602014864824</v>
      </c>
      <c r="J85" s="57">
        <f t="shared" ca="1" si="16"/>
        <v>479.53180686845758</v>
      </c>
      <c r="K85" s="58">
        <f t="shared" ca="1" si="1"/>
        <v>837.99280556695135</v>
      </c>
      <c r="L85" s="58">
        <f t="shared" ca="1" si="17"/>
        <v>2161.8444358194693</v>
      </c>
      <c r="M85" s="59">
        <f t="shared" si="2"/>
        <v>0</v>
      </c>
      <c r="N85" s="32">
        <f t="shared" si="3"/>
        <v>0</v>
      </c>
      <c r="O85" s="58">
        <f t="shared" ca="1" si="4"/>
        <v>3479.3690482548782</v>
      </c>
      <c r="P85" s="58">
        <f t="shared" ca="1" si="5"/>
        <v>24476.070207996367</v>
      </c>
      <c r="Q85" s="58">
        <f t="shared" ca="1" si="6"/>
        <v>5.4760143503867912E-3</v>
      </c>
      <c r="R85" s="58">
        <f t="shared" ca="1" si="7"/>
        <v>5.4760143503867912E-3</v>
      </c>
      <c r="T85" s="32">
        <f t="shared" ca="1" si="8"/>
        <v>3479.3690482548782</v>
      </c>
      <c r="U85" s="32">
        <f t="shared" si="9"/>
        <v>1466</v>
      </c>
      <c r="V85" s="59">
        <f t="shared" si="10"/>
        <v>14.356506879511015</v>
      </c>
      <c r="W85" s="57">
        <f t="shared" ca="1" si="11"/>
        <v>242.35</v>
      </c>
      <c r="X85" s="58">
        <f t="shared" ca="1" si="18"/>
        <v>2161.8444358194693</v>
      </c>
      <c r="Y85" s="58">
        <f t="shared" ca="1" si="19"/>
        <v>2161.8444358194693</v>
      </c>
    </row>
    <row r="86" spans="2:25" s="16" customFormat="1" x14ac:dyDescent="0.3">
      <c r="B86" s="32">
        <v>49</v>
      </c>
      <c r="C86" s="79">
        <f t="shared" si="20"/>
        <v>47387</v>
      </c>
      <c r="D86" s="32">
        <f t="shared" si="0"/>
        <v>3</v>
      </c>
      <c r="E86" s="79">
        <f t="shared" si="12"/>
        <v>47387</v>
      </c>
      <c r="F86" s="79">
        <f>IF(B85&gt;$C$18,"",IF(COUNTIF(Feriados!$A$2:$B$17,EDATE($C$38,B85))=0,EDATE($C$38,B85),EDATE($C$38,B85)+VLOOKUP(EDATE($C$38,B85),Feriados!$A$2:$B$17,2,FALSE)))</f>
        <v>47387</v>
      </c>
      <c r="G86" s="32">
        <f t="shared" si="13"/>
        <v>30</v>
      </c>
      <c r="H86" s="32">
        <f t="shared" si="14"/>
        <v>1496</v>
      </c>
      <c r="I86" s="57">
        <f t="shared" ca="1" si="15"/>
        <v>24476.070207996367</v>
      </c>
      <c r="J86" s="57">
        <f t="shared" ca="1" si="16"/>
        <v>727.08417145553801</v>
      </c>
      <c r="K86" s="58">
        <f t="shared" ca="1" si="1"/>
        <v>769.72318995163539</v>
      </c>
      <c r="L86" s="58">
        <f t="shared" ca="1" si="17"/>
        <v>1982.5616868477048</v>
      </c>
      <c r="M86" s="59">
        <f t="shared" si="2"/>
        <v>0</v>
      </c>
      <c r="N86" s="32">
        <f t="shared" si="3"/>
        <v>0</v>
      </c>
      <c r="O86" s="58">
        <f t="shared" ca="1" si="4"/>
        <v>3479.3690482548782</v>
      </c>
      <c r="P86" s="58">
        <f t="shared" ca="1" si="5"/>
        <v>23748.986036540828</v>
      </c>
      <c r="Q86" s="58">
        <f t="shared" ca="1" si="6"/>
        <v>4.9224902232491282E-3</v>
      </c>
      <c r="R86" s="58">
        <f t="shared" ca="1" si="7"/>
        <v>4.9224902232491282E-3</v>
      </c>
      <c r="T86" s="32">
        <f t="shared" ca="1" si="8"/>
        <v>3479.3690482548782</v>
      </c>
      <c r="U86" s="32">
        <f t="shared" si="9"/>
        <v>1496</v>
      </c>
      <c r="V86" s="59">
        <f t="shared" si="10"/>
        <v>15.160951306958347</v>
      </c>
      <c r="W86" s="57">
        <f t="shared" ca="1" si="11"/>
        <v>229.5</v>
      </c>
      <c r="X86" s="58">
        <f t="shared" ca="1" si="18"/>
        <v>1982.5616868477048</v>
      </c>
      <c r="Y86" s="58">
        <f t="shared" ca="1" si="19"/>
        <v>1982.5616868477048</v>
      </c>
    </row>
    <row r="87" spans="2:25" s="16" customFormat="1" x14ac:dyDescent="0.3">
      <c r="B87" s="32">
        <v>50</v>
      </c>
      <c r="C87" s="79">
        <f t="shared" si="20"/>
        <v>47417</v>
      </c>
      <c r="D87" s="32">
        <f t="shared" si="0"/>
        <v>5</v>
      </c>
      <c r="E87" s="79">
        <f t="shared" si="12"/>
        <v>47417</v>
      </c>
      <c r="F87" s="79">
        <f>IF(B86&gt;$C$18,"",IF(COUNTIF(Feriados!$A$2:$B$17,EDATE($C$38,B86))=0,EDATE($C$38,B86),EDATE($C$38,B86)+VLOOKUP(EDATE($C$38,B86),Feriados!$A$2:$B$17,2,FALSE)))</f>
        <v>47417</v>
      </c>
      <c r="G87" s="32">
        <f t="shared" si="13"/>
        <v>30</v>
      </c>
      <c r="H87" s="32">
        <f t="shared" si="14"/>
        <v>1526</v>
      </c>
      <c r="I87" s="57">
        <f t="shared" ca="1" si="15"/>
        <v>23748.986036540828</v>
      </c>
      <c r="J87" s="57">
        <f t="shared" ca="1" si="16"/>
        <v>808.843324467098</v>
      </c>
      <c r="K87" s="58">
        <f t="shared" ca="1" si="1"/>
        <v>746.85785482797405</v>
      </c>
      <c r="L87" s="58">
        <f t="shared" ca="1" si="17"/>
        <v>1923.6678689598061</v>
      </c>
      <c r="M87" s="59">
        <f t="shared" si="2"/>
        <v>0</v>
      </c>
      <c r="N87" s="32">
        <f t="shared" si="3"/>
        <v>0</v>
      </c>
      <c r="O87" s="58">
        <f t="shared" ca="1" si="4"/>
        <v>3479.3690482548782</v>
      </c>
      <c r="P87" s="58">
        <f t="shared" ca="1" si="5"/>
        <v>22940.142712073728</v>
      </c>
      <c r="Q87" s="58">
        <f t="shared" ca="1" si="6"/>
        <v>4.4249171838404286E-3</v>
      </c>
      <c r="R87" s="58">
        <f t="shared" ca="1" si="7"/>
        <v>4.4249171838404286E-3</v>
      </c>
      <c r="T87" s="32">
        <f t="shared" ca="1" si="8"/>
        <v>3479.3690482548782</v>
      </c>
      <c r="U87" s="32">
        <f t="shared" si="9"/>
        <v>1526</v>
      </c>
      <c r="V87" s="59">
        <f t="shared" si="10"/>
        <v>16.010471520756919</v>
      </c>
      <c r="W87" s="57">
        <f t="shared" ca="1" si="11"/>
        <v>217.32</v>
      </c>
      <c r="X87" s="58">
        <f t="shared" ca="1" si="18"/>
        <v>1923.6678689598061</v>
      </c>
      <c r="Y87" s="58">
        <f t="shared" ca="1" si="19"/>
        <v>1923.6678689598061</v>
      </c>
    </row>
    <row r="88" spans="2:25" s="16" customFormat="1" x14ac:dyDescent="0.3">
      <c r="B88" s="32">
        <v>51</v>
      </c>
      <c r="C88" s="79">
        <f t="shared" si="20"/>
        <v>47448</v>
      </c>
      <c r="D88" s="32">
        <f t="shared" si="0"/>
        <v>1</v>
      </c>
      <c r="E88" s="79">
        <f t="shared" si="12"/>
        <v>47448</v>
      </c>
      <c r="F88" s="79">
        <f>IF(B87&gt;$C$18,"",IF(COUNTIF(Feriados!$A$2:$B$17,EDATE($C$38,B87))=0,EDATE($C$38,B87),EDATE($C$38,B87)+VLOOKUP(EDATE($C$38,B87),Feriados!$A$2:$B$17,2,FALSE)))</f>
        <v>47448</v>
      </c>
      <c r="G88" s="32">
        <f t="shared" si="13"/>
        <v>31</v>
      </c>
      <c r="H88" s="32">
        <f t="shared" si="14"/>
        <v>1557</v>
      </c>
      <c r="I88" s="57">
        <f t="shared" ca="1" si="15"/>
        <v>22940.142712073728</v>
      </c>
      <c r="J88" s="57">
        <f t="shared" ca="1" si="16"/>
        <v>810.89650175084364</v>
      </c>
      <c r="K88" s="58">
        <f t="shared" ca="1" si="1"/>
        <v>745.8555630431091</v>
      </c>
      <c r="L88" s="58">
        <f t="shared" ca="1" si="17"/>
        <v>1922.6169834609254</v>
      </c>
      <c r="M88" s="59">
        <f t="shared" si="2"/>
        <v>0</v>
      </c>
      <c r="N88" s="32">
        <f t="shared" si="3"/>
        <v>0</v>
      </c>
      <c r="O88" s="58">
        <f t="shared" ca="1" si="4"/>
        <v>3479.3690482548782</v>
      </c>
      <c r="P88" s="58">
        <f t="shared" ca="1" si="5"/>
        <v>22129.246210322883</v>
      </c>
      <c r="Q88" s="58">
        <f t="shared" ca="1" si="6"/>
        <v>3.963535701098155E-3</v>
      </c>
      <c r="R88" s="58">
        <f t="shared" ca="1" si="7"/>
        <v>3.963535701098155E-3</v>
      </c>
      <c r="T88" s="32">
        <f t="shared" ca="1" si="8"/>
        <v>3479.3690482548782</v>
      </c>
      <c r="U88" s="32">
        <f t="shared" si="9"/>
        <v>1557</v>
      </c>
      <c r="V88" s="59">
        <f t="shared" si="10"/>
        <v>16.938347856931529</v>
      </c>
      <c r="W88" s="57">
        <f t="shared" ca="1" si="11"/>
        <v>205.41</v>
      </c>
      <c r="X88" s="58">
        <f t="shared" ca="1" si="18"/>
        <v>1922.6169834609254</v>
      </c>
      <c r="Y88" s="58">
        <f t="shared" ca="1" si="19"/>
        <v>1922.6169834609254</v>
      </c>
    </row>
    <row r="89" spans="2:25" s="16" customFormat="1" x14ac:dyDescent="0.3">
      <c r="B89" s="32">
        <v>52</v>
      </c>
      <c r="C89" s="79">
        <f t="shared" si="20"/>
        <v>47478</v>
      </c>
      <c r="D89" s="32">
        <f t="shared" si="0"/>
        <v>3</v>
      </c>
      <c r="E89" s="79">
        <f t="shared" si="12"/>
        <v>47478</v>
      </c>
      <c r="F89" s="79">
        <f>IF(B88&gt;$C$18,"",IF(COUNTIF(Feriados!$A$2:$B$17,EDATE($C$38,B88))=0,EDATE($C$38,B88),EDATE($C$38,B88)+VLOOKUP(EDATE($C$38,B88),Feriados!$A$2:$B$17,2,FALSE)))</f>
        <v>47478</v>
      </c>
      <c r="G89" s="32">
        <f t="shared" si="13"/>
        <v>30</v>
      </c>
      <c r="H89" s="32">
        <f t="shared" si="14"/>
        <v>1587</v>
      </c>
      <c r="I89" s="57">
        <f t="shared" ca="1" si="15"/>
        <v>22129.246210322883</v>
      </c>
      <c r="J89" s="57">
        <f t="shared" ca="1" si="16"/>
        <v>990.97981084605965</v>
      </c>
      <c r="K89" s="58">
        <f t="shared" ca="1" si="1"/>
        <v>695.92029437266581</v>
      </c>
      <c r="L89" s="58">
        <f t="shared" ca="1" si="17"/>
        <v>1792.4689430361527</v>
      </c>
      <c r="M89" s="59">
        <f t="shared" si="2"/>
        <v>0</v>
      </c>
      <c r="N89" s="32">
        <f t="shared" si="3"/>
        <v>0</v>
      </c>
      <c r="O89" s="58">
        <f t="shared" ca="1" si="4"/>
        <v>3479.3690482548782</v>
      </c>
      <c r="P89" s="58">
        <f t="shared" ca="1" si="5"/>
        <v>21138.266399476823</v>
      </c>
      <c r="Q89" s="58">
        <f t="shared" ca="1" si="6"/>
        <v>3.5628952902171424E-3</v>
      </c>
      <c r="R89" s="58">
        <f t="shared" ca="1" si="7"/>
        <v>3.5628952902171424E-3</v>
      </c>
      <c r="T89" s="32">
        <f t="shared" ca="1" si="8"/>
        <v>3479.3690482548782</v>
      </c>
      <c r="U89" s="32">
        <f t="shared" si="9"/>
        <v>1587</v>
      </c>
      <c r="V89" s="59">
        <f t="shared" si="10"/>
        <v>17.887461708791921</v>
      </c>
      <c r="W89" s="57">
        <f t="shared" ca="1" si="11"/>
        <v>194.51</v>
      </c>
      <c r="X89" s="58">
        <f t="shared" ca="1" si="18"/>
        <v>1792.4689430361527</v>
      </c>
      <c r="Y89" s="58">
        <f t="shared" ca="1" si="19"/>
        <v>1792.4689430361527</v>
      </c>
    </row>
    <row r="90" spans="2:25" s="16" customFormat="1" x14ac:dyDescent="0.3">
      <c r="B90" s="32">
        <v>53</v>
      </c>
      <c r="C90" s="79">
        <f t="shared" si="20"/>
        <v>47509</v>
      </c>
      <c r="D90" s="32">
        <f t="shared" si="0"/>
        <v>6</v>
      </c>
      <c r="E90" s="79">
        <f t="shared" si="12"/>
        <v>47509</v>
      </c>
      <c r="F90" s="79">
        <f>IF(B89&gt;$C$18,"",IF(COUNTIF(Feriados!$A$2:$B$17,EDATE($C$38,B89))=0,EDATE($C$38,B89),EDATE($C$38,B89)+VLOOKUP(EDATE($C$38,B89),Feriados!$A$2:$B$17,2,FALSE)))</f>
        <v>47509</v>
      </c>
      <c r="G90" s="32">
        <f t="shared" si="13"/>
        <v>31</v>
      </c>
      <c r="H90" s="32">
        <f t="shared" si="14"/>
        <v>1618</v>
      </c>
      <c r="I90" s="57">
        <f t="shared" ca="1" si="15"/>
        <v>21138.266399476823</v>
      </c>
      <c r="J90" s="57">
        <f t="shared" ca="1" si="16"/>
        <v>1020.4966569334051</v>
      </c>
      <c r="K90" s="58">
        <f t="shared" ca="1" si="1"/>
        <v>687.27094617589705</v>
      </c>
      <c r="L90" s="58">
        <f t="shared" ca="1" si="17"/>
        <v>1771.601445145576</v>
      </c>
      <c r="M90" s="59">
        <f t="shared" si="2"/>
        <v>0</v>
      </c>
      <c r="N90" s="32">
        <f t="shared" si="3"/>
        <v>0</v>
      </c>
      <c r="O90" s="58">
        <f t="shared" ca="1" si="4"/>
        <v>3479.3690482548782</v>
      </c>
      <c r="P90" s="58">
        <f t="shared" ca="1" si="5"/>
        <v>20117.769742543416</v>
      </c>
      <c r="Q90" s="58">
        <f t="shared" ca="1" si="6"/>
        <v>3.1913959279558251E-3</v>
      </c>
      <c r="R90" s="58">
        <f t="shared" ca="1" si="7"/>
        <v>3.1913959279558251E-3</v>
      </c>
      <c r="T90" s="32">
        <f t="shared" ca="1" si="8"/>
        <v>3479.3690482548782</v>
      </c>
      <c r="U90" s="32">
        <f t="shared" si="9"/>
        <v>1618</v>
      </c>
      <c r="V90" s="59">
        <f t="shared" si="10"/>
        <v>18.924117775560454</v>
      </c>
      <c r="W90" s="57">
        <f t="shared" ca="1" si="11"/>
        <v>183.86</v>
      </c>
      <c r="X90" s="58">
        <f t="shared" ca="1" si="18"/>
        <v>1771.601445145576</v>
      </c>
      <c r="Y90" s="58">
        <f t="shared" ca="1" si="19"/>
        <v>1771.601445145576</v>
      </c>
    </row>
    <row r="91" spans="2:25" s="16" customFormat="1" x14ac:dyDescent="0.3">
      <c r="B91" s="32">
        <v>54</v>
      </c>
      <c r="C91" s="79">
        <f t="shared" si="20"/>
        <v>47540</v>
      </c>
      <c r="D91" s="32">
        <f t="shared" si="0"/>
        <v>2</v>
      </c>
      <c r="E91" s="79">
        <f t="shared" si="12"/>
        <v>47540</v>
      </c>
      <c r="F91" s="79">
        <f>IF(B90&gt;$C$18,"",IF(COUNTIF(Feriados!$A$2:$B$17,EDATE($C$38,B90))=0,EDATE($C$38,B90),EDATE($C$38,B90)+VLOOKUP(EDATE($C$38,B90),Feriados!$A$2:$B$17,2,FALSE)))</f>
        <v>47540</v>
      </c>
      <c r="G91" s="32">
        <f t="shared" si="13"/>
        <v>31</v>
      </c>
      <c r="H91" s="32">
        <f t="shared" si="14"/>
        <v>1649</v>
      </c>
      <c r="I91" s="57">
        <f t="shared" ca="1" si="15"/>
        <v>20117.769742543416</v>
      </c>
      <c r="J91" s="57">
        <f t="shared" ca="1" si="16"/>
        <v>1139.2041709626315</v>
      </c>
      <c r="K91" s="58">
        <f t="shared" ca="1" si="1"/>
        <v>654.09141812352459</v>
      </c>
      <c r="L91" s="58">
        <f t="shared" ca="1" si="17"/>
        <v>1686.0734591687221</v>
      </c>
      <c r="M91" s="59">
        <f t="shared" si="2"/>
        <v>0</v>
      </c>
      <c r="N91" s="32">
        <f t="shared" si="3"/>
        <v>0</v>
      </c>
      <c r="O91" s="58">
        <f t="shared" ca="1" si="4"/>
        <v>3479.3690482548782</v>
      </c>
      <c r="P91" s="58">
        <f t="shared" ca="1" si="5"/>
        <v>18978.565571580784</v>
      </c>
      <c r="Q91" s="58">
        <f t="shared" ca="1" si="6"/>
        <v>2.858632415310835E-3</v>
      </c>
      <c r="R91" s="58">
        <f t="shared" ca="1" si="7"/>
        <v>2.858632415310835E-3</v>
      </c>
      <c r="T91" s="32">
        <f t="shared" ca="1" si="8"/>
        <v>3479.3690482548782</v>
      </c>
      <c r="U91" s="32">
        <f t="shared" si="9"/>
        <v>1649</v>
      </c>
      <c r="V91" s="59">
        <f t="shared" si="10"/>
        <v>20.020852562175513</v>
      </c>
      <c r="W91" s="57">
        <f t="shared" ca="1" si="11"/>
        <v>173.79</v>
      </c>
      <c r="X91" s="58">
        <f t="shared" ca="1" si="18"/>
        <v>1686.0734591687221</v>
      </c>
      <c r="Y91" s="58">
        <f t="shared" ca="1" si="19"/>
        <v>1686.0734591687221</v>
      </c>
    </row>
    <row r="92" spans="2:25" s="16" customFormat="1" x14ac:dyDescent="0.3">
      <c r="B92" s="32">
        <v>55</v>
      </c>
      <c r="C92" s="79">
        <f t="shared" si="20"/>
        <v>47568</v>
      </c>
      <c r="D92" s="32">
        <f t="shared" si="0"/>
        <v>2</v>
      </c>
      <c r="E92" s="79">
        <f t="shared" si="12"/>
        <v>47568</v>
      </c>
      <c r="F92" s="79">
        <f>IF(B91&gt;$C$18,"",IF(COUNTIF(Feriados!$A$2:$B$17,EDATE($C$38,B91))=0,EDATE($C$38,B91),EDATE($C$38,B91)+VLOOKUP(EDATE($C$38,B91),Feriados!$A$2:$B$17,2,FALSE)))</f>
        <v>47568</v>
      </c>
      <c r="G92" s="32">
        <f t="shared" si="13"/>
        <v>28</v>
      </c>
      <c r="H92" s="32">
        <f t="shared" si="14"/>
        <v>1677</v>
      </c>
      <c r="I92" s="57">
        <f t="shared" ca="1" si="15"/>
        <v>18978.565571580784</v>
      </c>
      <c r="J92" s="57">
        <f t="shared" ca="1" si="16"/>
        <v>1491.8852443358878</v>
      </c>
      <c r="K92" s="58">
        <f t="shared" ca="1" si="1"/>
        <v>556.47103226195725</v>
      </c>
      <c r="L92" s="58">
        <f t="shared" ca="1" si="17"/>
        <v>1431.012771657033</v>
      </c>
      <c r="M92" s="59">
        <f t="shared" si="2"/>
        <v>0</v>
      </c>
      <c r="N92" s="32">
        <f t="shared" si="3"/>
        <v>0</v>
      </c>
      <c r="O92" s="58">
        <f t="shared" ca="1" si="4"/>
        <v>3479.3690482548782</v>
      </c>
      <c r="P92" s="58">
        <f t="shared" ca="1" si="5"/>
        <v>17486.680327244896</v>
      </c>
      <c r="Q92" s="58">
        <f t="shared" ca="1" si="6"/>
        <v>2.5879978612305924E-3</v>
      </c>
      <c r="R92" s="58">
        <f t="shared" ca="1" si="7"/>
        <v>2.5879978612305924E-3</v>
      </c>
      <c r="T92" s="32">
        <f t="shared" ca="1" si="8"/>
        <v>3479.3690482548782</v>
      </c>
      <c r="U92" s="32">
        <f t="shared" si="9"/>
        <v>1677</v>
      </c>
      <c r="V92" s="59">
        <f t="shared" si="10"/>
        <v>21.065982817525452</v>
      </c>
      <c r="W92" s="57">
        <f t="shared" ca="1" si="11"/>
        <v>165.17</v>
      </c>
      <c r="X92" s="58">
        <f t="shared" ca="1" si="18"/>
        <v>1431.012771657033</v>
      </c>
      <c r="Y92" s="58">
        <f t="shared" ca="1" si="19"/>
        <v>1431.012771657033</v>
      </c>
    </row>
    <row r="93" spans="2:25" s="16" customFormat="1" x14ac:dyDescent="0.3">
      <c r="B93" s="32">
        <v>56</v>
      </c>
      <c r="C93" s="79">
        <f t="shared" si="20"/>
        <v>47599</v>
      </c>
      <c r="D93" s="32">
        <f t="shared" si="0"/>
        <v>5</v>
      </c>
      <c r="E93" s="79">
        <f t="shared" si="12"/>
        <v>47599</v>
      </c>
      <c r="F93" s="79">
        <f>IF(B92&gt;$C$18,"",IF(COUNTIF(Feriados!$A$2:$B$17,EDATE($C$38,B92))=0,EDATE($C$38,B92),EDATE($C$38,B92)+VLOOKUP(EDATE($C$38,B92),Feriados!$A$2:$B$17,2,FALSE)))</f>
        <v>47599</v>
      </c>
      <c r="G93" s="32">
        <f t="shared" si="13"/>
        <v>31</v>
      </c>
      <c r="H93" s="32">
        <f t="shared" si="14"/>
        <v>1708</v>
      </c>
      <c r="I93" s="57">
        <f t="shared" ca="1" si="15"/>
        <v>17486.680327244896</v>
      </c>
      <c r="J93" s="57">
        <f t="shared" ca="1" si="16"/>
        <v>1445.261110548548</v>
      </c>
      <c r="K93" s="58">
        <f t="shared" ca="1" si="1"/>
        <v>568.54649794168995</v>
      </c>
      <c r="L93" s="58">
        <f t="shared" ca="1" si="17"/>
        <v>1465.5614397646402</v>
      </c>
      <c r="M93" s="59">
        <f t="shared" si="2"/>
        <v>0</v>
      </c>
      <c r="N93" s="32">
        <f t="shared" si="3"/>
        <v>0</v>
      </c>
      <c r="O93" s="58">
        <f t="shared" ca="1" si="4"/>
        <v>3479.3690482548782</v>
      </c>
      <c r="P93" s="58">
        <f t="shared" ca="1" si="5"/>
        <v>16041.419216696348</v>
      </c>
      <c r="Q93" s="58">
        <f t="shared" ca="1" si="6"/>
        <v>2.3181500333641094E-3</v>
      </c>
      <c r="R93" s="58">
        <f t="shared" ca="1" si="7"/>
        <v>2.3181500333641094E-3</v>
      </c>
      <c r="T93" s="32">
        <f t="shared" ca="1" si="8"/>
        <v>3479.3690482548782</v>
      </c>
      <c r="U93" s="32">
        <f t="shared" si="9"/>
        <v>1708</v>
      </c>
      <c r="V93" s="59">
        <f t="shared" si="10"/>
        <v>22.286847982508345</v>
      </c>
      <c r="W93" s="57">
        <f t="shared" ca="1" si="11"/>
        <v>156.12</v>
      </c>
      <c r="X93" s="58">
        <f t="shared" ca="1" si="18"/>
        <v>1465.5614397646402</v>
      </c>
      <c r="Y93" s="58">
        <f t="shared" ca="1" si="19"/>
        <v>1465.5614397646402</v>
      </c>
    </row>
    <row r="94" spans="2:25" s="16" customFormat="1" x14ac:dyDescent="0.3">
      <c r="B94" s="32">
        <v>57</v>
      </c>
      <c r="C94" s="79">
        <f t="shared" si="20"/>
        <v>47630</v>
      </c>
      <c r="D94" s="32">
        <f t="shared" si="0"/>
        <v>1</v>
      </c>
      <c r="E94" s="79">
        <f t="shared" si="12"/>
        <v>47630</v>
      </c>
      <c r="F94" s="79">
        <f>IF(B93&gt;$C$18,"",IF(COUNTIF(Feriados!$A$2:$B$17,EDATE($C$38,B93))=0,EDATE($C$38,B93),EDATE($C$38,B93)+VLOOKUP(EDATE($C$38,B93),Feriados!$A$2:$B$17,2,FALSE)))</f>
        <v>47629</v>
      </c>
      <c r="G94" s="32">
        <f t="shared" si="13"/>
        <v>31</v>
      </c>
      <c r="H94" s="32">
        <f t="shared" si="14"/>
        <v>1739</v>
      </c>
      <c r="I94" s="57">
        <f t="shared" ca="1" si="15"/>
        <v>16041.419216696348</v>
      </c>
      <c r="J94" s="57">
        <f t="shared" ca="1" si="16"/>
        <v>1613.3786172456153</v>
      </c>
      <c r="K94" s="58">
        <f t="shared" ca="1" si="1"/>
        <v>521.55655315877664</v>
      </c>
      <c r="L94" s="58">
        <f t="shared" ca="1" si="17"/>
        <v>1344.4338778504864</v>
      </c>
      <c r="M94" s="59">
        <f t="shared" si="2"/>
        <v>0</v>
      </c>
      <c r="N94" s="32">
        <f t="shared" si="3"/>
        <v>0</v>
      </c>
      <c r="O94" s="58">
        <f t="shared" ca="1" si="4"/>
        <v>3479.3690482548782</v>
      </c>
      <c r="P94" s="58">
        <f t="shared" ca="1" si="5"/>
        <v>14428.040599450733</v>
      </c>
      <c r="Q94" s="58">
        <f t="shared" ca="1" si="6"/>
        <v>2.0764389560317398E-3</v>
      </c>
      <c r="R94" s="58">
        <f t="shared" ca="1" si="7"/>
        <v>2.0764389560317398E-3</v>
      </c>
      <c r="T94" s="32">
        <f t="shared" ca="1" si="8"/>
        <v>3479.3690482548782</v>
      </c>
      <c r="U94" s="32">
        <f t="shared" si="9"/>
        <v>1739</v>
      </c>
      <c r="V94" s="59">
        <f t="shared" si="10"/>
        <v>23.57846758434707</v>
      </c>
      <c r="W94" s="57">
        <f t="shared" ca="1" si="11"/>
        <v>147.57</v>
      </c>
      <c r="X94" s="58">
        <f t="shared" ca="1" si="18"/>
        <v>1344.4338778504864</v>
      </c>
      <c r="Y94" s="58">
        <f t="shared" ca="1" si="19"/>
        <v>1344.4338778504864</v>
      </c>
    </row>
    <row r="95" spans="2:25" s="16" customFormat="1" x14ac:dyDescent="0.3">
      <c r="B95" s="32">
        <v>58</v>
      </c>
      <c r="C95" s="79">
        <f t="shared" si="20"/>
        <v>47660</v>
      </c>
      <c r="D95" s="32">
        <f t="shared" si="0"/>
        <v>3</v>
      </c>
      <c r="E95" s="79">
        <f t="shared" si="12"/>
        <v>47660</v>
      </c>
      <c r="F95" s="79">
        <f>IF(B94&gt;$C$18,"",IF(COUNTIF(Feriados!$A$2:$B$17,EDATE($C$38,B94))=0,EDATE($C$38,B94),EDATE($C$38,B94)+VLOOKUP(EDATE($C$38,B94),Feriados!$A$2:$B$17,2,FALSE)))</f>
        <v>47660</v>
      </c>
      <c r="G95" s="32">
        <f t="shared" si="13"/>
        <v>30</v>
      </c>
      <c r="H95" s="32">
        <f t="shared" si="14"/>
        <v>1769</v>
      </c>
      <c r="I95" s="57">
        <f t="shared" ca="1" si="15"/>
        <v>14428.040599450733</v>
      </c>
      <c r="J95" s="57">
        <f t="shared" ca="1" si="16"/>
        <v>1856.9648956984845</v>
      </c>
      <c r="K95" s="58">
        <f t="shared" ca="1" si="1"/>
        <v>453.73286400088477</v>
      </c>
      <c r="L95" s="58">
        <f t="shared" ca="1" si="17"/>
        <v>1168.6712885555087</v>
      </c>
      <c r="M95" s="59">
        <f t="shared" si="2"/>
        <v>0</v>
      </c>
      <c r="N95" s="32">
        <f t="shared" si="3"/>
        <v>0</v>
      </c>
      <c r="O95" s="58">
        <f t="shared" ca="1" si="4"/>
        <v>3479.3690482548782</v>
      </c>
      <c r="P95" s="58">
        <f t="shared" ca="1" si="5"/>
        <v>12571.075703752249</v>
      </c>
      <c r="Q95" s="58">
        <f t="shared" ca="1" si="6"/>
        <v>1.8665492466282379E-3</v>
      </c>
      <c r="R95" s="58">
        <f t="shared" ca="1" si="7"/>
        <v>1.8665492466282379E-3</v>
      </c>
      <c r="T95" s="32">
        <f t="shared" ca="1" si="8"/>
        <v>3479.3690482548782</v>
      </c>
      <c r="U95" s="32">
        <f t="shared" si="9"/>
        <v>1769</v>
      </c>
      <c r="V95" s="59">
        <f t="shared" si="10"/>
        <v>24.899650168325426</v>
      </c>
      <c r="W95" s="57">
        <f t="shared" ca="1" si="11"/>
        <v>139.74</v>
      </c>
      <c r="X95" s="58">
        <f t="shared" ca="1" si="18"/>
        <v>1168.6712885555087</v>
      </c>
      <c r="Y95" s="58">
        <f t="shared" ca="1" si="19"/>
        <v>1168.6712885555087</v>
      </c>
    </row>
    <row r="96" spans="2:25" s="16" customFormat="1" x14ac:dyDescent="0.3">
      <c r="B96" s="32">
        <v>59</v>
      </c>
      <c r="C96" s="79">
        <f t="shared" si="20"/>
        <v>47690</v>
      </c>
      <c r="D96" s="32">
        <f t="shared" si="0"/>
        <v>5</v>
      </c>
      <c r="E96" s="79">
        <f t="shared" si="12"/>
        <v>47690</v>
      </c>
      <c r="F96" s="79">
        <f>IF(B95&gt;$C$18,"",IF(COUNTIF(Feriados!$A$2:$B$17,EDATE($C$38,B95))=0,EDATE($C$38,B95),EDATE($C$38,B95)+VLOOKUP(EDATE($C$38,B95),Feriados!$A$2:$B$17,2,FALSE)))</f>
        <v>47690</v>
      </c>
      <c r="G96" s="32">
        <f t="shared" si="13"/>
        <v>30</v>
      </c>
      <c r="H96" s="32">
        <f t="shared" si="14"/>
        <v>1799</v>
      </c>
      <c r="I96" s="57">
        <f t="shared" ca="1" si="15"/>
        <v>12571.075703752249</v>
      </c>
      <c r="J96" s="57">
        <f t="shared" ca="1" si="16"/>
        <v>2065.7768641127795</v>
      </c>
      <c r="K96" s="58">
        <f t="shared" ca="1" si="1"/>
        <v>395.33505213816704</v>
      </c>
      <c r="L96" s="58">
        <f t="shared" ca="1" si="17"/>
        <v>1018.2571320039317</v>
      </c>
      <c r="M96" s="59">
        <f t="shared" si="2"/>
        <v>0</v>
      </c>
      <c r="N96" s="32">
        <f t="shared" si="3"/>
        <v>0</v>
      </c>
      <c r="O96" s="58">
        <f t="shared" ca="1" si="4"/>
        <v>3479.3690482548782</v>
      </c>
      <c r="P96" s="58">
        <f t="shared" ca="1" si="5"/>
        <v>10505.298839639468</v>
      </c>
      <c r="Q96" s="58">
        <f t="shared" ca="1" si="6"/>
        <v>1.6778755185496467E-3</v>
      </c>
      <c r="R96" s="58">
        <f t="shared" ca="1" si="7"/>
        <v>1.6778755185496467E-3</v>
      </c>
      <c r="T96" s="32">
        <f t="shared" ca="1" si="8"/>
        <v>3479.3690482548782</v>
      </c>
      <c r="U96" s="32">
        <f t="shared" si="9"/>
        <v>1799</v>
      </c>
      <c r="V96" s="59">
        <f t="shared" si="10"/>
        <v>26.294863153726752</v>
      </c>
      <c r="W96" s="57">
        <f t="shared" ca="1" si="11"/>
        <v>132.32</v>
      </c>
      <c r="X96" s="58">
        <f t="shared" ca="1" si="18"/>
        <v>1018.2571320039317</v>
      </c>
      <c r="Y96" s="58">
        <f t="shared" ca="1" si="19"/>
        <v>1018.2571320039317</v>
      </c>
    </row>
    <row r="97" spans="2:25" s="16" customFormat="1" x14ac:dyDescent="0.3">
      <c r="B97" s="32">
        <v>60</v>
      </c>
      <c r="C97" s="79">
        <f t="shared" si="20"/>
        <v>47721</v>
      </c>
      <c r="D97" s="32">
        <f t="shared" si="0"/>
        <v>1</v>
      </c>
      <c r="E97" s="79">
        <f t="shared" si="12"/>
        <v>47721</v>
      </c>
      <c r="F97" s="79">
        <f>IF(B96&gt;$C$18,"",IF(COUNTIF(Feriados!$A$2:$B$17,EDATE($C$38,B96))=0,EDATE($C$38,B96),EDATE($C$38,B96)+VLOOKUP(EDATE($C$38,B96),Feriados!$A$2:$B$17,2,FALSE)))</f>
        <v>47721</v>
      </c>
      <c r="G97" s="32">
        <f t="shared" si="13"/>
        <v>31</v>
      </c>
      <c r="H97" s="32">
        <f t="shared" si="14"/>
        <v>1830</v>
      </c>
      <c r="I97" s="57">
        <f t="shared" ca="1" si="15"/>
        <v>10505.298839639468</v>
      </c>
      <c r="J97" s="57">
        <f t="shared" ca="1" si="16"/>
        <v>2257.3582744664313</v>
      </c>
      <c r="K97" s="58">
        <f t="shared" ca="1" si="1"/>
        <v>341.56001901642543</v>
      </c>
      <c r="L97" s="58">
        <f t="shared" ca="1" si="17"/>
        <v>880.45075477202124</v>
      </c>
      <c r="M97" s="59">
        <f t="shared" si="2"/>
        <v>0</v>
      </c>
      <c r="N97" s="32">
        <f t="shared" si="3"/>
        <v>0</v>
      </c>
      <c r="O97" s="58">
        <f t="shared" ca="1" si="4"/>
        <v>3479.3690482548782</v>
      </c>
      <c r="P97" s="58">
        <f t="shared" ca="1" si="5"/>
        <v>8247.9405651730376</v>
      </c>
      <c r="Q97" s="58">
        <f t="shared" ca="1" si="6"/>
        <v>1.5029251946356713E-3</v>
      </c>
      <c r="R97" s="58">
        <f t="shared" ca="1" si="7"/>
        <v>1.5029251946356713E-3</v>
      </c>
      <c r="T97" s="32">
        <f t="shared" ca="1" si="8"/>
        <v>3479.3690482548782</v>
      </c>
      <c r="U97" s="32">
        <f t="shared" si="9"/>
        <v>1830</v>
      </c>
      <c r="V97" s="59">
        <f t="shared" si="10"/>
        <v>27.818764636057313</v>
      </c>
      <c r="W97" s="57">
        <f t="shared" ca="1" si="11"/>
        <v>125.07</v>
      </c>
      <c r="X97" s="58">
        <f t="shared" ca="1" si="18"/>
        <v>880.45075477202124</v>
      </c>
      <c r="Y97" s="58">
        <f t="shared" ca="1" si="19"/>
        <v>880.45075477202124</v>
      </c>
    </row>
    <row r="98" spans="2:25" s="16" customFormat="1" x14ac:dyDescent="0.3">
      <c r="B98" s="32">
        <v>61</v>
      </c>
      <c r="C98" s="79">
        <f t="shared" si="20"/>
        <v>47752</v>
      </c>
      <c r="D98" s="32">
        <f t="shared" si="0"/>
        <v>4</v>
      </c>
      <c r="E98" s="79">
        <f t="shared" si="12"/>
        <v>47752</v>
      </c>
      <c r="F98" s="79">
        <f>IF(B97&gt;$C$18,"",IF(COUNTIF(Feriados!$A$2:$B$17,EDATE($C$38,B97))=0,EDATE($C$38,B97),EDATE($C$38,B97)+VLOOKUP(EDATE($C$38,B97),Feriados!$A$2:$B$17,2,FALSE)))</f>
        <v>47752</v>
      </c>
      <c r="G98" s="32">
        <f t="shared" si="13"/>
        <v>31</v>
      </c>
      <c r="H98" s="32">
        <f t="shared" si="14"/>
        <v>1861</v>
      </c>
      <c r="I98" s="57">
        <f t="shared" ca="1" si="15"/>
        <v>8247.9405651730376</v>
      </c>
      <c r="J98" s="57">
        <f t="shared" ca="1" si="16"/>
        <v>2519.9415834999463</v>
      </c>
      <c r="K98" s="58">
        <f t="shared" ca="1" si="1"/>
        <v>268.16626345334237</v>
      </c>
      <c r="L98" s="58">
        <f t="shared" ca="1" si="17"/>
        <v>691.26120130158938</v>
      </c>
      <c r="M98" s="59">
        <f t="shared" si="2"/>
        <v>0</v>
      </c>
      <c r="N98" s="32">
        <f t="shared" si="3"/>
        <v>0</v>
      </c>
      <c r="O98" s="58">
        <f t="shared" ca="1" si="4"/>
        <v>3479.3690482548782</v>
      </c>
      <c r="P98" s="58">
        <f t="shared" ca="1" si="5"/>
        <v>5727.9989816730913</v>
      </c>
      <c r="Q98" s="58">
        <f t="shared" ca="1" si="6"/>
        <v>1.346216757857675E-3</v>
      </c>
      <c r="R98" s="58">
        <f t="shared" ca="1" si="7"/>
        <v>1.346216757857675E-3</v>
      </c>
      <c r="T98" s="32">
        <f t="shared" ca="1" si="8"/>
        <v>3479.3690482548782</v>
      </c>
      <c r="U98" s="32">
        <f t="shared" si="9"/>
        <v>1861</v>
      </c>
      <c r="V98" s="59">
        <f t="shared" si="10"/>
        <v>29.430982825505637</v>
      </c>
      <c r="W98" s="57">
        <f t="shared" ca="1" si="11"/>
        <v>118.22</v>
      </c>
      <c r="X98" s="58">
        <f t="shared" ca="1" si="18"/>
        <v>691.26120130158938</v>
      </c>
      <c r="Y98" s="58">
        <f t="shared" ca="1" si="19"/>
        <v>691.26120130158938</v>
      </c>
    </row>
    <row r="99" spans="2:25" s="16" customFormat="1" x14ac:dyDescent="0.3">
      <c r="B99" s="32">
        <v>62</v>
      </c>
      <c r="C99" s="79">
        <f t="shared" si="20"/>
        <v>47782</v>
      </c>
      <c r="D99" s="32">
        <f t="shared" si="0"/>
        <v>6</v>
      </c>
      <c r="E99" s="79">
        <f t="shared" si="12"/>
        <v>47782</v>
      </c>
      <c r="F99" s="79">
        <f>IF(B98&gt;$C$18,"",IF(COUNTIF(Feriados!$A$2:$B$17,EDATE($C$38,B98))=0,EDATE($C$38,B98),EDATE($C$38,B98)+VLOOKUP(EDATE($C$38,B98),Feriados!$A$2:$B$17,2,FALSE)))</f>
        <v>47782</v>
      </c>
      <c r="G99" s="32">
        <f t="shared" si="13"/>
        <v>30</v>
      </c>
      <c r="H99" s="32">
        <f t="shared" si="14"/>
        <v>1891</v>
      </c>
      <c r="I99" s="57">
        <f t="shared" ca="1" si="15"/>
        <v>5727.9989816730913</v>
      </c>
      <c r="J99" s="57">
        <f t="shared" ca="1" si="16"/>
        <v>2835.2670810023737</v>
      </c>
      <c r="K99" s="58">
        <f t="shared" ca="1" si="1"/>
        <v>180.13404973698405</v>
      </c>
      <c r="L99" s="58">
        <f t="shared" ca="1" si="17"/>
        <v>463.96791751552018</v>
      </c>
      <c r="M99" s="59">
        <f t="shared" si="2"/>
        <v>0</v>
      </c>
      <c r="N99" s="32">
        <f t="shared" si="3"/>
        <v>0</v>
      </c>
      <c r="O99" s="58">
        <f t="shared" ca="1" si="4"/>
        <v>3479.3690482548782</v>
      </c>
      <c r="P99" s="58">
        <f t="shared" ca="1" si="5"/>
        <v>2892.7319006707176</v>
      </c>
      <c r="Q99" s="58">
        <f t="shared" ca="1" si="6"/>
        <v>1.210139054595515E-3</v>
      </c>
      <c r="R99" s="58">
        <f t="shared" ca="1" si="7"/>
        <v>1.210139054595515E-3</v>
      </c>
      <c r="T99" s="32">
        <f t="shared" ca="1" si="8"/>
        <v>3479.3690482548782</v>
      </c>
      <c r="U99" s="32">
        <f t="shared" si="9"/>
        <v>1891</v>
      </c>
      <c r="V99" s="59">
        <f t="shared" si="10"/>
        <v>31.080101955038803</v>
      </c>
      <c r="W99" s="57">
        <f t="shared" ca="1" si="11"/>
        <v>111.95</v>
      </c>
      <c r="X99" s="58">
        <f t="shared" ca="1" si="18"/>
        <v>463.96791751552018</v>
      </c>
      <c r="Y99" s="58">
        <f t="shared" ca="1" si="19"/>
        <v>463.96791751552018</v>
      </c>
    </row>
    <row r="100" spans="2:25" s="16" customFormat="1" x14ac:dyDescent="0.3">
      <c r="B100" s="32">
        <v>63</v>
      </c>
      <c r="C100" s="79">
        <f t="shared" si="20"/>
        <v>47813</v>
      </c>
      <c r="D100" s="32">
        <f t="shared" si="0"/>
        <v>2</v>
      </c>
      <c r="E100" s="79">
        <f t="shared" si="12"/>
        <v>47813</v>
      </c>
      <c r="F100" s="79">
        <f>IF(B99&gt;$C$18,"",IF(COUNTIF(Feriados!$A$2:$B$17,EDATE($C$38,B99))=0,EDATE($C$38,B99),EDATE($C$38,B99)+VLOOKUP(EDATE($C$38,B99),Feriados!$A$2:$B$17,2,FALSE)))</f>
        <v>47813</v>
      </c>
      <c r="G100" s="32">
        <f t="shared" si="13"/>
        <v>31</v>
      </c>
      <c r="H100" s="32">
        <f t="shared" si="14"/>
        <v>1922</v>
      </c>
      <c r="I100" s="57">
        <f t="shared" ca="1" si="15"/>
        <v>2892.7319006707176</v>
      </c>
      <c r="J100" s="57">
        <f t="shared" ca="1" si="16"/>
        <v>3142.8769976943763</v>
      </c>
      <c r="K100" s="58">
        <f t="shared" ca="1" si="1"/>
        <v>94.051733138171187</v>
      </c>
      <c r="L100" s="58">
        <f t="shared" ca="1" si="17"/>
        <v>242.44031742233085</v>
      </c>
      <c r="M100" s="59">
        <f t="shared" si="2"/>
        <v>0</v>
      </c>
      <c r="N100" s="32">
        <f t="shared" si="3"/>
        <v>0</v>
      </c>
      <c r="O100" s="58">
        <f t="shared" ca="1" si="4"/>
        <v>3479.3690482548782</v>
      </c>
      <c r="P100" s="58">
        <f t="shared" ca="1" si="5"/>
        <v>-250.14509702365876</v>
      </c>
      <c r="Q100" s="58">
        <f t="shared" ca="1" si="6"/>
        <v>1.0839591221500848E-3</v>
      </c>
      <c r="R100" s="58">
        <f t="shared" ca="1" si="7"/>
        <v>1.0839591221500848E-3</v>
      </c>
      <c r="T100" s="32">
        <f t="shared" ca="1" si="8"/>
        <v>3479.3690482548782</v>
      </c>
      <c r="U100" s="32">
        <f t="shared" si="9"/>
        <v>1922</v>
      </c>
      <c r="V100" s="59">
        <f t="shared" si="10"/>
        <v>32.881328801642702</v>
      </c>
      <c r="W100" s="57">
        <f t="shared" ca="1" si="11"/>
        <v>105.82</v>
      </c>
      <c r="X100" s="58">
        <f t="shared" ca="1" si="18"/>
        <v>242.44031742233085</v>
      </c>
      <c r="Y100" s="58">
        <f t="shared" ca="1" si="19"/>
        <v>242.44031742233085</v>
      </c>
    </row>
    <row r="101" spans="2:25" s="16" customFormat="1" x14ac:dyDescent="0.3">
      <c r="B101" s="32">
        <v>64</v>
      </c>
      <c r="C101" s="79">
        <f t="shared" si="20"/>
        <v>47843</v>
      </c>
      <c r="D101" s="32">
        <f t="shared" si="0"/>
        <v>4</v>
      </c>
      <c r="E101" s="79">
        <f t="shared" si="12"/>
        <v>47843</v>
      </c>
      <c r="F101" s="79">
        <f>IF(B100&gt;$C$18,"",IF(COUNTIF(Feriados!$A$2:$B$17,EDATE($C$38,B100))=0,EDATE($C$38,B100),EDATE($C$38,B100)+VLOOKUP(EDATE($C$38,B100),Feriados!$A$2:$B$17,2,FALSE)))</f>
        <v>47843</v>
      </c>
      <c r="G101" s="32">
        <f t="shared" si="13"/>
        <v>30</v>
      </c>
      <c r="H101" s="32">
        <f t="shared" si="14"/>
        <v>1952</v>
      </c>
      <c r="I101" s="57">
        <f t="shared" ca="1" si="15"/>
        <v>-250.14509702365876</v>
      </c>
      <c r="J101" s="57">
        <f t="shared" ca="1" si="16"/>
        <v>3507.497361406995</v>
      </c>
      <c r="K101" s="58">
        <f t="shared" ca="1" si="1"/>
        <v>-7.8665602932005019</v>
      </c>
      <c r="L101" s="58">
        <f t="shared" ca="1" si="17"/>
        <v>-20.261752858916349</v>
      </c>
      <c r="M101" s="59">
        <f t="shared" si="2"/>
        <v>0</v>
      </c>
      <c r="N101" s="32">
        <f t="shared" si="3"/>
        <v>0</v>
      </c>
      <c r="O101" s="58">
        <f t="shared" ca="1" si="4"/>
        <v>3479.3690482548782</v>
      </c>
      <c r="P101" s="58">
        <f t="shared" ca="1" si="5"/>
        <v>-3757.6424584306537</v>
      </c>
      <c r="Q101" s="58">
        <f t="shared" ca="1" si="6"/>
        <v>9.7439083241420267E-4</v>
      </c>
      <c r="R101" s="58">
        <f t="shared" ca="1" si="7"/>
        <v>9.7439083241420267E-4</v>
      </c>
      <c r="T101" s="32">
        <f t="shared" ca="1" si="8"/>
        <v>3479.3690482548782</v>
      </c>
      <c r="U101" s="32">
        <f t="shared" si="9"/>
        <v>1952</v>
      </c>
      <c r="V101" s="59">
        <f t="shared" si="10"/>
        <v>34.723782675940974</v>
      </c>
      <c r="W101" s="57">
        <f t="shared" ca="1" si="11"/>
        <v>100.2</v>
      </c>
      <c r="X101" s="58">
        <f t="shared" ca="1" si="18"/>
        <v>-20.261752858916349</v>
      </c>
      <c r="Y101" s="58">
        <f t="shared" ca="1" si="19"/>
        <v>-20.261752858916349</v>
      </c>
    </row>
    <row r="102" spans="2:25" s="16" customFormat="1" x14ac:dyDescent="0.3">
      <c r="B102" s="32">
        <v>65</v>
      </c>
      <c r="C102" s="79">
        <f t="shared" si="20"/>
        <v>47875</v>
      </c>
      <c r="D102" s="32">
        <f t="shared" ref="D102:D165" si="21">IF(B102&lt;=$C$18,WEEKDAY(C102,2),"")</f>
        <v>1</v>
      </c>
      <c r="E102" s="79">
        <f t="shared" si="12"/>
        <v>47875</v>
      </c>
      <c r="F102" s="79">
        <f>IF(B101&gt;$C$18,"",IF(COUNTIF(Feriados!$A$2:$B$17,EDATE($C$38,B101))=0,EDATE($C$38,B101),EDATE($C$38,B101)+VLOOKUP(EDATE($C$38,B101),Feriados!$A$2:$B$17,2,FALSE)))</f>
        <v>47874</v>
      </c>
      <c r="G102" s="32">
        <f t="shared" si="13"/>
        <v>32</v>
      </c>
      <c r="H102" s="32">
        <f t="shared" si="14"/>
        <v>1984</v>
      </c>
      <c r="I102" s="57">
        <f t="shared" ca="1" si="15"/>
        <v>-3757.6424584306537</v>
      </c>
      <c r="J102" s="57">
        <f t="shared" ca="1" si="16"/>
        <v>3931.0638532890639</v>
      </c>
      <c r="K102" s="58">
        <f t="shared" ref="K102:K165" ca="1" si="22">IF(B102&gt;C$18,"",((1+C$25)^(G102/360)-1)*I102)</f>
        <v>-126.17917789289029</v>
      </c>
      <c r="L102" s="58">
        <f t="shared" ca="1" si="17"/>
        <v>-325.51562714129545</v>
      </c>
      <c r="M102" s="59">
        <f t="shared" ref="M102:M165" si="23">IF(B102&gt;C$18,"",C$27*C$28)</f>
        <v>0</v>
      </c>
      <c r="N102" s="32">
        <f t="shared" ref="N102:N165" si="24">IF(B102&gt;C$18,"",C$29)</f>
        <v>0</v>
      </c>
      <c r="O102" s="58">
        <f t="shared" ref="O102:O165" ca="1" si="25">IF(B102&gt;C$18,"",IF(B102=C$18,I102+K102+L102+M102+N102,IF(AND(C$23=2,MONTH(E102)=7),2*C$30,IF(AND(C$24=2,MONTH(E102)=12),2*C$30,C$30))))</f>
        <v>3479.3690482548782</v>
      </c>
      <c r="P102" s="58">
        <f t="shared" ref="P102:P165" ca="1" si="26">IF(B102&gt;C$18,"",I102-J102)</f>
        <v>-7688.7063117197176</v>
      </c>
      <c r="Q102" s="58">
        <f t="shared" ref="Q102:Q165" ca="1" si="27">IFERROR(IF(AND(MONTH(E102)=7,C$23=2),2/(1+C$26)^(H102/360),IF(AND(MONTH(E102)=12,C$24=2),2/(1+C$26)^(H102/360),1/(1+C$26)^(H102/360))),"")</f>
        <v>8.6969737560299294E-4</v>
      </c>
      <c r="R102" s="58">
        <f t="shared" ref="R102:R165" ca="1" si="28">IFERROR(1/(1+C$26)^(H102/360),"")</f>
        <v>8.6969737560299294E-4</v>
      </c>
      <c r="T102" s="32">
        <f t="shared" ref="T102:T165" ca="1" si="29">IFERROR(J102+K102+L102+M102+N102,"")</f>
        <v>3479.3690482548782</v>
      </c>
      <c r="U102" s="32">
        <f t="shared" ref="U102:U165" si="30">H102</f>
        <v>1984</v>
      </c>
      <c r="V102" s="59">
        <f t="shared" ref="V102:V165" si="31">IFERROR((1+C$32)^(U102/360),"")</f>
        <v>36.802999033816782</v>
      </c>
      <c r="W102" s="57">
        <f t="shared" ref="W102:W165" ca="1" si="32">IFERROR(ROUND(T102/V102,2),"")</f>
        <v>94.54</v>
      </c>
      <c r="X102" s="58">
        <f t="shared" ca="1" si="18"/>
        <v>-325.51562714129545</v>
      </c>
      <c r="Y102" s="58">
        <f t="shared" ca="1" si="19"/>
        <v>-325.51562714129545</v>
      </c>
    </row>
    <row r="103" spans="2:25" s="16" customFormat="1" x14ac:dyDescent="0.3">
      <c r="B103" s="32">
        <v>66</v>
      </c>
      <c r="C103" s="79">
        <f t="shared" si="20"/>
        <v>47905</v>
      </c>
      <c r="D103" s="32">
        <f t="shared" si="21"/>
        <v>3</v>
      </c>
      <c r="E103" s="79">
        <f t="shared" ref="E103:E166" si="33">IF(D103=7,C103+1,C103)</f>
        <v>47905</v>
      </c>
      <c r="F103" s="79">
        <f>IF(B102&gt;$C$18,"",IF(COUNTIF(Feriados!$A$2:$B$17,EDATE($C$38,B102))=0,EDATE($C$38,B102),EDATE($C$38,B102)+VLOOKUP(EDATE($C$38,B102),Feriados!$A$2:$B$17,2,FALSE)))</f>
        <v>47905</v>
      </c>
      <c r="G103" s="32">
        <f t="shared" ref="G103:G166" si="34">IF(B103&gt;C$18,"",E103-E102)</f>
        <v>30</v>
      </c>
      <c r="H103" s="32">
        <f t="shared" ref="H103:H166" si="35">IFERROR(G103+H102,"")</f>
        <v>2014</v>
      </c>
      <c r="I103" s="57">
        <f t="shared" ref="I103:I166" ca="1" si="36">IF(B103&gt;C$18,"",P102)</f>
        <v>-7688.7063117197176</v>
      </c>
      <c r="J103" s="57">
        <f t="shared" ref="J103:J166" ca="1" si="37">IF(B103&gt;C$18,"",O103-N103-M103-L103-K103)</f>
        <v>4343.9486120520232</v>
      </c>
      <c r="K103" s="58">
        <f t="shared" ca="1" si="22"/>
        <v>-241.79435254784886</v>
      </c>
      <c r="L103" s="58">
        <f t="shared" ref="L103:L166" ca="1" si="38">IF(B103&gt;C$18,"",((1+C$13)^(G103/30)-1)*I103)</f>
        <v>-622.78521124929682</v>
      </c>
      <c r="M103" s="59">
        <f t="shared" si="23"/>
        <v>0</v>
      </c>
      <c r="N103" s="32">
        <f t="shared" si="24"/>
        <v>0</v>
      </c>
      <c r="O103" s="58">
        <f t="shared" ca="1" si="25"/>
        <v>3479.3690482548782</v>
      </c>
      <c r="P103" s="58">
        <f t="shared" ca="1" si="26"/>
        <v>-12032.654923771741</v>
      </c>
      <c r="Q103" s="58">
        <f t="shared" ca="1" si="27"/>
        <v>7.8178699957000253E-4</v>
      </c>
      <c r="R103" s="58">
        <f t="shared" ca="1" si="28"/>
        <v>7.8178699957000253E-4</v>
      </c>
      <c r="T103" s="32">
        <f t="shared" ca="1" si="29"/>
        <v>3479.3690482548777</v>
      </c>
      <c r="U103" s="32">
        <f t="shared" si="30"/>
        <v>2014</v>
      </c>
      <c r="V103" s="59">
        <f t="shared" si="31"/>
        <v>38.865197571007997</v>
      </c>
      <c r="W103" s="57">
        <f t="shared" ca="1" si="32"/>
        <v>89.52</v>
      </c>
      <c r="X103" s="58">
        <f t="shared" ref="X103:X166" ca="1" si="39">IF(O103="",0,L103/((1+$I$9)^B103))</f>
        <v>-622.78521124929682</v>
      </c>
      <c r="Y103" s="58">
        <f t="shared" ref="Y103:Y166" ca="1" si="40">IF(O103="",0,L103/((1+$Q$30)^B103))</f>
        <v>-622.78521124929682</v>
      </c>
    </row>
    <row r="104" spans="2:25" s="16" customFormat="1" x14ac:dyDescent="0.3">
      <c r="B104" s="32">
        <v>67</v>
      </c>
      <c r="C104" s="79">
        <f t="shared" ref="C104:C167" si="41">IF(B104&gt;$C$18,"",IF(WEEKDAY(F104,2)=7,F104+1,F104))</f>
        <v>47933</v>
      </c>
      <c r="D104" s="32">
        <f t="shared" si="21"/>
        <v>3</v>
      </c>
      <c r="E104" s="79">
        <f t="shared" si="33"/>
        <v>47933</v>
      </c>
      <c r="F104" s="79">
        <f>IF(B103&gt;$C$18,"",IF(COUNTIF(Feriados!$A$2:$B$17,EDATE($C$38,B103))=0,EDATE($C$38,B103),EDATE($C$38,B103)+VLOOKUP(EDATE($C$38,B103),Feriados!$A$2:$B$17,2,FALSE)))</f>
        <v>47933</v>
      </c>
      <c r="G104" s="32">
        <f t="shared" si="34"/>
        <v>28</v>
      </c>
      <c r="H104" s="32">
        <f t="shared" si="35"/>
        <v>2042</v>
      </c>
      <c r="I104" s="57">
        <f t="shared" ca="1" si="36"/>
        <v>-12032.654923771741</v>
      </c>
      <c r="J104" s="57">
        <f t="shared" ca="1" si="37"/>
        <v>4739.4593690404072</v>
      </c>
      <c r="K104" s="58">
        <f t="shared" ca="1" si="22"/>
        <v>-352.80979908775407</v>
      </c>
      <c r="L104" s="58">
        <f t="shared" ca="1" si="38"/>
        <v>-907.28052169777482</v>
      </c>
      <c r="M104" s="59">
        <f t="shared" si="23"/>
        <v>0</v>
      </c>
      <c r="N104" s="32">
        <f t="shared" si="24"/>
        <v>0</v>
      </c>
      <c r="O104" s="58">
        <f t="shared" ca="1" si="25"/>
        <v>3479.3690482548782</v>
      </c>
      <c r="P104" s="58">
        <f t="shared" ca="1" si="26"/>
        <v>-16772.114292812148</v>
      </c>
      <c r="Q104" s="58">
        <f t="shared" ca="1" si="27"/>
        <v>7.0777308477593961E-4</v>
      </c>
      <c r="R104" s="58">
        <f t="shared" ca="1" si="28"/>
        <v>7.0777308477593961E-4</v>
      </c>
      <c r="T104" s="32">
        <f t="shared" ca="1" si="29"/>
        <v>3479.3690482548782</v>
      </c>
      <c r="U104" s="32">
        <f t="shared" si="30"/>
        <v>2042</v>
      </c>
      <c r="V104" s="59">
        <f t="shared" si="31"/>
        <v>40.894041933927568</v>
      </c>
      <c r="W104" s="57">
        <f t="shared" ca="1" si="32"/>
        <v>85.08</v>
      </c>
      <c r="X104" s="58">
        <f t="shared" ca="1" si="39"/>
        <v>-907.28052169777482</v>
      </c>
      <c r="Y104" s="58">
        <f t="shared" ca="1" si="40"/>
        <v>-907.28052169777482</v>
      </c>
    </row>
    <row r="105" spans="2:25" s="16" customFormat="1" x14ac:dyDescent="0.3">
      <c r="B105" s="32">
        <v>68</v>
      </c>
      <c r="C105" s="79">
        <f t="shared" si="41"/>
        <v>47964</v>
      </c>
      <c r="D105" s="32">
        <f t="shared" si="21"/>
        <v>6</v>
      </c>
      <c r="E105" s="79">
        <f t="shared" si="33"/>
        <v>47964</v>
      </c>
      <c r="F105" s="79">
        <f>IF(B104&gt;$C$18,"",IF(COUNTIF(Feriados!$A$2:$B$17,EDATE($C$38,B104))=0,EDATE($C$38,B104),EDATE($C$38,B104)+VLOOKUP(EDATE($C$38,B104),Feriados!$A$2:$B$17,2,FALSE)))</f>
        <v>47964</v>
      </c>
      <c r="G105" s="32">
        <f t="shared" si="34"/>
        <v>31</v>
      </c>
      <c r="H105" s="32">
        <f t="shared" si="35"/>
        <v>2073</v>
      </c>
      <c r="I105" s="57">
        <f t="shared" ca="1" si="36"/>
        <v>-16772.114292812148</v>
      </c>
      <c r="J105" s="57">
        <f t="shared" ca="1" si="37"/>
        <v>5430.3563240943377</v>
      </c>
      <c r="K105" s="58">
        <f t="shared" ca="1" si="22"/>
        <v>-545.31372826659936</v>
      </c>
      <c r="L105" s="58">
        <f t="shared" ca="1" si="38"/>
        <v>-1405.6735475728599</v>
      </c>
      <c r="M105" s="59">
        <f t="shared" si="23"/>
        <v>0</v>
      </c>
      <c r="N105" s="32">
        <f t="shared" si="24"/>
        <v>0</v>
      </c>
      <c r="O105" s="58">
        <f t="shared" ca="1" si="25"/>
        <v>3479.3690482548782</v>
      </c>
      <c r="P105" s="58">
        <f t="shared" ca="1" si="26"/>
        <v>-22202.470616906485</v>
      </c>
      <c r="Q105" s="58">
        <f t="shared" ca="1" si="27"/>
        <v>6.3397432612537035E-4</v>
      </c>
      <c r="R105" s="58">
        <f t="shared" ca="1" si="28"/>
        <v>6.3397432612537035E-4</v>
      </c>
      <c r="T105" s="32">
        <f t="shared" ca="1" si="29"/>
        <v>3479.3690482548782</v>
      </c>
      <c r="U105" s="32">
        <f t="shared" si="30"/>
        <v>2073</v>
      </c>
      <c r="V105" s="59">
        <f t="shared" si="31"/>
        <v>43.264029210806328</v>
      </c>
      <c r="W105" s="57">
        <f t="shared" ca="1" si="32"/>
        <v>80.42</v>
      </c>
      <c r="X105" s="58">
        <f t="shared" ca="1" si="39"/>
        <v>-1405.6735475728599</v>
      </c>
      <c r="Y105" s="58">
        <f t="shared" ca="1" si="40"/>
        <v>-1405.6735475728599</v>
      </c>
    </row>
    <row r="106" spans="2:25" s="16" customFormat="1" x14ac:dyDescent="0.3">
      <c r="B106" s="32">
        <v>69</v>
      </c>
      <c r="C106" s="79">
        <f t="shared" si="41"/>
        <v>47994</v>
      </c>
      <c r="D106" s="32">
        <f t="shared" si="21"/>
        <v>1</v>
      </c>
      <c r="E106" s="79">
        <f t="shared" si="33"/>
        <v>47994</v>
      </c>
      <c r="F106" s="79">
        <f>IF(B105&gt;$C$18,"",IF(COUNTIF(Feriados!$A$2:$B$17,EDATE($C$38,B105))=0,EDATE($C$38,B105),EDATE($C$38,B105)+VLOOKUP(EDATE($C$38,B105),Feriados!$A$2:$B$17,2,FALSE)))</f>
        <v>47994</v>
      </c>
      <c r="G106" s="32">
        <f t="shared" si="34"/>
        <v>30</v>
      </c>
      <c r="H106" s="32">
        <f t="shared" si="35"/>
        <v>2103</v>
      </c>
      <c r="I106" s="57">
        <f t="shared" ca="1" si="36"/>
        <v>-22202.470616906485</v>
      </c>
      <c r="J106" s="57">
        <f t="shared" ca="1" si="37"/>
        <v>5975.9922229395752</v>
      </c>
      <c r="K106" s="58">
        <f t="shared" ca="1" si="22"/>
        <v>-698.22305471527307</v>
      </c>
      <c r="L106" s="58">
        <f t="shared" ca="1" si="38"/>
        <v>-1798.4001199694244</v>
      </c>
      <c r="M106" s="59">
        <f t="shared" si="23"/>
        <v>0</v>
      </c>
      <c r="N106" s="32">
        <f t="shared" si="24"/>
        <v>0</v>
      </c>
      <c r="O106" s="58">
        <f t="shared" ca="1" si="25"/>
        <v>3479.3690482548782</v>
      </c>
      <c r="P106" s="58">
        <f t="shared" ca="1" si="26"/>
        <v>-28178.462839846059</v>
      </c>
      <c r="Q106" s="58">
        <f t="shared" ca="1" si="27"/>
        <v>5.6989120598682579E-4</v>
      </c>
      <c r="R106" s="58">
        <f t="shared" ca="1" si="28"/>
        <v>5.6989120598682579E-4</v>
      </c>
      <c r="T106" s="32">
        <f t="shared" ca="1" si="29"/>
        <v>3479.3690482548777</v>
      </c>
      <c r="U106" s="32">
        <f t="shared" si="30"/>
        <v>2103</v>
      </c>
      <c r="V106" s="59">
        <f t="shared" si="31"/>
        <v>45.688261477028512</v>
      </c>
      <c r="W106" s="57">
        <f t="shared" ca="1" si="32"/>
        <v>76.150000000000006</v>
      </c>
      <c r="X106" s="58">
        <f t="shared" ca="1" si="39"/>
        <v>-1798.4001199694244</v>
      </c>
      <c r="Y106" s="58">
        <f t="shared" ca="1" si="40"/>
        <v>-1798.4001199694244</v>
      </c>
    </row>
    <row r="107" spans="2:25" s="16" customFormat="1" x14ac:dyDescent="0.3">
      <c r="B107" s="32">
        <v>70</v>
      </c>
      <c r="C107" s="79">
        <f t="shared" si="41"/>
        <v>48025</v>
      </c>
      <c r="D107" s="32">
        <f t="shared" si="21"/>
        <v>4</v>
      </c>
      <c r="E107" s="79">
        <f t="shared" si="33"/>
        <v>48025</v>
      </c>
      <c r="F107" s="79">
        <f>IF(B106&gt;$C$18,"",IF(COUNTIF(Feriados!$A$2:$B$17,EDATE($C$38,B106))=0,EDATE($C$38,B106),EDATE($C$38,B106)+VLOOKUP(EDATE($C$38,B106),Feriados!$A$2:$B$17,2,FALSE)))</f>
        <v>48025</v>
      </c>
      <c r="G107" s="32">
        <f t="shared" si="34"/>
        <v>31</v>
      </c>
      <c r="H107" s="32">
        <f t="shared" si="35"/>
        <v>2134</v>
      </c>
      <c r="I107" s="57">
        <f t="shared" ca="1" si="36"/>
        <v>-28178.462839846059</v>
      </c>
      <c r="J107" s="57">
        <f t="shared" ca="1" si="37"/>
        <v>6757.1801514629642</v>
      </c>
      <c r="K107" s="58">
        <f t="shared" ca="1" si="22"/>
        <v>-916.16968259055875</v>
      </c>
      <c r="L107" s="58">
        <f t="shared" ca="1" si="38"/>
        <v>-2361.6414206175273</v>
      </c>
      <c r="M107" s="59">
        <f t="shared" si="23"/>
        <v>0</v>
      </c>
      <c r="N107" s="32">
        <f t="shared" si="24"/>
        <v>0</v>
      </c>
      <c r="O107" s="58">
        <f t="shared" ca="1" si="25"/>
        <v>3479.3690482548782</v>
      </c>
      <c r="P107" s="58">
        <f t="shared" ca="1" si="26"/>
        <v>-34935.642991309025</v>
      </c>
      <c r="Q107" s="58">
        <f t="shared" ca="1" si="27"/>
        <v>5.1046924650242735E-4</v>
      </c>
      <c r="R107" s="58">
        <f t="shared" ca="1" si="28"/>
        <v>5.1046924650242735E-4</v>
      </c>
      <c r="T107" s="32">
        <f t="shared" ca="1" si="29"/>
        <v>3479.3690482548786</v>
      </c>
      <c r="U107" s="32">
        <f t="shared" si="30"/>
        <v>2134</v>
      </c>
      <c r="V107" s="59">
        <f t="shared" si="31"/>
        <v>48.336094591158343</v>
      </c>
      <c r="W107" s="57">
        <f t="shared" ca="1" si="32"/>
        <v>71.98</v>
      </c>
      <c r="X107" s="58">
        <f t="shared" ca="1" si="39"/>
        <v>-2361.6414206175273</v>
      </c>
      <c r="Y107" s="58">
        <f t="shared" ca="1" si="40"/>
        <v>-2361.6414206175273</v>
      </c>
    </row>
    <row r="108" spans="2:25" s="16" customFormat="1" x14ac:dyDescent="0.3">
      <c r="B108" s="32">
        <v>71</v>
      </c>
      <c r="C108" s="79">
        <f t="shared" si="41"/>
        <v>48055</v>
      </c>
      <c r="D108" s="32">
        <f t="shared" si="21"/>
        <v>6</v>
      </c>
      <c r="E108" s="79">
        <f t="shared" si="33"/>
        <v>48055</v>
      </c>
      <c r="F108" s="79">
        <f>IF(B107&gt;$C$18,"",IF(COUNTIF(Feriados!$A$2:$B$17,EDATE($C$38,B107))=0,EDATE($C$38,B107),EDATE($C$38,B107)+VLOOKUP(EDATE($C$38,B107),Feriados!$A$2:$B$17,2,FALSE)))</f>
        <v>48055</v>
      </c>
      <c r="G108" s="32">
        <f t="shared" si="34"/>
        <v>30</v>
      </c>
      <c r="H108" s="32">
        <f t="shared" si="35"/>
        <v>2164</v>
      </c>
      <c r="I108" s="57">
        <f t="shared" ca="1" si="36"/>
        <v>-34935.642991309025</v>
      </c>
      <c r="J108" s="57">
        <f t="shared" ca="1" si="37"/>
        <v>7407.811851741666</v>
      </c>
      <c r="K108" s="58">
        <f t="shared" ca="1" si="22"/>
        <v>-1098.655721190758</v>
      </c>
      <c r="L108" s="58">
        <f t="shared" ca="1" si="38"/>
        <v>-2829.7870822960299</v>
      </c>
      <c r="M108" s="59">
        <f t="shared" si="23"/>
        <v>0</v>
      </c>
      <c r="N108" s="32">
        <f t="shared" si="24"/>
        <v>0</v>
      </c>
      <c r="O108" s="58">
        <f t="shared" ca="1" si="25"/>
        <v>3479.3690482548782</v>
      </c>
      <c r="P108" s="58">
        <f t="shared" ca="1" si="26"/>
        <v>-42343.454843050691</v>
      </c>
      <c r="Q108" s="58">
        <f t="shared" ca="1" si="27"/>
        <v>4.5887021369841107E-4</v>
      </c>
      <c r="R108" s="58">
        <f t="shared" ca="1" si="28"/>
        <v>4.5887021369841107E-4</v>
      </c>
      <c r="T108" s="32">
        <f t="shared" ca="1" si="29"/>
        <v>3479.3690482548777</v>
      </c>
      <c r="U108" s="32">
        <f t="shared" si="30"/>
        <v>2164</v>
      </c>
      <c r="V108" s="59">
        <f t="shared" si="31"/>
        <v>51.044532114628439</v>
      </c>
      <c r="W108" s="57">
        <f t="shared" ca="1" si="32"/>
        <v>68.16</v>
      </c>
      <c r="X108" s="58">
        <f t="shared" ca="1" si="39"/>
        <v>-2829.7870822960299</v>
      </c>
      <c r="Y108" s="58">
        <f t="shared" ca="1" si="40"/>
        <v>-2829.7870822960299</v>
      </c>
    </row>
    <row r="109" spans="2:25" s="16" customFormat="1" x14ac:dyDescent="0.3">
      <c r="B109" s="32">
        <v>72</v>
      </c>
      <c r="C109" s="79">
        <f t="shared" si="41"/>
        <v>48086</v>
      </c>
      <c r="D109" s="32">
        <f t="shared" si="21"/>
        <v>2</v>
      </c>
      <c r="E109" s="79">
        <f t="shared" si="33"/>
        <v>48086</v>
      </c>
      <c r="F109" s="79">
        <f>IF(B108&gt;$C$18,"",IF(COUNTIF(Feriados!$A$2:$B$17,EDATE($C$38,B108))=0,EDATE($C$38,B108),EDATE($C$38,B108)+VLOOKUP(EDATE($C$38,B108),Feriados!$A$2:$B$17,2,FALSE)))</f>
        <v>48086</v>
      </c>
      <c r="G109" s="32">
        <f t="shared" si="34"/>
        <v>31</v>
      </c>
      <c r="H109" s="32">
        <f t="shared" si="35"/>
        <v>2195</v>
      </c>
      <c r="I109" s="57">
        <f t="shared" ca="1" si="36"/>
        <v>-42343.454843050691</v>
      </c>
      <c r="J109" s="57">
        <f t="shared" ca="1" si="37"/>
        <v>-42343.454843050698</v>
      </c>
      <c r="K109" s="58">
        <f t="shared" ca="1" si="22"/>
        <v>-1376.7177366569704</v>
      </c>
      <c r="L109" s="58">
        <f t="shared" ca="1" si="38"/>
        <v>-3548.8116373754142</v>
      </c>
      <c r="M109" s="59">
        <f t="shared" si="23"/>
        <v>0</v>
      </c>
      <c r="N109" s="32">
        <f t="shared" si="24"/>
        <v>0</v>
      </c>
      <c r="O109" s="58">
        <f t="shared" ca="1" si="25"/>
        <v>-47268.984217083082</v>
      </c>
      <c r="P109" s="58">
        <f t="shared" ca="1" si="26"/>
        <v>7.2759576141834259E-12</v>
      </c>
      <c r="Q109" s="58">
        <f t="shared" ca="1" si="27"/>
        <v>4.1102429686281315E-4</v>
      </c>
      <c r="R109" s="58">
        <f t="shared" ca="1" si="28"/>
        <v>4.1102429686281315E-4</v>
      </c>
      <c r="T109" s="32">
        <f t="shared" ca="1" si="29"/>
        <v>-47268.984217083082</v>
      </c>
      <c r="U109" s="32">
        <f t="shared" si="30"/>
        <v>2195</v>
      </c>
      <c r="V109" s="59">
        <f t="shared" si="31"/>
        <v>54.002784367153566</v>
      </c>
      <c r="W109" s="57">
        <f t="shared" ca="1" si="32"/>
        <v>-875.31</v>
      </c>
      <c r="X109" s="58">
        <f t="shared" ca="1" si="39"/>
        <v>-3548.8116373754142</v>
      </c>
      <c r="Y109" s="58">
        <f t="shared" ca="1" si="40"/>
        <v>-3548.8116373754142</v>
      </c>
    </row>
    <row r="110" spans="2:25" s="16" customFormat="1" x14ac:dyDescent="0.3">
      <c r="B110" s="32">
        <v>73</v>
      </c>
      <c r="C110" s="79" t="str">
        <f t="shared" si="41"/>
        <v/>
      </c>
      <c r="D110" s="32" t="str">
        <f t="shared" si="21"/>
        <v/>
      </c>
      <c r="E110" s="79" t="str">
        <f t="shared" si="33"/>
        <v/>
      </c>
      <c r="F110" s="79">
        <f>IF(B109&gt;$C$18,"",IF(COUNTIF(Feriados!$A$2:$B$17,EDATE($C$38,B109))=0,EDATE($C$38,B109),EDATE($C$38,B109)+VLOOKUP(EDATE($C$38,B109),Feriados!$A$2:$B$17,2,FALSE)))</f>
        <v>48117</v>
      </c>
      <c r="G110" s="32" t="str">
        <f t="shared" si="34"/>
        <v/>
      </c>
      <c r="H110" s="32" t="str">
        <f t="shared" si="35"/>
        <v/>
      </c>
      <c r="I110" s="57" t="str">
        <f t="shared" si="36"/>
        <v/>
      </c>
      <c r="J110" s="57" t="str">
        <f t="shared" si="37"/>
        <v/>
      </c>
      <c r="K110" s="58" t="str">
        <f t="shared" si="22"/>
        <v/>
      </c>
      <c r="L110" s="58" t="str">
        <f t="shared" si="38"/>
        <v/>
      </c>
      <c r="M110" s="59" t="str">
        <f t="shared" si="23"/>
        <v/>
      </c>
      <c r="N110" s="32" t="str">
        <f t="shared" si="24"/>
        <v/>
      </c>
      <c r="O110" s="58" t="str">
        <f t="shared" si="25"/>
        <v/>
      </c>
      <c r="P110" s="58" t="str">
        <f t="shared" si="26"/>
        <v/>
      </c>
      <c r="Q110" s="58" t="str">
        <f t="shared" si="27"/>
        <v/>
      </c>
      <c r="R110" s="58" t="str">
        <f t="shared" ca="1" si="28"/>
        <v/>
      </c>
      <c r="T110" s="32" t="str">
        <f t="shared" si="29"/>
        <v/>
      </c>
      <c r="U110" s="32" t="str">
        <f t="shared" si="30"/>
        <v/>
      </c>
      <c r="V110" s="59" t="str">
        <f t="shared" si="31"/>
        <v/>
      </c>
      <c r="W110" s="57" t="str">
        <f t="shared" si="32"/>
        <v/>
      </c>
      <c r="X110" s="58">
        <f t="shared" si="39"/>
        <v>0</v>
      </c>
      <c r="Y110" s="58">
        <f t="shared" si="40"/>
        <v>0</v>
      </c>
    </row>
    <row r="111" spans="2:25" s="16" customFormat="1" x14ac:dyDescent="0.3">
      <c r="B111" s="32">
        <v>74</v>
      </c>
      <c r="C111" s="79" t="str">
        <f t="shared" si="41"/>
        <v/>
      </c>
      <c r="D111" s="32" t="str">
        <f t="shared" si="21"/>
        <v/>
      </c>
      <c r="E111" s="79" t="str">
        <f t="shared" si="33"/>
        <v/>
      </c>
      <c r="F111" s="79" t="str">
        <f>IF(B110&gt;$C$18,"",IF(COUNTIF(Feriados!$A$2:$B$17,EDATE($C$38,B110))=0,EDATE($C$38,B110),EDATE($C$38,B110)+VLOOKUP(EDATE($C$38,B110),Feriados!$A$2:$B$17,2,FALSE)))</f>
        <v/>
      </c>
      <c r="G111" s="32" t="str">
        <f t="shared" si="34"/>
        <v/>
      </c>
      <c r="H111" s="32" t="str">
        <f t="shared" si="35"/>
        <v/>
      </c>
      <c r="I111" s="57" t="str">
        <f t="shared" si="36"/>
        <v/>
      </c>
      <c r="J111" s="57" t="str">
        <f t="shared" si="37"/>
        <v/>
      </c>
      <c r="K111" s="58" t="str">
        <f t="shared" si="22"/>
        <v/>
      </c>
      <c r="L111" s="58" t="str">
        <f t="shared" si="38"/>
        <v/>
      </c>
      <c r="M111" s="59" t="str">
        <f t="shared" si="23"/>
        <v/>
      </c>
      <c r="N111" s="32" t="str">
        <f t="shared" si="24"/>
        <v/>
      </c>
      <c r="O111" s="58" t="str">
        <f t="shared" si="25"/>
        <v/>
      </c>
      <c r="P111" s="58" t="str">
        <f t="shared" si="26"/>
        <v/>
      </c>
      <c r="Q111" s="58" t="str">
        <f t="shared" si="27"/>
        <v/>
      </c>
      <c r="R111" s="58" t="str">
        <f t="shared" ca="1" si="28"/>
        <v/>
      </c>
      <c r="T111" s="32" t="str">
        <f t="shared" si="29"/>
        <v/>
      </c>
      <c r="U111" s="32" t="str">
        <f t="shared" si="30"/>
        <v/>
      </c>
      <c r="V111" s="59" t="str">
        <f t="shared" si="31"/>
        <v/>
      </c>
      <c r="W111" s="57" t="str">
        <f t="shared" si="32"/>
        <v/>
      </c>
      <c r="X111" s="58">
        <f t="shared" si="39"/>
        <v>0</v>
      </c>
      <c r="Y111" s="58">
        <f t="shared" si="40"/>
        <v>0</v>
      </c>
    </row>
    <row r="112" spans="2:25" s="16" customFormat="1" x14ac:dyDescent="0.3">
      <c r="B112" s="32">
        <v>75</v>
      </c>
      <c r="C112" s="79" t="str">
        <f t="shared" si="41"/>
        <v/>
      </c>
      <c r="D112" s="32" t="str">
        <f t="shared" si="21"/>
        <v/>
      </c>
      <c r="E112" s="79" t="str">
        <f t="shared" si="33"/>
        <v/>
      </c>
      <c r="F112" s="79" t="str">
        <f>IF(B111&gt;$C$18,"",IF(COUNTIF(Feriados!$A$2:$B$17,EDATE($C$38,B111))=0,EDATE($C$38,B111),EDATE($C$38,B111)+VLOOKUP(EDATE($C$38,B111),Feriados!$A$2:$B$17,2,FALSE)))</f>
        <v/>
      </c>
      <c r="G112" s="32" t="str">
        <f t="shared" si="34"/>
        <v/>
      </c>
      <c r="H112" s="32" t="str">
        <f t="shared" si="35"/>
        <v/>
      </c>
      <c r="I112" s="57" t="str">
        <f t="shared" si="36"/>
        <v/>
      </c>
      <c r="J112" s="57" t="str">
        <f t="shared" si="37"/>
        <v/>
      </c>
      <c r="K112" s="58" t="str">
        <f t="shared" si="22"/>
        <v/>
      </c>
      <c r="L112" s="58" t="str">
        <f t="shared" si="38"/>
        <v/>
      </c>
      <c r="M112" s="59" t="str">
        <f t="shared" si="23"/>
        <v/>
      </c>
      <c r="N112" s="32" t="str">
        <f t="shared" si="24"/>
        <v/>
      </c>
      <c r="O112" s="58" t="str">
        <f t="shared" si="25"/>
        <v/>
      </c>
      <c r="P112" s="58" t="str">
        <f t="shared" si="26"/>
        <v/>
      </c>
      <c r="Q112" s="58" t="str">
        <f t="shared" si="27"/>
        <v/>
      </c>
      <c r="R112" s="58" t="str">
        <f t="shared" ca="1" si="28"/>
        <v/>
      </c>
      <c r="T112" s="32" t="str">
        <f t="shared" si="29"/>
        <v/>
      </c>
      <c r="U112" s="32" t="str">
        <f t="shared" si="30"/>
        <v/>
      </c>
      <c r="V112" s="59" t="str">
        <f t="shared" si="31"/>
        <v/>
      </c>
      <c r="W112" s="57" t="str">
        <f t="shared" si="32"/>
        <v/>
      </c>
      <c r="X112" s="58">
        <f t="shared" si="39"/>
        <v>0</v>
      </c>
      <c r="Y112" s="58">
        <f t="shared" si="40"/>
        <v>0</v>
      </c>
    </row>
    <row r="113" spans="2:25" x14ac:dyDescent="0.3">
      <c r="B113" s="6">
        <v>76</v>
      </c>
      <c r="C113" s="79" t="str">
        <f t="shared" si="41"/>
        <v/>
      </c>
      <c r="D113" s="6" t="str">
        <f t="shared" si="21"/>
        <v/>
      </c>
      <c r="E113" s="79" t="str">
        <f t="shared" si="33"/>
        <v/>
      </c>
      <c r="F113" s="79" t="str">
        <f>IF(B112&gt;$C$18,"",IF(COUNTIF(Feriados!$A$2:$B$17,EDATE($C$38,B112))=0,EDATE($C$38,B112),EDATE($C$38,B112)+VLOOKUP(EDATE($C$38,B112),Feriados!$A$2:$B$17,2,FALSE)))</f>
        <v/>
      </c>
      <c r="G113" s="6" t="str">
        <f t="shared" si="34"/>
        <v/>
      </c>
      <c r="H113" s="6" t="str">
        <f t="shared" si="35"/>
        <v/>
      </c>
      <c r="I113" s="8" t="str">
        <f t="shared" si="36"/>
        <v/>
      </c>
      <c r="J113" s="8" t="str">
        <f t="shared" si="37"/>
        <v/>
      </c>
      <c r="K113" s="9" t="str">
        <f t="shared" si="22"/>
        <v/>
      </c>
      <c r="L113" s="9" t="str">
        <f t="shared" si="38"/>
        <v/>
      </c>
      <c r="M113" s="10" t="str">
        <f t="shared" si="23"/>
        <v/>
      </c>
      <c r="N113" s="6" t="str">
        <f t="shared" si="24"/>
        <v/>
      </c>
      <c r="O113" s="9" t="str">
        <f t="shared" si="25"/>
        <v/>
      </c>
      <c r="P113" s="9" t="str">
        <f t="shared" si="26"/>
        <v/>
      </c>
      <c r="Q113" s="9" t="str">
        <f t="shared" si="27"/>
        <v/>
      </c>
      <c r="R113" s="9" t="str">
        <f t="shared" ca="1" si="28"/>
        <v/>
      </c>
      <c r="T113" s="6" t="str">
        <f t="shared" si="29"/>
        <v/>
      </c>
      <c r="U113" s="6" t="str">
        <f t="shared" si="30"/>
        <v/>
      </c>
      <c r="V113" s="10" t="str">
        <f t="shared" si="31"/>
        <v/>
      </c>
      <c r="W113" s="8" t="str">
        <f t="shared" si="32"/>
        <v/>
      </c>
      <c r="X113" s="9">
        <f t="shared" si="39"/>
        <v>0</v>
      </c>
      <c r="Y113" s="9">
        <f t="shared" si="40"/>
        <v>0</v>
      </c>
    </row>
    <row r="114" spans="2:25" x14ac:dyDescent="0.3">
      <c r="B114" s="6">
        <v>77</v>
      </c>
      <c r="C114" s="79" t="str">
        <f t="shared" si="41"/>
        <v/>
      </c>
      <c r="D114" s="6" t="str">
        <f t="shared" si="21"/>
        <v/>
      </c>
      <c r="E114" s="79" t="str">
        <f t="shared" si="33"/>
        <v/>
      </c>
      <c r="F114" s="79" t="str">
        <f>IF(B113&gt;$C$18,"",IF(COUNTIF(Feriados!$A$2:$B$17,EDATE($C$38,B113))=0,EDATE($C$38,B113),EDATE($C$38,B113)+VLOOKUP(EDATE($C$38,B113),Feriados!$A$2:$B$17,2,FALSE)))</f>
        <v/>
      </c>
      <c r="G114" s="6" t="str">
        <f t="shared" si="34"/>
        <v/>
      </c>
      <c r="H114" s="6" t="str">
        <f t="shared" si="35"/>
        <v/>
      </c>
      <c r="I114" s="8" t="str">
        <f t="shared" si="36"/>
        <v/>
      </c>
      <c r="J114" s="8" t="str">
        <f t="shared" si="37"/>
        <v/>
      </c>
      <c r="K114" s="9" t="str">
        <f t="shared" si="22"/>
        <v/>
      </c>
      <c r="L114" s="9" t="str">
        <f t="shared" si="38"/>
        <v/>
      </c>
      <c r="M114" s="10" t="str">
        <f t="shared" si="23"/>
        <v/>
      </c>
      <c r="N114" s="6" t="str">
        <f t="shared" si="24"/>
        <v/>
      </c>
      <c r="O114" s="9" t="str">
        <f t="shared" si="25"/>
        <v/>
      </c>
      <c r="P114" s="9" t="str">
        <f t="shared" si="26"/>
        <v/>
      </c>
      <c r="Q114" s="9" t="str">
        <f t="shared" si="27"/>
        <v/>
      </c>
      <c r="R114" s="9" t="str">
        <f t="shared" ca="1" si="28"/>
        <v/>
      </c>
      <c r="T114" s="6" t="str">
        <f t="shared" si="29"/>
        <v/>
      </c>
      <c r="U114" s="6" t="str">
        <f t="shared" si="30"/>
        <v/>
      </c>
      <c r="V114" s="10" t="str">
        <f t="shared" si="31"/>
        <v/>
      </c>
      <c r="W114" s="8" t="str">
        <f t="shared" si="32"/>
        <v/>
      </c>
      <c r="X114" s="9">
        <f t="shared" si="39"/>
        <v>0</v>
      </c>
      <c r="Y114" s="9">
        <f t="shared" si="40"/>
        <v>0</v>
      </c>
    </row>
    <row r="115" spans="2:25" x14ac:dyDescent="0.3">
      <c r="B115" s="6">
        <v>78</v>
      </c>
      <c r="C115" s="79" t="str">
        <f t="shared" si="41"/>
        <v/>
      </c>
      <c r="D115" s="6" t="str">
        <f t="shared" si="21"/>
        <v/>
      </c>
      <c r="E115" s="79" t="str">
        <f t="shared" si="33"/>
        <v/>
      </c>
      <c r="F115" s="79" t="str">
        <f>IF(B114&gt;$C$18,"",IF(COUNTIF(Feriados!$A$2:$B$17,EDATE($C$38,B114))=0,EDATE($C$38,B114),EDATE($C$38,B114)+VLOOKUP(EDATE($C$38,B114),Feriados!$A$2:$B$17,2,FALSE)))</f>
        <v/>
      </c>
      <c r="G115" s="6" t="str">
        <f t="shared" si="34"/>
        <v/>
      </c>
      <c r="H115" s="6" t="str">
        <f t="shared" si="35"/>
        <v/>
      </c>
      <c r="I115" s="8" t="str">
        <f t="shared" si="36"/>
        <v/>
      </c>
      <c r="J115" s="8" t="str">
        <f t="shared" si="37"/>
        <v/>
      </c>
      <c r="K115" s="9" t="str">
        <f t="shared" si="22"/>
        <v/>
      </c>
      <c r="L115" s="9" t="str">
        <f t="shared" si="38"/>
        <v/>
      </c>
      <c r="M115" s="10" t="str">
        <f t="shared" si="23"/>
        <v/>
      </c>
      <c r="N115" s="6" t="str">
        <f t="shared" si="24"/>
        <v/>
      </c>
      <c r="O115" s="9" t="str">
        <f t="shared" si="25"/>
        <v/>
      </c>
      <c r="P115" s="9" t="str">
        <f t="shared" si="26"/>
        <v/>
      </c>
      <c r="Q115" s="9" t="str">
        <f t="shared" si="27"/>
        <v/>
      </c>
      <c r="R115" s="9" t="str">
        <f t="shared" ca="1" si="28"/>
        <v/>
      </c>
      <c r="T115" s="6" t="str">
        <f t="shared" si="29"/>
        <v/>
      </c>
      <c r="U115" s="6" t="str">
        <f t="shared" si="30"/>
        <v/>
      </c>
      <c r="V115" s="10" t="str">
        <f t="shared" si="31"/>
        <v/>
      </c>
      <c r="W115" s="8" t="str">
        <f t="shared" si="32"/>
        <v/>
      </c>
      <c r="X115" s="9">
        <f t="shared" si="39"/>
        <v>0</v>
      </c>
      <c r="Y115" s="9">
        <f t="shared" si="40"/>
        <v>0</v>
      </c>
    </row>
    <row r="116" spans="2:25" x14ac:dyDescent="0.3">
      <c r="B116" s="6">
        <v>79</v>
      </c>
      <c r="C116" s="79" t="str">
        <f t="shared" si="41"/>
        <v/>
      </c>
      <c r="D116" s="6" t="str">
        <f t="shared" si="21"/>
        <v/>
      </c>
      <c r="E116" s="79" t="str">
        <f t="shared" si="33"/>
        <v/>
      </c>
      <c r="F116" s="79" t="str">
        <f>IF(B115&gt;$C$18,"",IF(COUNTIF(Feriados!$A$2:$B$17,EDATE($C$38,B115))=0,EDATE($C$38,B115),EDATE($C$38,B115)+VLOOKUP(EDATE($C$38,B115),Feriados!$A$2:$B$17,2,FALSE)))</f>
        <v/>
      </c>
      <c r="G116" s="6" t="str">
        <f t="shared" si="34"/>
        <v/>
      </c>
      <c r="H116" s="6" t="str">
        <f t="shared" si="35"/>
        <v/>
      </c>
      <c r="I116" s="8" t="str">
        <f t="shared" si="36"/>
        <v/>
      </c>
      <c r="J116" s="8" t="str">
        <f t="shared" si="37"/>
        <v/>
      </c>
      <c r="K116" s="9" t="str">
        <f t="shared" si="22"/>
        <v/>
      </c>
      <c r="L116" s="9" t="str">
        <f t="shared" si="38"/>
        <v/>
      </c>
      <c r="M116" s="10" t="str">
        <f t="shared" si="23"/>
        <v/>
      </c>
      <c r="N116" s="6" t="str">
        <f t="shared" si="24"/>
        <v/>
      </c>
      <c r="O116" s="9" t="str">
        <f t="shared" si="25"/>
        <v/>
      </c>
      <c r="P116" s="9" t="str">
        <f t="shared" si="26"/>
        <v/>
      </c>
      <c r="Q116" s="9" t="str">
        <f t="shared" si="27"/>
        <v/>
      </c>
      <c r="R116" s="9" t="str">
        <f t="shared" ca="1" si="28"/>
        <v/>
      </c>
      <c r="T116" s="6" t="str">
        <f t="shared" si="29"/>
        <v/>
      </c>
      <c r="U116" s="6" t="str">
        <f t="shared" si="30"/>
        <v/>
      </c>
      <c r="V116" s="10" t="str">
        <f t="shared" si="31"/>
        <v/>
      </c>
      <c r="W116" s="8" t="str">
        <f t="shared" si="32"/>
        <v/>
      </c>
      <c r="X116" s="9">
        <f t="shared" si="39"/>
        <v>0</v>
      </c>
      <c r="Y116" s="9">
        <f t="shared" si="40"/>
        <v>0</v>
      </c>
    </row>
    <row r="117" spans="2:25" x14ac:dyDescent="0.3">
      <c r="B117" s="6">
        <v>80</v>
      </c>
      <c r="C117" s="79" t="str">
        <f t="shared" si="41"/>
        <v/>
      </c>
      <c r="D117" s="6" t="str">
        <f t="shared" si="21"/>
        <v/>
      </c>
      <c r="E117" s="79" t="str">
        <f t="shared" si="33"/>
        <v/>
      </c>
      <c r="F117" s="79" t="str">
        <f>IF(B116&gt;$C$18,"",IF(COUNTIF(Feriados!$A$2:$B$17,EDATE($C$38,B116))=0,EDATE($C$38,B116),EDATE($C$38,B116)+VLOOKUP(EDATE($C$38,B116),Feriados!$A$2:$B$17,2,FALSE)))</f>
        <v/>
      </c>
      <c r="G117" s="6" t="str">
        <f t="shared" si="34"/>
        <v/>
      </c>
      <c r="H117" s="6" t="str">
        <f t="shared" si="35"/>
        <v/>
      </c>
      <c r="I117" s="8" t="str">
        <f t="shared" si="36"/>
        <v/>
      </c>
      <c r="J117" s="8" t="str">
        <f t="shared" si="37"/>
        <v/>
      </c>
      <c r="K117" s="9" t="str">
        <f t="shared" si="22"/>
        <v/>
      </c>
      <c r="L117" s="9" t="str">
        <f t="shared" si="38"/>
        <v/>
      </c>
      <c r="M117" s="10" t="str">
        <f t="shared" si="23"/>
        <v/>
      </c>
      <c r="N117" s="6" t="str">
        <f t="shared" si="24"/>
        <v/>
      </c>
      <c r="O117" s="9" t="str">
        <f t="shared" si="25"/>
        <v/>
      </c>
      <c r="P117" s="9" t="str">
        <f t="shared" si="26"/>
        <v/>
      </c>
      <c r="Q117" s="9" t="str">
        <f t="shared" si="27"/>
        <v/>
      </c>
      <c r="R117" s="9" t="str">
        <f t="shared" ca="1" si="28"/>
        <v/>
      </c>
      <c r="T117" s="6" t="str">
        <f t="shared" si="29"/>
        <v/>
      </c>
      <c r="U117" s="6" t="str">
        <f t="shared" si="30"/>
        <v/>
      </c>
      <c r="V117" s="10" t="str">
        <f t="shared" si="31"/>
        <v/>
      </c>
      <c r="W117" s="8" t="str">
        <f t="shared" si="32"/>
        <v/>
      </c>
      <c r="X117" s="9">
        <f t="shared" si="39"/>
        <v>0</v>
      </c>
      <c r="Y117" s="9">
        <f t="shared" si="40"/>
        <v>0</v>
      </c>
    </row>
    <row r="118" spans="2:25" x14ac:dyDescent="0.3">
      <c r="B118" s="6">
        <v>81</v>
      </c>
      <c r="C118" s="79" t="str">
        <f t="shared" si="41"/>
        <v/>
      </c>
      <c r="D118" s="6" t="str">
        <f t="shared" si="21"/>
        <v/>
      </c>
      <c r="E118" s="79" t="str">
        <f t="shared" si="33"/>
        <v/>
      </c>
      <c r="F118" s="79" t="str">
        <f>IF(B117&gt;$C$18,"",IF(COUNTIF(Feriados!$A$2:$B$17,EDATE($C$38,B117))=0,EDATE($C$38,B117),EDATE($C$38,B117)+VLOOKUP(EDATE($C$38,B117),Feriados!$A$2:$B$17,2,FALSE)))</f>
        <v/>
      </c>
      <c r="G118" s="6" t="str">
        <f t="shared" si="34"/>
        <v/>
      </c>
      <c r="H118" s="6" t="str">
        <f t="shared" si="35"/>
        <v/>
      </c>
      <c r="I118" s="8" t="str">
        <f t="shared" si="36"/>
        <v/>
      </c>
      <c r="J118" s="8" t="str">
        <f t="shared" si="37"/>
        <v/>
      </c>
      <c r="K118" s="9" t="str">
        <f t="shared" si="22"/>
        <v/>
      </c>
      <c r="L118" s="9" t="str">
        <f t="shared" si="38"/>
        <v/>
      </c>
      <c r="M118" s="10" t="str">
        <f t="shared" si="23"/>
        <v/>
      </c>
      <c r="N118" s="6" t="str">
        <f t="shared" si="24"/>
        <v/>
      </c>
      <c r="O118" s="9" t="str">
        <f t="shared" si="25"/>
        <v/>
      </c>
      <c r="P118" s="9" t="str">
        <f t="shared" si="26"/>
        <v/>
      </c>
      <c r="Q118" s="9" t="str">
        <f t="shared" si="27"/>
        <v/>
      </c>
      <c r="R118" s="9" t="str">
        <f t="shared" ca="1" si="28"/>
        <v/>
      </c>
      <c r="T118" s="6" t="str">
        <f t="shared" si="29"/>
        <v/>
      </c>
      <c r="U118" s="6" t="str">
        <f t="shared" si="30"/>
        <v/>
      </c>
      <c r="V118" s="10" t="str">
        <f t="shared" si="31"/>
        <v/>
      </c>
      <c r="W118" s="8" t="str">
        <f t="shared" si="32"/>
        <v/>
      </c>
      <c r="X118" s="9">
        <f t="shared" si="39"/>
        <v>0</v>
      </c>
      <c r="Y118" s="9">
        <f t="shared" si="40"/>
        <v>0</v>
      </c>
    </row>
    <row r="119" spans="2:25" x14ac:dyDescent="0.3">
      <c r="B119" s="6">
        <v>82</v>
      </c>
      <c r="C119" s="79" t="str">
        <f t="shared" si="41"/>
        <v/>
      </c>
      <c r="D119" s="6" t="str">
        <f t="shared" si="21"/>
        <v/>
      </c>
      <c r="E119" s="79" t="str">
        <f t="shared" si="33"/>
        <v/>
      </c>
      <c r="F119" s="79" t="str">
        <f>IF(B118&gt;$C$18,"",IF(COUNTIF(Feriados!$A$2:$B$17,EDATE($C$38,B118))=0,EDATE($C$38,B118),EDATE($C$38,B118)+VLOOKUP(EDATE($C$38,B118),Feriados!$A$2:$B$17,2,FALSE)))</f>
        <v/>
      </c>
      <c r="G119" s="6" t="str">
        <f t="shared" si="34"/>
        <v/>
      </c>
      <c r="H119" s="6" t="str">
        <f t="shared" si="35"/>
        <v/>
      </c>
      <c r="I119" s="8" t="str">
        <f t="shared" si="36"/>
        <v/>
      </c>
      <c r="J119" s="8" t="str">
        <f t="shared" si="37"/>
        <v/>
      </c>
      <c r="K119" s="9" t="str">
        <f t="shared" si="22"/>
        <v/>
      </c>
      <c r="L119" s="9" t="str">
        <f t="shared" si="38"/>
        <v/>
      </c>
      <c r="M119" s="10" t="str">
        <f t="shared" si="23"/>
        <v/>
      </c>
      <c r="N119" s="6" t="str">
        <f t="shared" si="24"/>
        <v/>
      </c>
      <c r="O119" s="9" t="str">
        <f t="shared" si="25"/>
        <v/>
      </c>
      <c r="P119" s="9" t="str">
        <f t="shared" si="26"/>
        <v/>
      </c>
      <c r="Q119" s="9" t="str">
        <f t="shared" si="27"/>
        <v/>
      </c>
      <c r="R119" s="9" t="str">
        <f t="shared" ca="1" si="28"/>
        <v/>
      </c>
      <c r="T119" s="6" t="str">
        <f t="shared" si="29"/>
        <v/>
      </c>
      <c r="U119" s="6" t="str">
        <f t="shared" si="30"/>
        <v/>
      </c>
      <c r="V119" s="10" t="str">
        <f t="shared" si="31"/>
        <v/>
      </c>
      <c r="W119" s="8" t="str">
        <f t="shared" si="32"/>
        <v/>
      </c>
      <c r="X119" s="9">
        <f t="shared" si="39"/>
        <v>0</v>
      </c>
      <c r="Y119" s="9">
        <f t="shared" si="40"/>
        <v>0</v>
      </c>
    </row>
    <row r="120" spans="2:25" x14ac:dyDescent="0.3">
      <c r="B120" s="6">
        <v>83</v>
      </c>
      <c r="C120" s="79" t="str">
        <f t="shared" si="41"/>
        <v/>
      </c>
      <c r="D120" s="6" t="str">
        <f t="shared" si="21"/>
        <v/>
      </c>
      <c r="E120" s="79" t="str">
        <f t="shared" si="33"/>
        <v/>
      </c>
      <c r="F120" s="79" t="str">
        <f>IF(B119&gt;$C$18,"",IF(COUNTIF(Feriados!$A$2:$B$17,EDATE($C$38,B119))=0,EDATE($C$38,B119),EDATE($C$38,B119)+VLOOKUP(EDATE($C$38,B119),Feriados!$A$2:$B$17,2,FALSE)))</f>
        <v/>
      </c>
      <c r="G120" s="6" t="str">
        <f t="shared" si="34"/>
        <v/>
      </c>
      <c r="H120" s="6" t="str">
        <f t="shared" si="35"/>
        <v/>
      </c>
      <c r="I120" s="8" t="str">
        <f t="shared" si="36"/>
        <v/>
      </c>
      <c r="J120" s="8" t="str">
        <f t="shared" si="37"/>
        <v/>
      </c>
      <c r="K120" s="9" t="str">
        <f t="shared" si="22"/>
        <v/>
      </c>
      <c r="L120" s="9" t="str">
        <f t="shared" si="38"/>
        <v/>
      </c>
      <c r="M120" s="10" t="str">
        <f t="shared" si="23"/>
        <v/>
      </c>
      <c r="N120" s="6" t="str">
        <f t="shared" si="24"/>
        <v/>
      </c>
      <c r="O120" s="9" t="str">
        <f t="shared" si="25"/>
        <v/>
      </c>
      <c r="P120" s="9" t="str">
        <f t="shared" si="26"/>
        <v/>
      </c>
      <c r="Q120" s="9" t="str">
        <f t="shared" si="27"/>
        <v/>
      </c>
      <c r="R120" s="9" t="str">
        <f t="shared" ca="1" si="28"/>
        <v/>
      </c>
      <c r="T120" s="6" t="str">
        <f t="shared" si="29"/>
        <v/>
      </c>
      <c r="U120" s="6" t="str">
        <f t="shared" si="30"/>
        <v/>
      </c>
      <c r="V120" s="10" t="str">
        <f t="shared" si="31"/>
        <v/>
      </c>
      <c r="W120" s="8" t="str">
        <f t="shared" si="32"/>
        <v/>
      </c>
      <c r="X120" s="9">
        <f t="shared" si="39"/>
        <v>0</v>
      </c>
      <c r="Y120" s="9">
        <f t="shared" si="40"/>
        <v>0</v>
      </c>
    </row>
    <row r="121" spans="2:25" x14ac:dyDescent="0.3">
      <c r="B121" s="6">
        <v>84</v>
      </c>
      <c r="C121" s="79" t="str">
        <f t="shared" si="41"/>
        <v/>
      </c>
      <c r="D121" s="6" t="str">
        <f t="shared" si="21"/>
        <v/>
      </c>
      <c r="E121" s="79" t="str">
        <f t="shared" si="33"/>
        <v/>
      </c>
      <c r="F121" s="79" t="str">
        <f>IF(B120&gt;$C$18,"",IF(COUNTIF(Feriados!$A$2:$B$17,EDATE($C$38,B120))=0,EDATE($C$38,B120),EDATE($C$38,B120)+VLOOKUP(EDATE($C$38,B120),Feriados!$A$2:$B$17,2,FALSE)))</f>
        <v/>
      </c>
      <c r="G121" s="6" t="str">
        <f t="shared" si="34"/>
        <v/>
      </c>
      <c r="H121" s="6" t="str">
        <f t="shared" si="35"/>
        <v/>
      </c>
      <c r="I121" s="8" t="str">
        <f t="shared" si="36"/>
        <v/>
      </c>
      <c r="J121" s="8" t="str">
        <f t="shared" si="37"/>
        <v/>
      </c>
      <c r="K121" s="9" t="str">
        <f t="shared" si="22"/>
        <v/>
      </c>
      <c r="L121" s="9" t="str">
        <f t="shared" si="38"/>
        <v/>
      </c>
      <c r="M121" s="10" t="str">
        <f t="shared" si="23"/>
        <v/>
      </c>
      <c r="N121" s="6" t="str">
        <f t="shared" si="24"/>
        <v/>
      </c>
      <c r="O121" s="9" t="str">
        <f t="shared" si="25"/>
        <v/>
      </c>
      <c r="P121" s="9" t="str">
        <f t="shared" si="26"/>
        <v/>
      </c>
      <c r="Q121" s="9" t="str">
        <f t="shared" si="27"/>
        <v/>
      </c>
      <c r="R121" s="9" t="str">
        <f t="shared" ca="1" si="28"/>
        <v/>
      </c>
      <c r="T121" s="6" t="str">
        <f t="shared" si="29"/>
        <v/>
      </c>
      <c r="U121" s="6" t="str">
        <f t="shared" si="30"/>
        <v/>
      </c>
      <c r="V121" s="10" t="str">
        <f t="shared" si="31"/>
        <v/>
      </c>
      <c r="W121" s="8" t="str">
        <f t="shared" si="32"/>
        <v/>
      </c>
      <c r="X121" s="9">
        <f t="shared" si="39"/>
        <v>0</v>
      </c>
      <c r="Y121" s="9">
        <f t="shared" si="40"/>
        <v>0</v>
      </c>
    </row>
    <row r="122" spans="2:25" x14ac:dyDescent="0.3">
      <c r="B122" s="6">
        <v>85</v>
      </c>
      <c r="C122" s="79" t="str">
        <f t="shared" si="41"/>
        <v/>
      </c>
      <c r="D122" s="6" t="str">
        <f t="shared" si="21"/>
        <v/>
      </c>
      <c r="E122" s="79" t="str">
        <f t="shared" si="33"/>
        <v/>
      </c>
      <c r="F122" s="79" t="str">
        <f>IF(B121&gt;$C$18,"",IF(COUNTIF(Feriados!$A$2:$B$17,EDATE($C$38,B121))=0,EDATE($C$38,B121),EDATE($C$38,B121)+VLOOKUP(EDATE($C$38,B121),Feriados!$A$2:$B$17,2,FALSE)))</f>
        <v/>
      </c>
      <c r="G122" s="6" t="str">
        <f t="shared" si="34"/>
        <v/>
      </c>
      <c r="H122" s="6" t="str">
        <f t="shared" si="35"/>
        <v/>
      </c>
      <c r="I122" s="8" t="str">
        <f t="shared" si="36"/>
        <v/>
      </c>
      <c r="J122" s="8" t="str">
        <f t="shared" si="37"/>
        <v/>
      </c>
      <c r="K122" s="9" t="str">
        <f t="shared" si="22"/>
        <v/>
      </c>
      <c r="L122" s="9" t="str">
        <f t="shared" si="38"/>
        <v/>
      </c>
      <c r="M122" s="10" t="str">
        <f t="shared" si="23"/>
        <v/>
      </c>
      <c r="N122" s="6" t="str">
        <f t="shared" si="24"/>
        <v/>
      </c>
      <c r="O122" s="9" t="str">
        <f t="shared" si="25"/>
        <v/>
      </c>
      <c r="P122" s="9" t="str">
        <f t="shared" si="26"/>
        <v/>
      </c>
      <c r="Q122" s="9" t="str">
        <f t="shared" si="27"/>
        <v/>
      </c>
      <c r="R122" s="9" t="str">
        <f t="shared" ca="1" si="28"/>
        <v/>
      </c>
      <c r="T122" s="6" t="str">
        <f t="shared" si="29"/>
        <v/>
      </c>
      <c r="U122" s="6" t="str">
        <f t="shared" si="30"/>
        <v/>
      </c>
      <c r="V122" s="10" t="str">
        <f t="shared" si="31"/>
        <v/>
      </c>
      <c r="W122" s="8" t="str">
        <f t="shared" si="32"/>
        <v/>
      </c>
      <c r="X122" s="9">
        <f t="shared" si="39"/>
        <v>0</v>
      </c>
      <c r="Y122" s="9">
        <f t="shared" si="40"/>
        <v>0</v>
      </c>
    </row>
    <row r="123" spans="2:25" x14ac:dyDescent="0.3">
      <c r="B123" s="6">
        <v>86</v>
      </c>
      <c r="C123" s="79" t="str">
        <f t="shared" si="41"/>
        <v/>
      </c>
      <c r="D123" s="6" t="str">
        <f t="shared" si="21"/>
        <v/>
      </c>
      <c r="E123" s="79" t="str">
        <f t="shared" si="33"/>
        <v/>
      </c>
      <c r="F123" s="79" t="str">
        <f>IF(B122&gt;$C$18,"",IF(COUNTIF(Feriados!$A$2:$B$17,EDATE($C$38,B122))=0,EDATE($C$38,B122),EDATE($C$38,B122)+VLOOKUP(EDATE($C$38,B122),Feriados!$A$2:$B$17,2,FALSE)))</f>
        <v/>
      </c>
      <c r="G123" s="6" t="str">
        <f t="shared" si="34"/>
        <v/>
      </c>
      <c r="H123" s="6" t="str">
        <f t="shared" si="35"/>
        <v/>
      </c>
      <c r="I123" s="8" t="str">
        <f t="shared" si="36"/>
        <v/>
      </c>
      <c r="J123" s="8" t="str">
        <f t="shared" si="37"/>
        <v/>
      </c>
      <c r="K123" s="9" t="str">
        <f t="shared" si="22"/>
        <v/>
      </c>
      <c r="L123" s="9" t="str">
        <f t="shared" si="38"/>
        <v/>
      </c>
      <c r="M123" s="10" t="str">
        <f t="shared" si="23"/>
        <v/>
      </c>
      <c r="N123" s="6" t="str">
        <f t="shared" si="24"/>
        <v/>
      </c>
      <c r="O123" s="9" t="str">
        <f t="shared" si="25"/>
        <v/>
      </c>
      <c r="P123" s="9" t="str">
        <f t="shared" si="26"/>
        <v/>
      </c>
      <c r="Q123" s="9" t="str">
        <f t="shared" si="27"/>
        <v/>
      </c>
      <c r="R123" s="9" t="str">
        <f t="shared" ca="1" si="28"/>
        <v/>
      </c>
      <c r="T123" s="6" t="str">
        <f t="shared" si="29"/>
        <v/>
      </c>
      <c r="U123" s="6" t="str">
        <f t="shared" si="30"/>
        <v/>
      </c>
      <c r="V123" s="10" t="str">
        <f t="shared" si="31"/>
        <v/>
      </c>
      <c r="W123" s="8" t="str">
        <f t="shared" si="32"/>
        <v/>
      </c>
      <c r="X123" s="9">
        <f t="shared" si="39"/>
        <v>0</v>
      </c>
      <c r="Y123" s="9">
        <f t="shared" si="40"/>
        <v>0</v>
      </c>
    </row>
    <row r="124" spans="2:25" x14ac:dyDescent="0.3">
      <c r="B124" s="6">
        <v>87</v>
      </c>
      <c r="C124" s="79" t="str">
        <f t="shared" si="41"/>
        <v/>
      </c>
      <c r="D124" s="6" t="str">
        <f t="shared" si="21"/>
        <v/>
      </c>
      <c r="E124" s="79" t="str">
        <f t="shared" si="33"/>
        <v/>
      </c>
      <c r="F124" s="79" t="str">
        <f>IF(B123&gt;$C$18,"",IF(COUNTIF(Feriados!$A$2:$B$17,EDATE($C$38,B123))=0,EDATE($C$38,B123),EDATE($C$38,B123)+VLOOKUP(EDATE($C$38,B123),Feriados!$A$2:$B$17,2,FALSE)))</f>
        <v/>
      </c>
      <c r="G124" s="6" t="str">
        <f t="shared" si="34"/>
        <v/>
      </c>
      <c r="H124" s="6" t="str">
        <f t="shared" si="35"/>
        <v/>
      </c>
      <c r="I124" s="8" t="str">
        <f t="shared" si="36"/>
        <v/>
      </c>
      <c r="J124" s="8" t="str">
        <f t="shared" si="37"/>
        <v/>
      </c>
      <c r="K124" s="9" t="str">
        <f t="shared" si="22"/>
        <v/>
      </c>
      <c r="L124" s="9" t="str">
        <f t="shared" si="38"/>
        <v/>
      </c>
      <c r="M124" s="10" t="str">
        <f t="shared" si="23"/>
        <v/>
      </c>
      <c r="N124" s="6" t="str">
        <f t="shared" si="24"/>
        <v/>
      </c>
      <c r="O124" s="9" t="str">
        <f t="shared" si="25"/>
        <v/>
      </c>
      <c r="P124" s="9" t="str">
        <f t="shared" si="26"/>
        <v/>
      </c>
      <c r="Q124" s="9" t="str">
        <f t="shared" si="27"/>
        <v/>
      </c>
      <c r="R124" s="9" t="str">
        <f t="shared" ca="1" si="28"/>
        <v/>
      </c>
      <c r="T124" s="6" t="str">
        <f t="shared" si="29"/>
        <v/>
      </c>
      <c r="U124" s="6" t="str">
        <f t="shared" si="30"/>
        <v/>
      </c>
      <c r="V124" s="10" t="str">
        <f t="shared" si="31"/>
        <v/>
      </c>
      <c r="W124" s="8" t="str">
        <f t="shared" si="32"/>
        <v/>
      </c>
      <c r="X124" s="9">
        <f t="shared" si="39"/>
        <v>0</v>
      </c>
      <c r="Y124" s="9">
        <f t="shared" si="40"/>
        <v>0</v>
      </c>
    </row>
    <row r="125" spans="2:25" x14ac:dyDescent="0.3">
      <c r="B125" s="6">
        <v>88</v>
      </c>
      <c r="C125" s="79" t="str">
        <f t="shared" si="41"/>
        <v/>
      </c>
      <c r="D125" s="6" t="str">
        <f t="shared" si="21"/>
        <v/>
      </c>
      <c r="E125" s="79" t="str">
        <f t="shared" si="33"/>
        <v/>
      </c>
      <c r="F125" s="79" t="str">
        <f>IF(B124&gt;$C$18,"",IF(COUNTIF(Feriados!$A$2:$B$17,EDATE($C$38,B124))=0,EDATE($C$38,B124),EDATE($C$38,B124)+VLOOKUP(EDATE($C$38,B124),Feriados!$A$2:$B$17,2,FALSE)))</f>
        <v/>
      </c>
      <c r="G125" s="6" t="str">
        <f t="shared" si="34"/>
        <v/>
      </c>
      <c r="H125" s="6" t="str">
        <f t="shared" si="35"/>
        <v/>
      </c>
      <c r="I125" s="8" t="str">
        <f t="shared" si="36"/>
        <v/>
      </c>
      <c r="J125" s="8" t="str">
        <f t="shared" si="37"/>
        <v/>
      </c>
      <c r="K125" s="9" t="str">
        <f t="shared" si="22"/>
        <v/>
      </c>
      <c r="L125" s="9" t="str">
        <f t="shared" si="38"/>
        <v/>
      </c>
      <c r="M125" s="10" t="str">
        <f t="shared" si="23"/>
        <v/>
      </c>
      <c r="N125" s="6" t="str">
        <f t="shared" si="24"/>
        <v/>
      </c>
      <c r="O125" s="9" t="str">
        <f t="shared" si="25"/>
        <v/>
      </c>
      <c r="P125" s="9" t="str">
        <f t="shared" si="26"/>
        <v/>
      </c>
      <c r="Q125" s="9" t="str">
        <f t="shared" si="27"/>
        <v/>
      </c>
      <c r="R125" s="9" t="str">
        <f t="shared" ca="1" si="28"/>
        <v/>
      </c>
      <c r="T125" s="6" t="str">
        <f t="shared" si="29"/>
        <v/>
      </c>
      <c r="U125" s="6" t="str">
        <f t="shared" si="30"/>
        <v/>
      </c>
      <c r="V125" s="10" t="str">
        <f t="shared" si="31"/>
        <v/>
      </c>
      <c r="W125" s="8" t="str">
        <f t="shared" si="32"/>
        <v/>
      </c>
      <c r="X125" s="9">
        <f t="shared" si="39"/>
        <v>0</v>
      </c>
      <c r="Y125" s="9">
        <f t="shared" si="40"/>
        <v>0</v>
      </c>
    </row>
    <row r="126" spans="2:25" x14ac:dyDescent="0.3">
      <c r="B126" s="6">
        <v>89</v>
      </c>
      <c r="C126" s="79" t="str">
        <f t="shared" si="41"/>
        <v/>
      </c>
      <c r="D126" s="6" t="str">
        <f t="shared" si="21"/>
        <v/>
      </c>
      <c r="E126" s="79" t="str">
        <f t="shared" si="33"/>
        <v/>
      </c>
      <c r="F126" s="79" t="str">
        <f>IF(B125&gt;$C$18,"",IF(COUNTIF(Feriados!$A$2:$B$17,EDATE($C$38,B125))=0,EDATE($C$38,B125),EDATE($C$38,B125)+VLOOKUP(EDATE($C$38,B125),Feriados!$A$2:$B$17,2,FALSE)))</f>
        <v/>
      </c>
      <c r="G126" s="6" t="str">
        <f t="shared" si="34"/>
        <v/>
      </c>
      <c r="H126" s="6" t="str">
        <f t="shared" si="35"/>
        <v/>
      </c>
      <c r="I126" s="8" t="str">
        <f t="shared" si="36"/>
        <v/>
      </c>
      <c r="J126" s="8" t="str">
        <f t="shared" si="37"/>
        <v/>
      </c>
      <c r="K126" s="9" t="str">
        <f t="shared" si="22"/>
        <v/>
      </c>
      <c r="L126" s="9" t="str">
        <f t="shared" si="38"/>
        <v/>
      </c>
      <c r="M126" s="10" t="str">
        <f t="shared" si="23"/>
        <v/>
      </c>
      <c r="N126" s="6" t="str">
        <f t="shared" si="24"/>
        <v/>
      </c>
      <c r="O126" s="9" t="str">
        <f t="shared" si="25"/>
        <v/>
      </c>
      <c r="P126" s="9" t="str">
        <f t="shared" si="26"/>
        <v/>
      </c>
      <c r="Q126" s="9" t="str">
        <f t="shared" si="27"/>
        <v/>
      </c>
      <c r="R126" s="9" t="str">
        <f t="shared" ca="1" si="28"/>
        <v/>
      </c>
      <c r="T126" s="6" t="str">
        <f t="shared" si="29"/>
        <v/>
      </c>
      <c r="U126" s="6" t="str">
        <f t="shared" si="30"/>
        <v/>
      </c>
      <c r="V126" s="10" t="str">
        <f t="shared" si="31"/>
        <v/>
      </c>
      <c r="W126" s="8" t="str">
        <f t="shared" si="32"/>
        <v/>
      </c>
      <c r="X126" s="9">
        <f t="shared" si="39"/>
        <v>0</v>
      </c>
      <c r="Y126" s="9">
        <f t="shared" si="40"/>
        <v>0</v>
      </c>
    </row>
    <row r="127" spans="2:25" x14ac:dyDescent="0.3">
      <c r="B127" s="6">
        <v>90</v>
      </c>
      <c r="C127" s="79" t="str">
        <f t="shared" si="41"/>
        <v/>
      </c>
      <c r="D127" s="6" t="str">
        <f t="shared" si="21"/>
        <v/>
      </c>
      <c r="E127" s="79" t="str">
        <f t="shared" si="33"/>
        <v/>
      </c>
      <c r="F127" s="79" t="str">
        <f>IF(B126&gt;$C$18,"",IF(COUNTIF(Feriados!$A$2:$B$17,EDATE($C$38,B126))=0,EDATE($C$38,B126),EDATE($C$38,B126)+VLOOKUP(EDATE($C$38,B126),Feriados!$A$2:$B$17,2,FALSE)))</f>
        <v/>
      </c>
      <c r="G127" s="6" t="str">
        <f t="shared" si="34"/>
        <v/>
      </c>
      <c r="H127" s="6" t="str">
        <f t="shared" si="35"/>
        <v/>
      </c>
      <c r="I127" s="8" t="str">
        <f t="shared" si="36"/>
        <v/>
      </c>
      <c r="J127" s="8" t="str">
        <f t="shared" si="37"/>
        <v/>
      </c>
      <c r="K127" s="9" t="str">
        <f t="shared" si="22"/>
        <v/>
      </c>
      <c r="L127" s="9" t="str">
        <f t="shared" si="38"/>
        <v/>
      </c>
      <c r="M127" s="10" t="str">
        <f t="shared" si="23"/>
        <v/>
      </c>
      <c r="N127" s="6" t="str">
        <f t="shared" si="24"/>
        <v/>
      </c>
      <c r="O127" s="9" t="str">
        <f t="shared" si="25"/>
        <v/>
      </c>
      <c r="P127" s="9" t="str">
        <f t="shared" si="26"/>
        <v/>
      </c>
      <c r="Q127" s="9" t="str">
        <f t="shared" si="27"/>
        <v/>
      </c>
      <c r="R127" s="9" t="str">
        <f t="shared" ca="1" si="28"/>
        <v/>
      </c>
      <c r="T127" s="6" t="str">
        <f t="shared" si="29"/>
        <v/>
      </c>
      <c r="U127" s="6" t="str">
        <f t="shared" si="30"/>
        <v/>
      </c>
      <c r="V127" s="10" t="str">
        <f t="shared" si="31"/>
        <v/>
      </c>
      <c r="W127" s="8" t="str">
        <f t="shared" si="32"/>
        <v/>
      </c>
      <c r="X127" s="9">
        <f t="shared" si="39"/>
        <v>0</v>
      </c>
      <c r="Y127" s="9">
        <f t="shared" si="40"/>
        <v>0</v>
      </c>
    </row>
    <row r="128" spans="2:25" x14ac:dyDescent="0.3">
      <c r="B128" s="6">
        <v>91</v>
      </c>
      <c r="C128" s="79" t="str">
        <f t="shared" si="41"/>
        <v/>
      </c>
      <c r="D128" s="6" t="str">
        <f t="shared" si="21"/>
        <v/>
      </c>
      <c r="E128" s="79" t="str">
        <f t="shared" si="33"/>
        <v/>
      </c>
      <c r="F128" s="79" t="str">
        <f>IF(B127&gt;$C$18,"",IF(COUNTIF(Feriados!$A$2:$B$17,EDATE($C$38,B127))=0,EDATE($C$38,B127),EDATE($C$38,B127)+VLOOKUP(EDATE($C$38,B127),Feriados!$A$2:$B$17,2,FALSE)))</f>
        <v/>
      </c>
      <c r="G128" s="6" t="str">
        <f t="shared" si="34"/>
        <v/>
      </c>
      <c r="H128" s="6" t="str">
        <f t="shared" si="35"/>
        <v/>
      </c>
      <c r="I128" s="8" t="str">
        <f t="shared" si="36"/>
        <v/>
      </c>
      <c r="J128" s="8" t="str">
        <f t="shared" si="37"/>
        <v/>
      </c>
      <c r="K128" s="9" t="str">
        <f t="shared" si="22"/>
        <v/>
      </c>
      <c r="L128" s="9" t="str">
        <f t="shared" si="38"/>
        <v/>
      </c>
      <c r="M128" s="10" t="str">
        <f t="shared" si="23"/>
        <v/>
      </c>
      <c r="N128" s="6" t="str">
        <f t="shared" si="24"/>
        <v/>
      </c>
      <c r="O128" s="9" t="str">
        <f t="shared" si="25"/>
        <v/>
      </c>
      <c r="P128" s="9" t="str">
        <f t="shared" si="26"/>
        <v/>
      </c>
      <c r="Q128" s="9" t="str">
        <f t="shared" si="27"/>
        <v/>
      </c>
      <c r="R128" s="9" t="str">
        <f t="shared" ca="1" si="28"/>
        <v/>
      </c>
      <c r="T128" s="6" t="str">
        <f t="shared" si="29"/>
        <v/>
      </c>
      <c r="U128" s="6" t="str">
        <f t="shared" si="30"/>
        <v/>
      </c>
      <c r="V128" s="10" t="str">
        <f t="shared" si="31"/>
        <v/>
      </c>
      <c r="W128" s="8" t="str">
        <f t="shared" si="32"/>
        <v/>
      </c>
      <c r="X128" s="9">
        <f t="shared" si="39"/>
        <v>0</v>
      </c>
      <c r="Y128" s="9">
        <f t="shared" si="40"/>
        <v>0</v>
      </c>
    </row>
    <row r="129" spans="2:25" x14ac:dyDescent="0.3">
      <c r="B129" s="6">
        <v>92</v>
      </c>
      <c r="C129" s="79" t="str">
        <f t="shared" si="41"/>
        <v/>
      </c>
      <c r="D129" s="6" t="str">
        <f t="shared" si="21"/>
        <v/>
      </c>
      <c r="E129" s="79" t="str">
        <f t="shared" si="33"/>
        <v/>
      </c>
      <c r="F129" s="79" t="str">
        <f>IF(B128&gt;$C$18,"",IF(COUNTIF(Feriados!$A$2:$B$17,EDATE($C$38,B128))=0,EDATE($C$38,B128),EDATE($C$38,B128)+VLOOKUP(EDATE($C$38,B128),Feriados!$A$2:$B$17,2,FALSE)))</f>
        <v/>
      </c>
      <c r="G129" s="6" t="str">
        <f t="shared" si="34"/>
        <v/>
      </c>
      <c r="H129" s="6" t="str">
        <f t="shared" si="35"/>
        <v/>
      </c>
      <c r="I129" s="8" t="str">
        <f t="shared" si="36"/>
        <v/>
      </c>
      <c r="J129" s="8" t="str">
        <f t="shared" si="37"/>
        <v/>
      </c>
      <c r="K129" s="9" t="str">
        <f t="shared" si="22"/>
        <v/>
      </c>
      <c r="L129" s="9" t="str">
        <f t="shared" si="38"/>
        <v/>
      </c>
      <c r="M129" s="10" t="str">
        <f t="shared" si="23"/>
        <v/>
      </c>
      <c r="N129" s="6" t="str">
        <f t="shared" si="24"/>
        <v/>
      </c>
      <c r="O129" s="9" t="str">
        <f t="shared" si="25"/>
        <v/>
      </c>
      <c r="P129" s="9" t="str">
        <f t="shared" si="26"/>
        <v/>
      </c>
      <c r="Q129" s="9" t="str">
        <f t="shared" si="27"/>
        <v/>
      </c>
      <c r="R129" s="9" t="str">
        <f t="shared" ca="1" si="28"/>
        <v/>
      </c>
      <c r="T129" s="6" t="str">
        <f t="shared" si="29"/>
        <v/>
      </c>
      <c r="U129" s="6" t="str">
        <f t="shared" si="30"/>
        <v/>
      </c>
      <c r="V129" s="10" t="str">
        <f t="shared" si="31"/>
        <v/>
      </c>
      <c r="W129" s="8" t="str">
        <f t="shared" si="32"/>
        <v/>
      </c>
      <c r="X129" s="9">
        <f t="shared" si="39"/>
        <v>0</v>
      </c>
      <c r="Y129" s="9">
        <f t="shared" si="40"/>
        <v>0</v>
      </c>
    </row>
    <row r="130" spans="2:25" x14ac:dyDescent="0.3">
      <c r="B130" s="6">
        <v>93</v>
      </c>
      <c r="C130" s="79" t="str">
        <f t="shared" si="41"/>
        <v/>
      </c>
      <c r="D130" s="6" t="str">
        <f t="shared" si="21"/>
        <v/>
      </c>
      <c r="E130" s="79" t="str">
        <f t="shared" si="33"/>
        <v/>
      </c>
      <c r="F130" s="79" t="str">
        <f>IF(B129&gt;$C$18,"",IF(COUNTIF(Feriados!$A$2:$B$17,EDATE($C$38,B129))=0,EDATE($C$38,B129),EDATE($C$38,B129)+VLOOKUP(EDATE($C$38,B129),Feriados!$A$2:$B$17,2,FALSE)))</f>
        <v/>
      </c>
      <c r="G130" s="6" t="str">
        <f t="shared" si="34"/>
        <v/>
      </c>
      <c r="H130" s="6" t="str">
        <f t="shared" si="35"/>
        <v/>
      </c>
      <c r="I130" s="8" t="str">
        <f t="shared" si="36"/>
        <v/>
      </c>
      <c r="J130" s="8" t="str">
        <f t="shared" si="37"/>
        <v/>
      </c>
      <c r="K130" s="9" t="str">
        <f t="shared" si="22"/>
        <v/>
      </c>
      <c r="L130" s="9" t="str">
        <f t="shared" si="38"/>
        <v/>
      </c>
      <c r="M130" s="10" t="str">
        <f t="shared" si="23"/>
        <v/>
      </c>
      <c r="N130" s="6" t="str">
        <f t="shared" si="24"/>
        <v/>
      </c>
      <c r="O130" s="9" t="str">
        <f t="shared" si="25"/>
        <v/>
      </c>
      <c r="P130" s="9" t="str">
        <f t="shared" si="26"/>
        <v/>
      </c>
      <c r="Q130" s="9" t="str">
        <f t="shared" si="27"/>
        <v/>
      </c>
      <c r="R130" s="9" t="str">
        <f t="shared" ca="1" si="28"/>
        <v/>
      </c>
      <c r="T130" s="6" t="str">
        <f t="shared" si="29"/>
        <v/>
      </c>
      <c r="U130" s="6" t="str">
        <f t="shared" si="30"/>
        <v/>
      </c>
      <c r="V130" s="10" t="str">
        <f t="shared" si="31"/>
        <v/>
      </c>
      <c r="W130" s="8" t="str">
        <f t="shared" si="32"/>
        <v/>
      </c>
      <c r="X130" s="9">
        <f t="shared" si="39"/>
        <v>0</v>
      </c>
      <c r="Y130" s="9">
        <f t="shared" si="40"/>
        <v>0</v>
      </c>
    </row>
    <row r="131" spans="2:25" x14ac:dyDescent="0.3">
      <c r="B131" s="6">
        <v>94</v>
      </c>
      <c r="C131" s="79" t="str">
        <f t="shared" si="41"/>
        <v/>
      </c>
      <c r="D131" s="6" t="str">
        <f t="shared" si="21"/>
        <v/>
      </c>
      <c r="E131" s="79" t="str">
        <f t="shared" si="33"/>
        <v/>
      </c>
      <c r="F131" s="79" t="str">
        <f>IF(B130&gt;$C$18,"",IF(COUNTIF(Feriados!$A$2:$B$17,EDATE($C$38,B130))=0,EDATE($C$38,B130),EDATE($C$38,B130)+VLOOKUP(EDATE($C$38,B130),Feriados!$A$2:$B$17,2,FALSE)))</f>
        <v/>
      </c>
      <c r="G131" s="6" t="str">
        <f t="shared" si="34"/>
        <v/>
      </c>
      <c r="H131" s="6" t="str">
        <f t="shared" si="35"/>
        <v/>
      </c>
      <c r="I131" s="8" t="str">
        <f t="shared" si="36"/>
        <v/>
      </c>
      <c r="J131" s="8" t="str">
        <f t="shared" si="37"/>
        <v/>
      </c>
      <c r="K131" s="9" t="str">
        <f t="shared" si="22"/>
        <v/>
      </c>
      <c r="L131" s="9" t="str">
        <f t="shared" si="38"/>
        <v/>
      </c>
      <c r="M131" s="10" t="str">
        <f t="shared" si="23"/>
        <v/>
      </c>
      <c r="N131" s="6" t="str">
        <f t="shared" si="24"/>
        <v/>
      </c>
      <c r="O131" s="9" t="str">
        <f t="shared" si="25"/>
        <v/>
      </c>
      <c r="P131" s="9" t="str">
        <f t="shared" si="26"/>
        <v/>
      </c>
      <c r="Q131" s="9" t="str">
        <f t="shared" si="27"/>
        <v/>
      </c>
      <c r="R131" s="9" t="str">
        <f t="shared" ca="1" si="28"/>
        <v/>
      </c>
      <c r="T131" s="6" t="str">
        <f t="shared" si="29"/>
        <v/>
      </c>
      <c r="U131" s="6" t="str">
        <f t="shared" si="30"/>
        <v/>
      </c>
      <c r="V131" s="10" t="str">
        <f t="shared" si="31"/>
        <v/>
      </c>
      <c r="W131" s="8" t="str">
        <f t="shared" si="32"/>
        <v/>
      </c>
      <c r="X131" s="9">
        <f t="shared" si="39"/>
        <v>0</v>
      </c>
      <c r="Y131" s="9">
        <f t="shared" si="40"/>
        <v>0</v>
      </c>
    </row>
    <row r="132" spans="2:25" x14ac:dyDescent="0.3">
      <c r="B132" s="6">
        <v>95</v>
      </c>
      <c r="C132" s="79" t="str">
        <f t="shared" si="41"/>
        <v/>
      </c>
      <c r="D132" s="6" t="str">
        <f t="shared" si="21"/>
        <v/>
      </c>
      <c r="E132" s="79" t="str">
        <f t="shared" si="33"/>
        <v/>
      </c>
      <c r="F132" s="79" t="str">
        <f>IF(B131&gt;$C$18,"",IF(COUNTIF(Feriados!$A$2:$B$17,EDATE($C$38,B131))=0,EDATE($C$38,B131),EDATE($C$38,B131)+VLOOKUP(EDATE($C$38,B131),Feriados!$A$2:$B$17,2,FALSE)))</f>
        <v/>
      </c>
      <c r="G132" s="6" t="str">
        <f t="shared" si="34"/>
        <v/>
      </c>
      <c r="H132" s="6" t="str">
        <f t="shared" si="35"/>
        <v/>
      </c>
      <c r="I132" s="8" t="str">
        <f t="shared" si="36"/>
        <v/>
      </c>
      <c r="J132" s="8" t="str">
        <f t="shared" si="37"/>
        <v/>
      </c>
      <c r="K132" s="9" t="str">
        <f t="shared" si="22"/>
        <v/>
      </c>
      <c r="L132" s="9" t="str">
        <f t="shared" si="38"/>
        <v/>
      </c>
      <c r="M132" s="10" t="str">
        <f t="shared" si="23"/>
        <v/>
      </c>
      <c r="N132" s="6" t="str">
        <f t="shared" si="24"/>
        <v/>
      </c>
      <c r="O132" s="9" t="str">
        <f t="shared" si="25"/>
        <v/>
      </c>
      <c r="P132" s="9" t="str">
        <f t="shared" si="26"/>
        <v/>
      </c>
      <c r="Q132" s="9" t="str">
        <f t="shared" si="27"/>
        <v/>
      </c>
      <c r="R132" s="9" t="str">
        <f t="shared" ca="1" si="28"/>
        <v/>
      </c>
      <c r="T132" s="6" t="str">
        <f t="shared" si="29"/>
        <v/>
      </c>
      <c r="U132" s="6" t="str">
        <f t="shared" si="30"/>
        <v/>
      </c>
      <c r="V132" s="10" t="str">
        <f t="shared" si="31"/>
        <v/>
      </c>
      <c r="W132" s="8" t="str">
        <f t="shared" si="32"/>
        <v/>
      </c>
      <c r="X132" s="9">
        <f t="shared" si="39"/>
        <v>0</v>
      </c>
      <c r="Y132" s="9">
        <f t="shared" si="40"/>
        <v>0</v>
      </c>
    </row>
    <row r="133" spans="2:25" x14ac:dyDescent="0.3">
      <c r="B133" s="6">
        <v>96</v>
      </c>
      <c r="C133" s="79" t="str">
        <f t="shared" si="41"/>
        <v/>
      </c>
      <c r="D133" s="6" t="str">
        <f t="shared" si="21"/>
        <v/>
      </c>
      <c r="E133" s="79" t="str">
        <f t="shared" si="33"/>
        <v/>
      </c>
      <c r="F133" s="79" t="str">
        <f>IF(B132&gt;$C$18,"",IF(COUNTIF(Feriados!$A$2:$B$17,EDATE($C$38,B132))=0,EDATE($C$38,B132),EDATE($C$38,B132)+VLOOKUP(EDATE($C$38,B132),Feriados!$A$2:$B$17,2,FALSE)))</f>
        <v/>
      </c>
      <c r="G133" s="6" t="str">
        <f t="shared" si="34"/>
        <v/>
      </c>
      <c r="H133" s="6" t="str">
        <f t="shared" si="35"/>
        <v/>
      </c>
      <c r="I133" s="8" t="str">
        <f t="shared" si="36"/>
        <v/>
      </c>
      <c r="J133" s="8" t="str">
        <f t="shared" si="37"/>
        <v/>
      </c>
      <c r="K133" s="9" t="str">
        <f t="shared" si="22"/>
        <v/>
      </c>
      <c r="L133" s="9" t="str">
        <f t="shared" si="38"/>
        <v/>
      </c>
      <c r="M133" s="10" t="str">
        <f t="shared" si="23"/>
        <v/>
      </c>
      <c r="N133" s="6" t="str">
        <f t="shared" si="24"/>
        <v/>
      </c>
      <c r="O133" s="9" t="str">
        <f t="shared" si="25"/>
        <v/>
      </c>
      <c r="P133" s="9" t="str">
        <f t="shared" si="26"/>
        <v/>
      </c>
      <c r="Q133" s="9" t="str">
        <f t="shared" si="27"/>
        <v/>
      </c>
      <c r="R133" s="9" t="str">
        <f t="shared" ca="1" si="28"/>
        <v/>
      </c>
      <c r="T133" s="6" t="str">
        <f t="shared" si="29"/>
        <v/>
      </c>
      <c r="U133" s="6" t="str">
        <f t="shared" si="30"/>
        <v/>
      </c>
      <c r="V133" s="10" t="str">
        <f t="shared" si="31"/>
        <v/>
      </c>
      <c r="W133" s="8" t="str">
        <f t="shared" si="32"/>
        <v/>
      </c>
      <c r="X133" s="9">
        <f t="shared" si="39"/>
        <v>0</v>
      </c>
      <c r="Y133" s="9">
        <f t="shared" si="40"/>
        <v>0</v>
      </c>
    </row>
    <row r="134" spans="2:25" x14ac:dyDescent="0.3">
      <c r="B134" s="6">
        <v>97</v>
      </c>
      <c r="C134" s="79" t="str">
        <f t="shared" si="41"/>
        <v/>
      </c>
      <c r="D134" s="6" t="str">
        <f t="shared" si="21"/>
        <v/>
      </c>
      <c r="E134" s="79" t="str">
        <f t="shared" si="33"/>
        <v/>
      </c>
      <c r="F134" s="79" t="str">
        <f>IF(B133&gt;$C$18,"",IF(COUNTIF(Feriados!$A$2:$B$17,EDATE($C$38,B133))=0,EDATE($C$38,B133),EDATE($C$38,B133)+VLOOKUP(EDATE($C$38,B133),Feriados!$A$2:$B$17,2,FALSE)))</f>
        <v/>
      </c>
      <c r="G134" s="6" t="str">
        <f t="shared" si="34"/>
        <v/>
      </c>
      <c r="H134" s="6" t="str">
        <f t="shared" si="35"/>
        <v/>
      </c>
      <c r="I134" s="8" t="str">
        <f t="shared" si="36"/>
        <v/>
      </c>
      <c r="J134" s="8" t="str">
        <f t="shared" si="37"/>
        <v/>
      </c>
      <c r="K134" s="9" t="str">
        <f t="shared" si="22"/>
        <v/>
      </c>
      <c r="L134" s="9" t="str">
        <f t="shared" si="38"/>
        <v/>
      </c>
      <c r="M134" s="10" t="str">
        <f t="shared" si="23"/>
        <v/>
      </c>
      <c r="N134" s="6" t="str">
        <f t="shared" si="24"/>
        <v/>
      </c>
      <c r="O134" s="9" t="str">
        <f t="shared" si="25"/>
        <v/>
      </c>
      <c r="P134" s="9" t="str">
        <f t="shared" si="26"/>
        <v/>
      </c>
      <c r="Q134" s="9" t="str">
        <f t="shared" si="27"/>
        <v/>
      </c>
      <c r="R134" s="9" t="str">
        <f t="shared" ca="1" si="28"/>
        <v/>
      </c>
      <c r="T134" s="6" t="str">
        <f t="shared" si="29"/>
        <v/>
      </c>
      <c r="U134" s="6" t="str">
        <f t="shared" si="30"/>
        <v/>
      </c>
      <c r="V134" s="10" t="str">
        <f t="shared" si="31"/>
        <v/>
      </c>
      <c r="W134" s="8" t="str">
        <f t="shared" si="32"/>
        <v/>
      </c>
      <c r="X134" s="9">
        <f t="shared" si="39"/>
        <v>0</v>
      </c>
      <c r="Y134" s="9">
        <f t="shared" si="40"/>
        <v>0</v>
      </c>
    </row>
    <row r="135" spans="2:25" x14ac:dyDescent="0.3">
      <c r="B135" s="6">
        <v>98</v>
      </c>
      <c r="C135" s="79" t="str">
        <f t="shared" si="41"/>
        <v/>
      </c>
      <c r="D135" s="6" t="str">
        <f t="shared" si="21"/>
        <v/>
      </c>
      <c r="E135" s="79" t="str">
        <f t="shared" si="33"/>
        <v/>
      </c>
      <c r="F135" s="79" t="str">
        <f>IF(B134&gt;$C$18,"",IF(COUNTIF(Feriados!$A$2:$B$17,EDATE($C$38,B134))=0,EDATE($C$38,B134),EDATE($C$38,B134)+VLOOKUP(EDATE($C$38,B134),Feriados!$A$2:$B$17,2,FALSE)))</f>
        <v/>
      </c>
      <c r="G135" s="6" t="str">
        <f t="shared" si="34"/>
        <v/>
      </c>
      <c r="H135" s="6" t="str">
        <f t="shared" si="35"/>
        <v/>
      </c>
      <c r="I135" s="8" t="str">
        <f t="shared" si="36"/>
        <v/>
      </c>
      <c r="J135" s="8" t="str">
        <f t="shared" si="37"/>
        <v/>
      </c>
      <c r="K135" s="9" t="str">
        <f t="shared" si="22"/>
        <v/>
      </c>
      <c r="L135" s="9" t="str">
        <f t="shared" si="38"/>
        <v/>
      </c>
      <c r="M135" s="10" t="str">
        <f t="shared" si="23"/>
        <v/>
      </c>
      <c r="N135" s="6" t="str">
        <f t="shared" si="24"/>
        <v/>
      </c>
      <c r="O135" s="9" t="str">
        <f t="shared" si="25"/>
        <v/>
      </c>
      <c r="P135" s="9" t="str">
        <f t="shared" si="26"/>
        <v/>
      </c>
      <c r="Q135" s="9" t="str">
        <f t="shared" si="27"/>
        <v/>
      </c>
      <c r="R135" s="9" t="str">
        <f t="shared" ca="1" si="28"/>
        <v/>
      </c>
      <c r="T135" s="6" t="str">
        <f t="shared" si="29"/>
        <v/>
      </c>
      <c r="U135" s="6" t="str">
        <f t="shared" si="30"/>
        <v/>
      </c>
      <c r="V135" s="10" t="str">
        <f t="shared" si="31"/>
        <v/>
      </c>
      <c r="W135" s="8" t="str">
        <f t="shared" si="32"/>
        <v/>
      </c>
      <c r="X135" s="9">
        <f t="shared" si="39"/>
        <v>0</v>
      </c>
      <c r="Y135" s="9">
        <f t="shared" si="40"/>
        <v>0</v>
      </c>
    </row>
    <row r="136" spans="2:25" x14ac:dyDescent="0.3">
      <c r="B136" s="6">
        <v>99</v>
      </c>
      <c r="C136" s="79" t="str">
        <f t="shared" si="41"/>
        <v/>
      </c>
      <c r="D136" s="6" t="str">
        <f t="shared" si="21"/>
        <v/>
      </c>
      <c r="E136" s="79" t="str">
        <f t="shared" si="33"/>
        <v/>
      </c>
      <c r="F136" s="79" t="str">
        <f>IF(B135&gt;$C$18,"",IF(COUNTIF(Feriados!$A$2:$B$17,EDATE($C$38,B135))=0,EDATE($C$38,B135),EDATE($C$38,B135)+VLOOKUP(EDATE($C$38,B135),Feriados!$A$2:$B$17,2,FALSE)))</f>
        <v/>
      </c>
      <c r="G136" s="6" t="str">
        <f t="shared" si="34"/>
        <v/>
      </c>
      <c r="H136" s="6" t="str">
        <f t="shared" si="35"/>
        <v/>
      </c>
      <c r="I136" s="8" t="str">
        <f t="shared" si="36"/>
        <v/>
      </c>
      <c r="J136" s="8" t="str">
        <f t="shared" si="37"/>
        <v/>
      </c>
      <c r="K136" s="9" t="str">
        <f t="shared" si="22"/>
        <v/>
      </c>
      <c r="L136" s="9" t="str">
        <f t="shared" si="38"/>
        <v/>
      </c>
      <c r="M136" s="10" t="str">
        <f t="shared" si="23"/>
        <v/>
      </c>
      <c r="N136" s="6" t="str">
        <f t="shared" si="24"/>
        <v/>
      </c>
      <c r="O136" s="9" t="str">
        <f t="shared" si="25"/>
        <v/>
      </c>
      <c r="P136" s="9" t="str">
        <f t="shared" si="26"/>
        <v/>
      </c>
      <c r="Q136" s="9" t="str">
        <f t="shared" si="27"/>
        <v/>
      </c>
      <c r="R136" s="9" t="str">
        <f t="shared" ca="1" si="28"/>
        <v/>
      </c>
      <c r="T136" s="6" t="str">
        <f t="shared" si="29"/>
        <v/>
      </c>
      <c r="U136" s="6" t="str">
        <f t="shared" si="30"/>
        <v/>
      </c>
      <c r="V136" s="10" t="str">
        <f t="shared" si="31"/>
        <v/>
      </c>
      <c r="W136" s="8" t="str">
        <f t="shared" si="32"/>
        <v/>
      </c>
      <c r="X136" s="9">
        <f t="shared" si="39"/>
        <v>0</v>
      </c>
      <c r="Y136" s="9">
        <f t="shared" si="40"/>
        <v>0</v>
      </c>
    </row>
    <row r="137" spans="2:25" x14ac:dyDescent="0.3">
      <c r="B137" s="6">
        <v>100</v>
      </c>
      <c r="C137" s="79" t="str">
        <f t="shared" si="41"/>
        <v/>
      </c>
      <c r="D137" s="6" t="str">
        <f t="shared" si="21"/>
        <v/>
      </c>
      <c r="E137" s="79" t="str">
        <f t="shared" si="33"/>
        <v/>
      </c>
      <c r="F137" s="79" t="str">
        <f>IF(B136&gt;$C$18,"",IF(COUNTIF(Feriados!$A$2:$B$17,EDATE($C$38,B136))=0,EDATE($C$38,B136),EDATE($C$38,B136)+VLOOKUP(EDATE($C$38,B136),Feriados!$A$2:$B$17,2,FALSE)))</f>
        <v/>
      </c>
      <c r="G137" s="6" t="str">
        <f t="shared" si="34"/>
        <v/>
      </c>
      <c r="H137" s="6" t="str">
        <f t="shared" si="35"/>
        <v/>
      </c>
      <c r="I137" s="8" t="str">
        <f t="shared" si="36"/>
        <v/>
      </c>
      <c r="J137" s="8" t="str">
        <f t="shared" si="37"/>
        <v/>
      </c>
      <c r="K137" s="9" t="str">
        <f t="shared" si="22"/>
        <v/>
      </c>
      <c r="L137" s="9" t="str">
        <f t="shared" si="38"/>
        <v/>
      </c>
      <c r="M137" s="10" t="str">
        <f t="shared" si="23"/>
        <v/>
      </c>
      <c r="N137" s="6" t="str">
        <f t="shared" si="24"/>
        <v/>
      </c>
      <c r="O137" s="9" t="str">
        <f t="shared" si="25"/>
        <v/>
      </c>
      <c r="P137" s="9" t="str">
        <f t="shared" si="26"/>
        <v/>
      </c>
      <c r="Q137" s="9" t="str">
        <f t="shared" si="27"/>
        <v/>
      </c>
      <c r="R137" s="9" t="str">
        <f t="shared" ca="1" si="28"/>
        <v/>
      </c>
      <c r="T137" s="6" t="str">
        <f t="shared" si="29"/>
        <v/>
      </c>
      <c r="U137" s="6" t="str">
        <f t="shared" si="30"/>
        <v/>
      </c>
      <c r="V137" s="10" t="str">
        <f t="shared" si="31"/>
        <v/>
      </c>
      <c r="W137" s="8" t="str">
        <f t="shared" si="32"/>
        <v/>
      </c>
      <c r="X137" s="9">
        <f t="shared" si="39"/>
        <v>0</v>
      </c>
      <c r="Y137" s="9">
        <f t="shared" si="40"/>
        <v>0</v>
      </c>
    </row>
    <row r="138" spans="2:25" x14ac:dyDescent="0.3">
      <c r="B138" s="6">
        <v>101</v>
      </c>
      <c r="C138" s="79" t="str">
        <f t="shared" si="41"/>
        <v/>
      </c>
      <c r="D138" s="6" t="str">
        <f t="shared" si="21"/>
        <v/>
      </c>
      <c r="E138" s="79" t="str">
        <f t="shared" si="33"/>
        <v/>
      </c>
      <c r="F138" s="79" t="str">
        <f>IF(B137&gt;$C$18,"",IF(COUNTIF(Feriados!$A$2:$B$17,EDATE($C$38,B137))=0,EDATE($C$38,B137),EDATE($C$38,B137)+VLOOKUP(EDATE($C$38,B137),Feriados!$A$2:$B$17,2,FALSE)))</f>
        <v/>
      </c>
      <c r="G138" s="6" t="str">
        <f t="shared" si="34"/>
        <v/>
      </c>
      <c r="H138" s="6" t="str">
        <f t="shared" si="35"/>
        <v/>
      </c>
      <c r="I138" s="8" t="str">
        <f t="shared" si="36"/>
        <v/>
      </c>
      <c r="J138" s="8" t="str">
        <f t="shared" si="37"/>
        <v/>
      </c>
      <c r="K138" s="9" t="str">
        <f t="shared" si="22"/>
        <v/>
      </c>
      <c r="L138" s="9" t="str">
        <f t="shared" si="38"/>
        <v/>
      </c>
      <c r="M138" s="10" t="str">
        <f t="shared" si="23"/>
        <v/>
      </c>
      <c r="N138" s="6" t="str">
        <f t="shared" si="24"/>
        <v/>
      </c>
      <c r="O138" s="9" t="str">
        <f t="shared" si="25"/>
        <v/>
      </c>
      <c r="P138" s="9" t="str">
        <f t="shared" si="26"/>
        <v/>
      </c>
      <c r="Q138" s="9" t="str">
        <f t="shared" si="27"/>
        <v/>
      </c>
      <c r="R138" s="9" t="str">
        <f t="shared" ca="1" si="28"/>
        <v/>
      </c>
      <c r="T138" s="6" t="str">
        <f t="shared" si="29"/>
        <v/>
      </c>
      <c r="U138" s="6" t="str">
        <f t="shared" si="30"/>
        <v/>
      </c>
      <c r="V138" s="10" t="str">
        <f t="shared" si="31"/>
        <v/>
      </c>
      <c r="W138" s="8" t="str">
        <f t="shared" si="32"/>
        <v/>
      </c>
      <c r="X138" s="9">
        <f t="shared" si="39"/>
        <v>0</v>
      </c>
      <c r="Y138" s="9">
        <f t="shared" si="40"/>
        <v>0</v>
      </c>
    </row>
    <row r="139" spans="2:25" x14ac:dyDescent="0.3">
      <c r="B139" s="6">
        <v>102</v>
      </c>
      <c r="C139" s="79" t="str">
        <f t="shared" si="41"/>
        <v/>
      </c>
      <c r="D139" s="6" t="str">
        <f t="shared" si="21"/>
        <v/>
      </c>
      <c r="E139" s="79" t="str">
        <f t="shared" si="33"/>
        <v/>
      </c>
      <c r="F139" s="79" t="str">
        <f>IF(B138&gt;$C$18,"",IF(COUNTIF(Feriados!$A$2:$B$17,EDATE($C$38,B138))=0,EDATE($C$38,B138),EDATE($C$38,B138)+VLOOKUP(EDATE($C$38,B138),Feriados!$A$2:$B$17,2,FALSE)))</f>
        <v/>
      </c>
      <c r="G139" s="6" t="str">
        <f t="shared" si="34"/>
        <v/>
      </c>
      <c r="H139" s="6" t="str">
        <f t="shared" si="35"/>
        <v/>
      </c>
      <c r="I139" s="8" t="str">
        <f t="shared" si="36"/>
        <v/>
      </c>
      <c r="J139" s="8" t="str">
        <f t="shared" si="37"/>
        <v/>
      </c>
      <c r="K139" s="9" t="str">
        <f t="shared" si="22"/>
        <v/>
      </c>
      <c r="L139" s="9" t="str">
        <f t="shared" si="38"/>
        <v/>
      </c>
      <c r="M139" s="10" t="str">
        <f t="shared" si="23"/>
        <v/>
      </c>
      <c r="N139" s="6" t="str">
        <f t="shared" si="24"/>
        <v/>
      </c>
      <c r="O139" s="9" t="str">
        <f t="shared" si="25"/>
        <v/>
      </c>
      <c r="P139" s="9" t="str">
        <f t="shared" si="26"/>
        <v/>
      </c>
      <c r="Q139" s="9" t="str">
        <f t="shared" si="27"/>
        <v/>
      </c>
      <c r="R139" s="9" t="str">
        <f t="shared" ca="1" si="28"/>
        <v/>
      </c>
      <c r="T139" s="6" t="str">
        <f t="shared" si="29"/>
        <v/>
      </c>
      <c r="U139" s="6" t="str">
        <f t="shared" si="30"/>
        <v/>
      </c>
      <c r="V139" s="10" t="str">
        <f t="shared" si="31"/>
        <v/>
      </c>
      <c r="W139" s="8" t="str">
        <f t="shared" si="32"/>
        <v/>
      </c>
      <c r="X139" s="9">
        <f t="shared" si="39"/>
        <v>0</v>
      </c>
      <c r="Y139" s="9">
        <f t="shared" si="40"/>
        <v>0</v>
      </c>
    </row>
    <row r="140" spans="2:25" x14ac:dyDescent="0.3">
      <c r="B140" s="6">
        <v>103</v>
      </c>
      <c r="C140" s="79" t="str">
        <f t="shared" si="41"/>
        <v/>
      </c>
      <c r="D140" s="6" t="str">
        <f t="shared" si="21"/>
        <v/>
      </c>
      <c r="E140" s="79" t="str">
        <f t="shared" si="33"/>
        <v/>
      </c>
      <c r="F140" s="79" t="str">
        <f>IF(B139&gt;$C$18,"",IF(COUNTIF(Feriados!$A$2:$B$17,EDATE($C$38,B139))=0,EDATE($C$38,B139),EDATE($C$38,B139)+VLOOKUP(EDATE($C$38,B139),Feriados!$A$2:$B$17,2,FALSE)))</f>
        <v/>
      </c>
      <c r="G140" s="6" t="str">
        <f t="shared" si="34"/>
        <v/>
      </c>
      <c r="H140" s="6" t="str">
        <f t="shared" si="35"/>
        <v/>
      </c>
      <c r="I140" s="8" t="str">
        <f t="shared" si="36"/>
        <v/>
      </c>
      <c r="J140" s="8" t="str">
        <f t="shared" si="37"/>
        <v/>
      </c>
      <c r="K140" s="9" t="str">
        <f t="shared" si="22"/>
        <v/>
      </c>
      <c r="L140" s="9" t="str">
        <f t="shared" si="38"/>
        <v/>
      </c>
      <c r="M140" s="10" t="str">
        <f t="shared" si="23"/>
        <v/>
      </c>
      <c r="N140" s="6" t="str">
        <f t="shared" si="24"/>
        <v/>
      </c>
      <c r="O140" s="9" t="str">
        <f t="shared" si="25"/>
        <v/>
      </c>
      <c r="P140" s="9" t="str">
        <f t="shared" si="26"/>
        <v/>
      </c>
      <c r="Q140" s="9" t="str">
        <f t="shared" si="27"/>
        <v/>
      </c>
      <c r="R140" s="9" t="str">
        <f t="shared" ca="1" si="28"/>
        <v/>
      </c>
      <c r="T140" s="6" t="str">
        <f t="shared" si="29"/>
        <v/>
      </c>
      <c r="U140" s="6" t="str">
        <f t="shared" si="30"/>
        <v/>
      </c>
      <c r="V140" s="10" t="str">
        <f t="shared" si="31"/>
        <v/>
      </c>
      <c r="W140" s="8" t="str">
        <f t="shared" si="32"/>
        <v/>
      </c>
      <c r="X140" s="9">
        <f t="shared" si="39"/>
        <v>0</v>
      </c>
      <c r="Y140" s="9">
        <f t="shared" si="40"/>
        <v>0</v>
      </c>
    </row>
    <row r="141" spans="2:25" x14ac:dyDescent="0.3">
      <c r="B141" s="6">
        <v>104</v>
      </c>
      <c r="C141" s="79" t="str">
        <f t="shared" si="41"/>
        <v/>
      </c>
      <c r="D141" s="6" t="str">
        <f t="shared" si="21"/>
        <v/>
      </c>
      <c r="E141" s="79" t="str">
        <f t="shared" si="33"/>
        <v/>
      </c>
      <c r="F141" s="79" t="str">
        <f>IF(B140&gt;$C$18,"",IF(COUNTIF(Feriados!$A$2:$B$17,EDATE($C$38,B140))=0,EDATE($C$38,B140),EDATE($C$38,B140)+VLOOKUP(EDATE($C$38,B140),Feriados!$A$2:$B$17,2,FALSE)))</f>
        <v/>
      </c>
      <c r="G141" s="6" t="str">
        <f t="shared" si="34"/>
        <v/>
      </c>
      <c r="H141" s="6" t="str">
        <f t="shared" si="35"/>
        <v/>
      </c>
      <c r="I141" s="8" t="str">
        <f t="shared" si="36"/>
        <v/>
      </c>
      <c r="J141" s="8" t="str">
        <f t="shared" si="37"/>
        <v/>
      </c>
      <c r="K141" s="9" t="str">
        <f t="shared" si="22"/>
        <v/>
      </c>
      <c r="L141" s="9" t="str">
        <f t="shared" si="38"/>
        <v/>
      </c>
      <c r="M141" s="10" t="str">
        <f t="shared" si="23"/>
        <v/>
      </c>
      <c r="N141" s="6" t="str">
        <f t="shared" si="24"/>
        <v/>
      </c>
      <c r="O141" s="9" t="str">
        <f t="shared" si="25"/>
        <v/>
      </c>
      <c r="P141" s="9" t="str">
        <f t="shared" si="26"/>
        <v/>
      </c>
      <c r="Q141" s="9" t="str">
        <f t="shared" si="27"/>
        <v/>
      </c>
      <c r="R141" s="9" t="str">
        <f t="shared" ca="1" si="28"/>
        <v/>
      </c>
      <c r="T141" s="6" t="str">
        <f t="shared" si="29"/>
        <v/>
      </c>
      <c r="U141" s="6" t="str">
        <f t="shared" si="30"/>
        <v/>
      </c>
      <c r="V141" s="10" t="str">
        <f t="shared" si="31"/>
        <v/>
      </c>
      <c r="W141" s="8" t="str">
        <f t="shared" si="32"/>
        <v/>
      </c>
      <c r="X141" s="9">
        <f t="shared" si="39"/>
        <v>0</v>
      </c>
      <c r="Y141" s="9">
        <f t="shared" si="40"/>
        <v>0</v>
      </c>
    </row>
    <row r="142" spans="2:25" x14ac:dyDescent="0.3">
      <c r="B142" s="6">
        <v>105</v>
      </c>
      <c r="C142" s="79" t="str">
        <f t="shared" si="41"/>
        <v/>
      </c>
      <c r="D142" s="6" t="str">
        <f t="shared" si="21"/>
        <v/>
      </c>
      <c r="E142" s="79" t="str">
        <f t="shared" si="33"/>
        <v/>
      </c>
      <c r="F142" s="79" t="str">
        <f>IF(B141&gt;$C$18,"",IF(COUNTIF(Feriados!$A$2:$B$17,EDATE($C$38,B141))=0,EDATE($C$38,B141),EDATE($C$38,B141)+VLOOKUP(EDATE($C$38,B141),Feriados!$A$2:$B$17,2,FALSE)))</f>
        <v/>
      </c>
      <c r="G142" s="6" t="str">
        <f t="shared" si="34"/>
        <v/>
      </c>
      <c r="H142" s="6" t="str">
        <f t="shared" si="35"/>
        <v/>
      </c>
      <c r="I142" s="8" t="str">
        <f t="shared" si="36"/>
        <v/>
      </c>
      <c r="J142" s="8" t="str">
        <f t="shared" si="37"/>
        <v/>
      </c>
      <c r="K142" s="9" t="str">
        <f t="shared" si="22"/>
        <v/>
      </c>
      <c r="L142" s="9" t="str">
        <f t="shared" si="38"/>
        <v/>
      </c>
      <c r="M142" s="10" t="str">
        <f t="shared" si="23"/>
        <v/>
      </c>
      <c r="N142" s="6" t="str">
        <f t="shared" si="24"/>
        <v/>
      </c>
      <c r="O142" s="9" t="str">
        <f t="shared" si="25"/>
        <v/>
      </c>
      <c r="P142" s="9" t="str">
        <f t="shared" si="26"/>
        <v/>
      </c>
      <c r="Q142" s="9" t="str">
        <f t="shared" si="27"/>
        <v/>
      </c>
      <c r="R142" s="9" t="str">
        <f t="shared" ca="1" si="28"/>
        <v/>
      </c>
      <c r="T142" s="6" t="str">
        <f t="shared" si="29"/>
        <v/>
      </c>
      <c r="U142" s="6" t="str">
        <f t="shared" si="30"/>
        <v/>
      </c>
      <c r="V142" s="10" t="str">
        <f t="shared" si="31"/>
        <v/>
      </c>
      <c r="W142" s="8" t="str">
        <f t="shared" si="32"/>
        <v/>
      </c>
      <c r="X142" s="9">
        <f t="shared" si="39"/>
        <v>0</v>
      </c>
      <c r="Y142" s="9">
        <f t="shared" si="40"/>
        <v>0</v>
      </c>
    </row>
    <row r="143" spans="2:25" x14ac:dyDescent="0.3">
      <c r="B143" s="6">
        <v>106</v>
      </c>
      <c r="C143" s="79" t="str">
        <f t="shared" si="41"/>
        <v/>
      </c>
      <c r="D143" s="6" t="str">
        <f t="shared" si="21"/>
        <v/>
      </c>
      <c r="E143" s="79" t="str">
        <f t="shared" si="33"/>
        <v/>
      </c>
      <c r="F143" s="79" t="str">
        <f>IF(B142&gt;$C$18,"",IF(COUNTIF(Feriados!$A$2:$B$17,EDATE($C$38,B142))=0,EDATE($C$38,B142),EDATE($C$38,B142)+VLOOKUP(EDATE($C$38,B142),Feriados!$A$2:$B$17,2,FALSE)))</f>
        <v/>
      </c>
      <c r="G143" s="6" t="str">
        <f t="shared" si="34"/>
        <v/>
      </c>
      <c r="H143" s="6" t="str">
        <f t="shared" si="35"/>
        <v/>
      </c>
      <c r="I143" s="8" t="str">
        <f t="shared" si="36"/>
        <v/>
      </c>
      <c r="J143" s="8" t="str">
        <f t="shared" si="37"/>
        <v/>
      </c>
      <c r="K143" s="9" t="str">
        <f t="shared" si="22"/>
        <v/>
      </c>
      <c r="L143" s="9" t="str">
        <f t="shared" si="38"/>
        <v/>
      </c>
      <c r="M143" s="10" t="str">
        <f t="shared" si="23"/>
        <v/>
      </c>
      <c r="N143" s="6" t="str">
        <f t="shared" si="24"/>
        <v/>
      </c>
      <c r="O143" s="9" t="str">
        <f t="shared" si="25"/>
        <v/>
      </c>
      <c r="P143" s="9" t="str">
        <f t="shared" si="26"/>
        <v/>
      </c>
      <c r="Q143" s="9" t="str">
        <f t="shared" si="27"/>
        <v/>
      </c>
      <c r="R143" s="9" t="str">
        <f t="shared" ca="1" si="28"/>
        <v/>
      </c>
      <c r="T143" s="6" t="str">
        <f t="shared" si="29"/>
        <v/>
      </c>
      <c r="U143" s="6" t="str">
        <f t="shared" si="30"/>
        <v/>
      </c>
      <c r="V143" s="10" t="str">
        <f t="shared" si="31"/>
        <v/>
      </c>
      <c r="W143" s="8" t="str">
        <f t="shared" si="32"/>
        <v/>
      </c>
      <c r="X143" s="9">
        <f t="shared" si="39"/>
        <v>0</v>
      </c>
      <c r="Y143" s="9">
        <f t="shared" si="40"/>
        <v>0</v>
      </c>
    </row>
    <row r="144" spans="2:25" x14ac:dyDescent="0.3">
      <c r="B144" s="6">
        <v>107</v>
      </c>
      <c r="C144" s="79" t="str">
        <f t="shared" si="41"/>
        <v/>
      </c>
      <c r="D144" s="6" t="str">
        <f t="shared" si="21"/>
        <v/>
      </c>
      <c r="E144" s="79" t="str">
        <f t="shared" si="33"/>
        <v/>
      </c>
      <c r="F144" s="79" t="str">
        <f>IF(B143&gt;$C$18,"",IF(COUNTIF(Feriados!$A$2:$B$17,EDATE($C$38,B143))=0,EDATE($C$38,B143),EDATE($C$38,B143)+VLOOKUP(EDATE($C$38,B143),Feriados!$A$2:$B$17,2,FALSE)))</f>
        <v/>
      </c>
      <c r="G144" s="6" t="str">
        <f t="shared" si="34"/>
        <v/>
      </c>
      <c r="H144" s="6" t="str">
        <f t="shared" si="35"/>
        <v/>
      </c>
      <c r="I144" s="8" t="str">
        <f t="shared" si="36"/>
        <v/>
      </c>
      <c r="J144" s="8" t="str">
        <f t="shared" si="37"/>
        <v/>
      </c>
      <c r="K144" s="9" t="str">
        <f t="shared" si="22"/>
        <v/>
      </c>
      <c r="L144" s="9" t="str">
        <f t="shared" si="38"/>
        <v/>
      </c>
      <c r="M144" s="10" t="str">
        <f t="shared" si="23"/>
        <v/>
      </c>
      <c r="N144" s="6" t="str">
        <f t="shared" si="24"/>
        <v/>
      </c>
      <c r="O144" s="9" t="str">
        <f t="shared" si="25"/>
        <v/>
      </c>
      <c r="P144" s="9" t="str">
        <f t="shared" si="26"/>
        <v/>
      </c>
      <c r="Q144" s="9" t="str">
        <f t="shared" si="27"/>
        <v/>
      </c>
      <c r="R144" s="9" t="str">
        <f t="shared" ca="1" si="28"/>
        <v/>
      </c>
      <c r="T144" s="6" t="str">
        <f t="shared" si="29"/>
        <v/>
      </c>
      <c r="U144" s="6" t="str">
        <f t="shared" si="30"/>
        <v/>
      </c>
      <c r="V144" s="10" t="str">
        <f t="shared" si="31"/>
        <v/>
      </c>
      <c r="W144" s="8" t="str">
        <f t="shared" si="32"/>
        <v/>
      </c>
      <c r="X144" s="9">
        <f t="shared" si="39"/>
        <v>0</v>
      </c>
      <c r="Y144" s="9">
        <f t="shared" si="40"/>
        <v>0</v>
      </c>
    </row>
    <row r="145" spans="2:25" x14ac:dyDescent="0.3">
      <c r="B145" s="6">
        <v>108</v>
      </c>
      <c r="C145" s="79" t="str">
        <f t="shared" si="41"/>
        <v/>
      </c>
      <c r="D145" s="6" t="str">
        <f t="shared" si="21"/>
        <v/>
      </c>
      <c r="E145" s="79" t="str">
        <f t="shared" si="33"/>
        <v/>
      </c>
      <c r="F145" s="79" t="str">
        <f>IF(B144&gt;$C$18,"",IF(COUNTIF(Feriados!$A$2:$B$17,EDATE($C$38,B144))=0,EDATE($C$38,B144),EDATE($C$38,B144)+VLOOKUP(EDATE($C$38,B144),Feriados!$A$2:$B$17,2,FALSE)))</f>
        <v/>
      </c>
      <c r="G145" s="6" t="str">
        <f t="shared" si="34"/>
        <v/>
      </c>
      <c r="H145" s="6" t="str">
        <f t="shared" si="35"/>
        <v/>
      </c>
      <c r="I145" s="8" t="str">
        <f t="shared" si="36"/>
        <v/>
      </c>
      <c r="J145" s="8" t="str">
        <f t="shared" si="37"/>
        <v/>
      </c>
      <c r="K145" s="9" t="str">
        <f t="shared" si="22"/>
        <v/>
      </c>
      <c r="L145" s="9" t="str">
        <f t="shared" si="38"/>
        <v/>
      </c>
      <c r="M145" s="10" t="str">
        <f t="shared" si="23"/>
        <v/>
      </c>
      <c r="N145" s="6" t="str">
        <f t="shared" si="24"/>
        <v/>
      </c>
      <c r="O145" s="9" t="str">
        <f t="shared" si="25"/>
        <v/>
      </c>
      <c r="P145" s="9" t="str">
        <f t="shared" si="26"/>
        <v/>
      </c>
      <c r="Q145" s="9" t="str">
        <f t="shared" si="27"/>
        <v/>
      </c>
      <c r="R145" s="9" t="str">
        <f t="shared" ca="1" si="28"/>
        <v/>
      </c>
      <c r="T145" s="6" t="str">
        <f t="shared" si="29"/>
        <v/>
      </c>
      <c r="U145" s="6" t="str">
        <f t="shared" si="30"/>
        <v/>
      </c>
      <c r="V145" s="10" t="str">
        <f t="shared" si="31"/>
        <v/>
      </c>
      <c r="W145" s="8" t="str">
        <f t="shared" si="32"/>
        <v/>
      </c>
      <c r="X145" s="9">
        <f t="shared" si="39"/>
        <v>0</v>
      </c>
      <c r="Y145" s="9">
        <f t="shared" si="40"/>
        <v>0</v>
      </c>
    </row>
    <row r="146" spans="2:25" x14ac:dyDescent="0.3">
      <c r="B146" s="6">
        <v>109</v>
      </c>
      <c r="C146" s="79" t="str">
        <f t="shared" si="41"/>
        <v/>
      </c>
      <c r="D146" s="6" t="str">
        <f t="shared" si="21"/>
        <v/>
      </c>
      <c r="E146" s="79" t="str">
        <f t="shared" si="33"/>
        <v/>
      </c>
      <c r="F146" s="79" t="str">
        <f>IF(B145&gt;$C$18,"",IF(COUNTIF(Feriados!$A$2:$B$17,EDATE($C$38,B145))=0,EDATE($C$38,B145),EDATE($C$38,B145)+VLOOKUP(EDATE($C$38,B145),Feriados!$A$2:$B$17,2,FALSE)))</f>
        <v/>
      </c>
      <c r="G146" s="6" t="str">
        <f t="shared" si="34"/>
        <v/>
      </c>
      <c r="H146" s="6" t="str">
        <f t="shared" si="35"/>
        <v/>
      </c>
      <c r="I146" s="8" t="str">
        <f t="shared" si="36"/>
        <v/>
      </c>
      <c r="J146" s="8" t="str">
        <f t="shared" si="37"/>
        <v/>
      </c>
      <c r="K146" s="9" t="str">
        <f t="shared" si="22"/>
        <v/>
      </c>
      <c r="L146" s="9" t="str">
        <f t="shared" si="38"/>
        <v/>
      </c>
      <c r="M146" s="10" t="str">
        <f t="shared" si="23"/>
        <v/>
      </c>
      <c r="N146" s="6" t="str">
        <f t="shared" si="24"/>
        <v/>
      </c>
      <c r="O146" s="9" t="str">
        <f t="shared" si="25"/>
        <v/>
      </c>
      <c r="P146" s="9" t="str">
        <f t="shared" si="26"/>
        <v/>
      </c>
      <c r="Q146" s="9" t="str">
        <f t="shared" si="27"/>
        <v/>
      </c>
      <c r="R146" s="9" t="str">
        <f t="shared" ca="1" si="28"/>
        <v/>
      </c>
      <c r="T146" s="6" t="str">
        <f t="shared" si="29"/>
        <v/>
      </c>
      <c r="U146" s="6" t="str">
        <f t="shared" si="30"/>
        <v/>
      </c>
      <c r="V146" s="10" t="str">
        <f t="shared" si="31"/>
        <v/>
      </c>
      <c r="W146" s="8" t="str">
        <f t="shared" si="32"/>
        <v/>
      </c>
      <c r="X146" s="9">
        <f t="shared" si="39"/>
        <v>0</v>
      </c>
      <c r="Y146" s="9">
        <f t="shared" si="40"/>
        <v>0</v>
      </c>
    </row>
    <row r="147" spans="2:25" x14ac:dyDescent="0.3">
      <c r="B147" s="6">
        <v>110</v>
      </c>
      <c r="C147" s="79" t="str">
        <f t="shared" si="41"/>
        <v/>
      </c>
      <c r="D147" s="6" t="str">
        <f t="shared" si="21"/>
        <v/>
      </c>
      <c r="E147" s="79" t="str">
        <f t="shared" si="33"/>
        <v/>
      </c>
      <c r="F147" s="79" t="str">
        <f>IF(B146&gt;$C$18,"",IF(COUNTIF(Feriados!$A$2:$B$17,EDATE($C$38,B146))=0,EDATE($C$38,B146),EDATE($C$38,B146)+VLOOKUP(EDATE($C$38,B146),Feriados!$A$2:$B$17,2,FALSE)))</f>
        <v/>
      </c>
      <c r="G147" s="6" t="str">
        <f t="shared" si="34"/>
        <v/>
      </c>
      <c r="H147" s="6" t="str">
        <f t="shared" si="35"/>
        <v/>
      </c>
      <c r="I147" s="8" t="str">
        <f t="shared" si="36"/>
        <v/>
      </c>
      <c r="J147" s="8" t="str">
        <f t="shared" si="37"/>
        <v/>
      </c>
      <c r="K147" s="9" t="str">
        <f t="shared" si="22"/>
        <v/>
      </c>
      <c r="L147" s="9" t="str">
        <f t="shared" si="38"/>
        <v/>
      </c>
      <c r="M147" s="10" t="str">
        <f t="shared" si="23"/>
        <v/>
      </c>
      <c r="N147" s="6" t="str">
        <f t="shared" si="24"/>
        <v/>
      </c>
      <c r="O147" s="9" t="str">
        <f t="shared" si="25"/>
        <v/>
      </c>
      <c r="P147" s="9" t="str">
        <f t="shared" si="26"/>
        <v/>
      </c>
      <c r="Q147" s="9" t="str">
        <f t="shared" si="27"/>
        <v/>
      </c>
      <c r="R147" s="9" t="str">
        <f t="shared" ca="1" si="28"/>
        <v/>
      </c>
      <c r="T147" s="6" t="str">
        <f t="shared" si="29"/>
        <v/>
      </c>
      <c r="U147" s="6" t="str">
        <f t="shared" si="30"/>
        <v/>
      </c>
      <c r="V147" s="10" t="str">
        <f t="shared" si="31"/>
        <v/>
      </c>
      <c r="W147" s="8" t="str">
        <f t="shared" si="32"/>
        <v/>
      </c>
      <c r="X147" s="9">
        <f t="shared" si="39"/>
        <v>0</v>
      </c>
      <c r="Y147" s="9">
        <f t="shared" si="40"/>
        <v>0</v>
      </c>
    </row>
    <row r="148" spans="2:25" x14ac:dyDescent="0.3">
      <c r="B148" s="6">
        <v>111</v>
      </c>
      <c r="C148" s="79" t="str">
        <f t="shared" si="41"/>
        <v/>
      </c>
      <c r="D148" s="6" t="str">
        <f t="shared" si="21"/>
        <v/>
      </c>
      <c r="E148" s="79" t="str">
        <f t="shared" si="33"/>
        <v/>
      </c>
      <c r="F148" s="79" t="str">
        <f>IF(B147&gt;$C$18,"",IF(COUNTIF(Feriados!$A$2:$B$17,EDATE($C$38,B147))=0,EDATE($C$38,B147),EDATE($C$38,B147)+VLOOKUP(EDATE($C$38,B147),Feriados!$A$2:$B$17,2,FALSE)))</f>
        <v/>
      </c>
      <c r="G148" s="6" t="str">
        <f t="shared" si="34"/>
        <v/>
      </c>
      <c r="H148" s="6" t="str">
        <f t="shared" si="35"/>
        <v/>
      </c>
      <c r="I148" s="8" t="str">
        <f t="shared" si="36"/>
        <v/>
      </c>
      <c r="J148" s="8" t="str">
        <f t="shared" si="37"/>
        <v/>
      </c>
      <c r="K148" s="9" t="str">
        <f t="shared" si="22"/>
        <v/>
      </c>
      <c r="L148" s="9" t="str">
        <f t="shared" si="38"/>
        <v/>
      </c>
      <c r="M148" s="10" t="str">
        <f t="shared" si="23"/>
        <v/>
      </c>
      <c r="N148" s="6" t="str">
        <f t="shared" si="24"/>
        <v/>
      </c>
      <c r="O148" s="9" t="str">
        <f t="shared" si="25"/>
        <v/>
      </c>
      <c r="P148" s="9" t="str">
        <f t="shared" si="26"/>
        <v/>
      </c>
      <c r="Q148" s="9" t="str">
        <f t="shared" si="27"/>
        <v/>
      </c>
      <c r="R148" s="9" t="str">
        <f t="shared" ca="1" si="28"/>
        <v/>
      </c>
      <c r="T148" s="6" t="str">
        <f t="shared" si="29"/>
        <v/>
      </c>
      <c r="U148" s="6" t="str">
        <f t="shared" si="30"/>
        <v/>
      </c>
      <c r="V148" s="10" t="str">
        <f t="shared" si="31"/>
        <v/>
      </c>
      <c r="W148" s="8" t="str">
        <f t="shared" si="32"/>
        <v/>
      </c>
      <c r="X148" s="9">
        <f t="shared" si="39"/>
        <v>0</v>
      </c>
      <c r="Y148" s="9">
        <f t="shared" si="40"/>
        <v>0</v>
      </c>
    </row>
    <row r="149" spans="2:25" x14ac:dyDescent="0.3">
      <c r="B149" s="6">
        <v>112</v>
      </c>
      <c r="C149" s="79" t="str">
        <f t="shared" si="41"/>
        <v/>
      </c>
      <c r="D149" s="6" t="str">
        <f t="shared" si="21"/>
        <v/>
      </c>
      <c r="E149" s="79" t="str">
        <f t="shared" si="33"/>
        <v/>
      </c>
      <c r="F149" s="79" t="str">
        <f>IF(B148&gt;$C$18,"",IF(COUNTIF(Feriados!$A$2:$B$17,EDATE($C$38,B148))=0,EDATE($C$38,B148),EDATE($C$38,B148)+VLOOKUP(EDATE($C$38,B148),Feriados!$A$2:$B$17,2,FALSE)))</f>
        <v/>
      </c>
      <c r="G149" s="6" t="str">
        <f t="shared" si="34"/>
        <v/>
      </c>
      <c r="H149" s="6" t="str">
        <f t="shared" si="35"/>
        <v/>
      </c>
      <c r="I149" s="8" t="str">
        <f t="shared" si="36"/>
        <v/>
      </c>
      <c r="J149" s="8" t="str">
        <f t="shared" si="37"/>
        <v/>
      </c>
      <c r="K149" s="9" t="str">
        <f t="shared" si="22"/>
        <v/>
      </c>
      <c r="L149" s="9" t="str">
        <f t="shared" si="38"/>
        <v/>
      </c>
      <c r="M149" s="10" t="str">
        <f t="shared" si="23"/>
        <v/>
      </c>
      <c r="N149" s="6" t="str">
        <f t="shared" si="24"/>
        <v/>
      </c>
      <c r="O149" s="9" t="str">
        <f t="shared" si="25"/>
        <v/>
      </c>
      <c r="P149" s="9" t="str">
        <f t="shared" si="26"/>
        <v/>
      </c>
      <c r="Q149" s="9" t="str">
        <f t="shared" si="27"/>
        <v/>
      </c>
      <c r="R149" s="9" t="str">
        <f t="shared" ca="1" si="28"/>
        <v/>
      </c>
      <c r="T149" s="6" t="str">
        <f t="shared" si="29"/>
        <v/>
      </c>
      <c r="U149" s="6" t="str">
        <f t="shared" si="30"/>
        <v/>
      </c>
      <c r="V149" s="10" t="str">
        <f t="shared" si="31"/>
        <v/>
      </c>
      <c r="W149" s="8" t="str">
        <f t="shared" si="32"/>
        <v/>
      </c>
      <c r="X149" s="9">
        <f t="shared" si="39"/>
        <v>0</v>
      </c>
      <c r="Y149" s="9">
        <f t="shared" si="40"/>
        <v>0</v>
      </c>
    </row>
    <row r="150" spans="2:25" x14ac:dyDescent="0.3">
      <c r="B150" s="6">
        <v>113</v>
      </c>
      <c r="C150" s="79" t="str">
        <f t="shared" si="41"/>
        <v/>
      </c>
      <c r="D150" s="6" t="str">
        <f t="shared" si="21"/>
        <v/>
      </c>
      <c r="E150" s="79" t="str">
        <f t="shared" si="33"/>
        <v/>
      </c>
      <c r="F150" s="79" t="str">
        <f>IF(B149&gt;$C$18,"",IF(COUNTIF(Feriados!$A$2:$B$17,EDATE($C$38,B149))=0,EDATE($C$38,B149),EDATE($C$38,B149)+VLOOKUP(EDATE($C$38,B149),Feriados!$A$2:$B$17,2,FALSE)))</f>
        <v/>
      </c>
      <c r="G150" s="6" t="str">
        <f t="shared" si="34"/>
        <v/>
      </c>
      <c r="H150" s="6" t="str">
        <f t="shared" si="35"/>
        <v/>
      </c>
      <c r="I150" s="8" t="str">
        <f t="shared" si="36"/>
        <v/>
      </c>
      <c r="J150" s="8" t="str">
        <f t="shared" si="37"/>
        <v/>
      </c>
      <c r="K150" s="9" t="str">
        <f t="shared" si="22"/>
        <v/>
      </c>
      <c r="L150" s="9" t="str">
        <f t="shared" si="38"/>
        <v/>
      </c>
      <c r="M150" s="10" t="str">
        <f t="shared" si="23"/>
        <v/>
      </c>
      <c r="N150" s="6" t="str">
        <f t="shared" si="24"/>
        <v/>
      </c>
      <c r="O150" s="9" t="str">
        <f t="shared" si="25"/>
        <v/>
      </c>
      <c r="P150" s="9" t="str">
        <f t="shared" si="26"/>
        <v/>
      </c>
      <c r="Q150" s="9" t="str">
        <f t="shared" si="27"/>
        <v/>
      </c>
      <c r="R150" s="9" t="str">
        <f t="shared" ca="1" si="28"/>
        <v/>
      </c>
      <c r="T150" s="6" t="str">
        <f t="shared" si="29"/>
        <v/>
      </c>
      <c r="U150" s="6" t="str">
        <f t="shared" si="30"/>
        <v/>
      </c>
      <c r="V150" s="10" t="str">
        <f t="shared" si="31"/>
        <v/>
      </c>
      <c r="W150" s="8" t="str">
        <f t="shared" si="32"/>
        <v/>
      </c>
      <c r="X150" s="9">
        <f t="shared" si="39"/>
        <v>0</v>
      </c>
      <c r="Y150" s="9">
        <f t="shared" si="40"/>
        <v>0</v>
      </c>
    </row>
    <row r="151" spans="2:25" x14ac:dyDescent="0.3">
      <c r="B151" s="6">
        <v>114</v>
      </c>
      <c r="C151" s="79" t="str">
        <f t="shared" si="41"/>
        <v/>
      </c>
      <c r="D151" s="6" t="str">
        <f t="shared" si="21"/>
        <v/>
      </c>
      <c r="E151" s="79" t="str">
        <f t="shared" si="33"/>
        <v/>
      </c>
      <c r="F151" s="79" t="str">
        <f>IF(B150&gt;$C$18,"",IF(COUNTIF(Feriados!$A$2:$B$17,EDATE($C$38,B150))=0,EDATE($C$38,B150),EDATE($C$38,B150)+VLOOKUP(EDATE($C$38,B150),Feriados!$A$2:$B$17,2,FALSE)))</f>
        <v/>
      </c>
      <c r="G151" s="6" t="str">
        <f t="shared" si="34"/>
        <v/>
      </c>
      <c r="H151" s="6" t="str">
        <f t="shared" si="35"/>
        <v/>
      </c>
      <c r="I151" s="8" t="str">
        <f t="shared" si="36"/>
        <v/>
      </c>
      <c r="J151" s="8" t="str">
        <f t="shared" si="37"/>
        <v/>
      </c>
      <c r="K151" s="9" t="str">
        <f t="shared" si="22"/>
        <v/>
      </c>
      <c r="L151" s="9" t="str">
        <f t="shared" si="38"/>
        <v/>
      </c>
      <c r="M151" s="10" t="str">
        <f t="shared" si="23"/>
        <v/>
      </c>
      <c r="N151" s="6" t="str">
        <f t="shared" si="24"/>
        <v/>
      </c>
      <c r="O151" s="9" t="str">
        <f t="shared" si="25"/>
        <v/>
      </c>
      <c r="P151" s="9" t="str">
        <f t="shared" si="26"/>
        <v/>
      </c>
      <c r="Q151" s="9" t="str">
        <f t="shared" si="27"/>
        <v/>
      </c>
      <c r="R151" s="9" t="str">
        <f t="shared" ca="1" si="28"/>
        <v/>
      </c>
      <c r="T151" s="6" t="str">
        <f t="shared" si="29"/>
        <v/>
      </c>
      <c r="U151" s="6" t="str">
        <f t="shared" si="30"/>
        <v/>
      </c>
      <c r="V151" s="10" t="str">
        <f t="shared" si="31"/>
        <v/>
      </c>
      <c r="W151" s="8" t="str">
        <f t="shared" si="32"/>
        <v/>
      </c>
      <c r="X151" s="9">
        <f t="shared" si="39"/>
        <v>0</v>
      </c>
      <c r="Y151" s="9">
        <f t="shared" si="40"/>
        <v>0</v>
      </c>
    </row>
    <row r="152" spans="2:25" x14ac:dyDescent="0.3">
      <c r="B152" s="6">
        <v>115</v>
      </c>
      <c r="C152" s="79" t="str">
        <f t="shared" si="41"/>
        <v/>
      </c>
      <c r="D152" s="6" t="str">
        <f t="shared" si="21"/>
        <v/>
      </c>
      <c r="E152" s="79" t="str">
        <f t="shared" si="33"/>
        <v/>
      </c>
      <c r="F152" s="79" t="str">
        <f>IF(B151&gt;$C$18,"",IF(COUNTIF(Feriados!$A$2:$B$17,EDATE($C$38,B151))=0,EDATE($C$38,B151),EDATE($C$38,B151)+VLOOKUP(EDATE($C$38,B151),Feriados!$A$2:$B$17,2,FALSE)))</f>
        <v/>
      </c>
      <c r="G152" s="6" t="str">
        <f t="shared" si="34"/>
        <v/>
      </c>
      <c r="H152" s="6" t="str">
        <f t="shared" si="35"/>
        <v/>
      </c>
      <c r="I152" s="8" t="str">
        <f t="shared" si="36"/>
        <v/>
      </c>
      <c r="J152" s="8" t="str">
        <f t="shared" si="37"/>
        <v/>
      </c>
      <c r="K152" s="9" t="str">
        <f t="shared" si="22"/>
        <v/>
      </c>
      <c r="L152" s="9" t="str">
        <f t="shared" si="38"/>
        <v/>
      </c>
      <c r="M152" s="10" t="str">
        <f t="shared" si="23"/>
        <v/>
      </c>
      <c r="N152" s="6" t="str">
        <f t="shared" si="24"/>
        <v/>
      </c>
      <c r="O152" s="9" t="str">
        <f t="shared" si="25"/>
        <v/>
      </c>
      <c r="P152" s="9" t="str">
        <f t="shared" si="26"/>
        <v/>
      </c>
      <c r="Q152" s="9" t="str">
        <f t="shared" si="27"/>
        <v/>
      </c>
      <c r="R152" s="9" t="str">
        <f t="shared" ca="1" si="28"/>
        <v/>
      </c>
      <c r="T152" s="6" t="str">
        <f t="shared" si="29"/>
        <v/>
      </c>
      <c r="U152" s="6" t="str">
        <f t="shared" si="30"/>
        <v/>
      </c>
      <c r="V152" s="10" t="str">
        <f t="shared" si="31"/>
        <v/>
      </c>
      <c r="W152" s="8" t="str">
        <f t="shared" si="32"/>
        <v/>
      </c>
      <c r="X152" s="9">
        <f t="shared" si="39"/>
        <v>0</v>
      </c>
      <c r="Y152" s="9">
        <f t="shared" si="40"/>
        <v>0</v>
      </c>
    </row>
    <row r="153" spans="2:25" x14ac:dyDescent="0.3">
      <c r="B153" s="6">
        <v>116</v>
      </c>
      <c r="C153" s="79" t="str">
        <f t="shared" si="41"/>
        <v/>
      </c>
      <c r="D153" s="6" t="str">
        <f t="shared" si="21"/>
        <v/>
      </c>
      <c r="E153" s="79" t="str">
        <f t="shared" si="33"/>
        <v/>
      </c>
      <c r="F153" s="79" t="str">
        <f>IF(B152&gt;$C$18,"",IF(COUNTIF(Feriados!$A$2:$B$17,EDATE($C$38,B152))=0,EDATE($C$38,B152),EDATE($C$38,B152)+VLOOKUP(EDATE($C$38,B152),Feriados!$A$2:$B$17,2,FALSE)))</f>
        <v/>
      </c>
      <c r="G153" s="6" t="str">
        <f t="shared" si="34"/>
        <v/>
      </c>
      <c r="H153" s="6" t="str">
        <f t="shared" si="35"/>
        <v/>
      </c>
      <c r="I153" s="8" t="str">
        <f t="shared" si="36"/>
        <v/>
      </c>
      <c r="J153" s="8" t="str">
        <f t="shared" si="37"/>
        <v/>
      </c>
      <c r="K153" s="9" t="str">
        <f t="shared" si="22"/>
        <v/>
      </c>
      <c r="L153" s="9" t="str">
        <f t="shared" si="38"/>
        <v/>
      </c>
      <c r="M153" s="10" t="str">
        <f t="shared" si="23"/>
        <v/>
      </c>
      <c r="N153" s="6" t="str">
        <f t="shared" si="24"/>
        <v/>
      </c>
      <c r="O153" s="9" t="str">
        <f t="shared" si="25"/>
        <v/>
      </c>
      <c r="P153" s="9" t="str">
        <f t="shared" si="26"/>
        <v/>
      </c>
      <c r="Q153" s="9" t="str">
        <f t="shared" si="27"/>
        <v/>
      </c>
      <c r="R153" s="9" t="str">
        <f t="shared" ca="1" si="28"/>
        <v/>
      </c>
      <c r="T153" s="6" t="str">
        <f t="shared" si="29"/>
        <v/>
      </c>
      <c r="U153" s="6" t="str">
        <f t="shared" si="30"/>
        <v/>
      </c>
      <c r="V153" s="10" t="str">
        <f t="shared" si="31"/>
        <v/>
      </c>
      <c r="W153" s="8" t="str">
        <f t="shared" si="32"/>
        <v/>
      </c>
      <c r="X153" s="9">
        <f t="shared" si="39"/>
        <v>0</v>
      </c>
      <c r="Y153" s="9">
        <f t="shared" si="40"/>
        <v>0</v>
      </c>
    </row>
    <row r="154" spans="2:25" x14ac:dyDescent="0.3">
      <c r="B154" s="6">
        <v>117</v>
      </c>
      <c r="C154" s="79" t="str">
        <f t="shared" si="41"/>
        <v/>
      </c>
      <c r="D154" s="6" t="str">
        <f t="shared" si="21"/>
        <v/>
      </c>
      <c r="E154" s="79" t="str">
        <f t="shared" si="33"/>
        <v/>
      </c>
      <c r="F154" s="79" t="str">
        <f>IF(B153&gt;$C$18,"",IF(COUNTIF(Feriados!$A$2:$B$17,EDATE($C$38,B153))=0,EDATE($C$38,B153),EDATE($C$38,B153)+VLOOKUP(EDATE($C$38,B153),Feriados!$A$2:$B$17,2,FALSE)))</f>
        <v/>
      </c>
      <c r="G154" s="6" t="str">
        <f t="shared" si="34"/>
        <v/>
      </c>
      <c r="H154" s="6" t="str">
        <f t="shared" si="35"/>
        <v/>
      </c>
      <c r="I154" s="8" t="str">
        <f t="shared" si="36"/>
        <v/>
      </c>
      <c r="J154" s="8" t="str">
        <f t="shared" si="37"/>
        <v/>
      </c>
      <c r="K154" s="9" t="str">
        <f t="shared" si="22"/>
        <v/>
      </c>
      <c r="L154" s="9" t="str">
        <f t="shared" si="38"/>
        <v/>
      </c>
      <c r="M154" s="10" t="str">
        <f t="shared" si="23"/>
        <v/>
      </c>
      <c r="N154" s="6" t="str">
        <f t="shared" si="24"/>
        <v/>
      </c>
      <c r="O154" s="9" t="str">
        <f t="shared" si="25"/>
        <v/>
      </c>
      <c r="P154" s="9" t="str">
        <f t="shared" si="26"/>
        <v/>
      </c>
      <c r="Q154" s="9" t="str">
        <f t="shared" si="27"/>
        <v/>
      </c>
      <c r="R154" s="9" t="str">
        <f t="shared" ca="1" si="28"/>
        <v/>
      </c>
      <c r="T154" s="6" t="str">
        <f t="shared" si="29"/>
        <v/>
      </c>
      <c r="U154" s="6" t="str">
        <f t="shared" si="30"/>
        <v/>
      </c>
      <c r="V154" s="10" t="str">
        <f t="shared" si="31"/>
        <v/>
      </c>
      <c r="W154" s="8" t="str">
        <f t="shared" si="32"/>
        <v/>
      </c>
      <c r="X154" s="9">
        <f t="shared" si="39"/>
        <v>0</v>
      </c>
      <c r="Y154" s="9">
        <f t="shared" si="40"/>
        <v>0</v>
      </c>
    </row>
    <row r="155" spans="2:25" x14ac:dyDescent="0.3">
      <c r="B155" s="6">
        <v>118</v>
      </c>
      <c r="C155" s="79" t="str">
        <f t="shared" si="41"/>
        <v/>
      </c>
      <c r="D155" s="6" t="str">
        <f t="shared" si="21"/>
        <v/>
      </c>
      <c r="E155" s="79" t="str">
        <f t="shared" si="33"/>
        <v/>
      </c>
      <c r="F155" s="79" t="str">
        <f>IF(B154&gt;$C$18,"",IF(COUNTIF(Feriados!$A$2:$B$17,EDATE($C$38,B154))=0,EDATE($C$38,B154),EDATE($C$38,B154)+VLOOKUP(EDATE($C$38,B154),Feriados!$A$2:$B$17,2,FALSE)))</f>
        <v/>
      </c>
      <c r="G155" s="6" t="str">
        <f t="shared" si="34"/>
        <v/>
      </c>
      <c r="H155" s="6" t="str">
        <f t="shared" si="35"/>
        <v/>
      </c>
      <c r="I155" s="8" t="str">
        <f t="shared" si="36"/>
        <v/>
      </c>
      <c r="J155" s="8" t="str">
        <f t="shared" si="37"/>
        <v/>
      </c>
      <c r="K155" s="9" t="str">
        <f t="shared" si="22"/>
        <v/>
      </c>
      <c r="L155" s="9" t="str">
        <f t="shared" si="38"/>
        <v/>
      </c>
      <c r="M155" s="10" t="str">
        <f t="shared" si="23"/>
        <v/>
      </c>
      <c r="N155" s="6" t="str">
        <f t="shared" si="24"/>
        <v/>
      </c>
      <c r="O155" s="9" t="str">
        <f t="shared" si="25"/>
        <v/>
      </c>
      <c r="P155" s="9" t="str">
        <f t="shared" si="26"/>
        <v/>
      </c>
      <c r="Q155" s="9" t="str">
        <f t="shared" si="27"/>
        <v/>
      </c>
      <c r="R155" s="9" t="str">
        <f t="shared" ca="1" si="28"/>
        <v/>
      </c>
      <c r="T155" s="6" t="str">
        <f t="shared" si="29"/>
        <v/>
      </c>
      <c r="U155" s="6" t="str">
        <f t="shared" si="30"/>
        <v/>
      </c>
      <c r="V155" s="10" t="str">
        <f t="shared" si="31"/>
        <v/>
      </c>
      <c r="W155" s="8" t="str">
        <f t="shared" si="32"/>
        <v/>
      </c>
      <c r="X155" s="9">
        <f t="shared" si="39"/>
        <v>0</v>
      </c>
      <c r="Y155" s="9">
        <f t="shared" si="40"/>
        <v>0</v>
      </c>
    </row>
    <row r="156" spans="2:25" x14ac:dyDescent="0.3">
      <c r="B156" s="6">
        <v>119</v>
      </c>
      <c r="C156" s="79" t="str">
        <f t="shared" si="41"/>
        <v/>
      </c>
      <c r="D156" s="6" t="str">
        <f t="shared" si="21"/>
        <v/>
      </c>
      <c r="E156" s="79" t="str">
        <f t="shared" si="33"/>
        <v/>
      </c>
      <c r="F156" s="79" t="str">
        <f>IF(B155&gt;$C$18,"",IF(COUNTIF(Feriados!$A$2:$B$17,EDATE($C$38,B155))=0,EDATE($C$38,B155),EDATE($C$38,B155)+VLOOKUP(EDATE($C$38,B155),Feriados!$A$2:$B$17,2,FALSE)))</f>
        <v/>
      </c>
      <c r="G156" s="6" t="str">
        <f t="shared" si="34"/>
        <v/>
      </c>
      <c r="H156" s="6" t="str">
        <f t="shared" si="35"/>
        <v/>
      </c>
      <c r="I156" s="8" t="str">
        <f t="shared" si="36"/>
        <v/>
      </c>
      <c r="J156" s="8" t="str">
        <f t="shared" si="37"/>
        <v/>
      </c>
      <c r="K156" s="9" t="str">
        <f t="shared" si="22"/>
        <v/>
      </c>
      <c r="L156" s="9" t="str">
        <f t="shared" si="38"/>
        <v/>
      </c>
      <c r="M156" s="10" t="str">
        <f t="shared" si="23"/>
        <v/>
      </c>
      <c r="N156" s="6" t="str">
        <f t="shared" si="24"/>
        <v/>
      </c>
      <c r="O156" s="9" t="str">
        <f t="shared" si="25"/>
        <v/>
      </c>
      <c r="P156" s="9" t="str">
        <f t="shared" si="26"/>
        <v/>
      </c>
      <c r="Q156" s="9" t="str">
        <f t="shared" si="27"/>
        <v/>
      </c>
      <c r="R156" s="9" t="str">
        <f t="shared" ca="1" si="28"/>
        <v/>
      </c>
      <c r="T156" s="6" t="str">
        <f t="shared" si="29"/>
        <v/>
      </c>
      <c r="U156" s="6" t="str">
        <f t="shared" si="30"/>
        <v/>
      </c>
      <c r="V156" s="10" t="str">
        <f t="shared" si="31"/>
        <v/>
      </c>
      <c r="W156" s="8" t="str">
        <f t="shared" si="32"/>
        <v/>
      </c>
      <c r="X156" s="9">
        <f t="shared" si="39"/>
        <v>0</v>
      </c>
      <c r="Y156" s="9">
        <f t="shared" si="40"/>
        <v>0</v>
      </c>
    </row>
    <row r="157" spans="2:25" x14ac:dyDescent="0.3">
      <c r="B157" s="6">
        <v>120</v>
      </c>
      <c r="C157" s="79" t="str">
        <f t="shared" si="41"/>
        <v/>
      </c>
      <c r="D157" s="6" t="str">
        <f t="shared" si="21"/>
        <v/>
      </c>
      <c r="E157" s="79" t="str">
        <f t="shared" si="33"/>
        <v/>
      </c>
      <c r="F157" s="79" t="str">
        <f>IF(B156&gt;$C$18,"",IF(COUNTIF(Feriados!$A$2:$B$17,EDATE($C$38,B156))=0,EDATE($C$38,B156),EDATE($C$38,B156)+VLOOKUP(EDATE($C$38,B156),Feriados!$A$2:$B$17,2,FALSE)))</f>
        <v/>
      </c>
      <c r="G157" s="6" t="str">
        <f t="shared" si="34"/>
        <v/>
      </c>
      <c r="H157" s="6" t="str">
        <f t="shared" si="35"/>
        <v/>
      </c>
      <c r="I157" s="8" t="str">
        <f t="shared" si="36"/>
        <v/>
      </c>
      <c r="J157" s="8" t="str">
        <f t="shared" si="37"/>
        <v/>
      </c>
      <c r="K157" s="9" t="str">
        <f t="shared" si="22"/>
        <v/>
      </c>
      <c r="L157" s="9" t="str">
        <f t="shared" si="38"/>
        <v/>
      </c>
      <c r="M157" s="10" t="str">
        <f t="shared" si="23"/>
        <v/>
      </c>
      <c r="N157" s="6" t="str">
        <f t="shared" si="24"/>
        <v/>
      </c>
      <c r="O157" s="9" t="str">
        <f t="shared" si="25"/>
        <v/>
      </c>
      <c r="P157" s="9" t="str">
        <f t="shared" si="26"/>
        <v/>
      </c>
      <c r="Q157" s="9" t="str">
        <f t="shared" si="27"/>
        <v/>
      </c>
      <c r="R157" s="9" t="str">
        <f t="shared" ca="1" si="28"/>
        <v/>
      </c>
      <c r="T157" s="6" t="str">
        <f t="shared" si="29"/>
        <v/>
      </c>
      <c r="U157" s="6" t="str">
        <f t="shared" si="30"/>
        <v/>
      </c>
      <c r="V157" s="10" t="str">
        <f t="shared" si="31"/>
        <v/>
      </c>
      <c r="W157" s="8" t="str">
        <f t="shared" si="32"/>
        <v/>
      </c>
      <c r="X157" s="9">
        <f t="shared" si="39"/>
        <v>0</v>
      </c>
      <c r="Y157" s="9">
        <f t="shared" si="40"/>
        <v>0</v>
      </c>
    </row>
    <row r="158" spans="2:25" x14ac:dyDescent="0.3">
      <c r="B158" s="6">
        <v>121</v>
      </c>
      <c r="C158" s="79" t="str">
        <f t="shared" si="41"/>
        <v/>
      </c>
      <c r="D158" s="6" t="str">
        <f t="shared" si="21"/>
        <v/>
      </c>
      <c r="E158" s="79" t="str">
        <f t="shared" si="33"/>
        <v/>
      </c>
      <c r="F158" s="79" t="str">
        <f>IF(B157&gt;$C$18,"",IF(COUNTIF(Feriados!$A$2:$B$17,EDATE($C$38,B157))=0,EDATE($C$38,B157),EDATE($C$38,B157)+VLOOKUP(EDATE($C$38,B157),Feriados!$A$2:$B$17,2,FALSE)))</f>
        <v/>
      </c>
      <c r="G158" s="6" t="str">
        <f t="shared" si="34"/>
        <v/>
      </c>
      <c r="H158" s="6" t="str">
        <f t="shared" si="35"/>
        <v/>
      </c>
      <c r="I158" s="8" t="str">
        <f t="shared" si="36"/>
        <v/>
      </c>
      <c r="J158" s="8" t="str">
        <f t="shared" si="37"/>
        <v/>
      </c>
      <c r="K158" s="9" t="str">
        <f t="shared" si="22"/>
        <v/>
      </c>
      <c r="L158" s="9" t="str">
        <f t="shared" si="38"/>
        <v/>
      </c>
      <c r="M158" s="10" t="str">
        <f t="shared" si="23"/>
        <v/>
      </c>
      <c r="N158" s="6" t="str">
        <f t="shared" si="24"/>
        <v/>
      </c>
      <c r="O158" s="9" t="str">
        <f t="shared" si="25"/>
        <v/>
      </c>
      <c r="P158" s="9" t="str">
        <f t="shared" si="26"/>
        <v/>
      </c>
      <c r="Q158" s="9" t="str">
        <f t="shared" si="27"/>
        <v/>
      </c>
      <c r="R158" s="9" t="str">
        <f t="shared" ca="1" si="28"/>
        <v/>
      </c>
      <c r="T158" s="6" t="str">
        <f t="shared" si="29"/>
        <v/>
      </c>
      <c r="U158" s="6" t="str">
        <f t="shared" si="30"/>
        <v/>
      </c>
      <c r="V158" s="10" t="str">
        <f t="shared" si="31"/>
        <v/>
      </c>
      <c r="W158" s="8" t="str">
        <f t="shared" si="32"/>
        <v/>
      </c>
      <c r="X158" s="9">
        <f t="shared" si="39"/>
        <v>0</v>
      </c>
      <c r="Y158" s="9">
        <f t="shared" si="40"/>
        <v>0</v>
      </c>
    </row>
    <row r="159" spans="2:25" x14ac:dyDescent="0.3">
      <c r="B159" s="6">
        <v>122</v>
      </c>
      <c r="C159" s="79" t="str">
        <f t="shared" si="41"/>
        <v/>
      </c>
      <c r="D159" s="6" t="str">
        <f t="shared" si="21"/>
        <v/>
      </c>
      <c r="E159" s="79" t="str">
        <f t="shared" si="33"/>
        <v/>
      </c>
      <c r="F159" s="79" t="str">
        <f>IF(B158&gt;$C$18,"",IF(COUNTIF(Feriados!$A$2:$B$17,EDATE($C$38,B158))=0,EDATE($C$38,B158),EDATE($C$38,B158)+VLOOKUP(EDATE($C$38,B158),Feriados!$A$2:$B$17,2,FALSE)))</f>
        <v/>
      </c>
      <c r="G159" s="6" t="str">
        <f t="shared" si="34"/>
        <v/>
      </c>
      <c r="H159" s="6" t="str">
        <f t="shared" si="35"/>
        <v/>
      </c>
      <c r="I159" s="8" t="str">
        <f t="shared" si="36"/>
        <v/>
      </c>
      <c r="J159" s="8" t="str">
        <f t="shared" si="37"/>
        <v/>
      </c>
      <c r="K159" s="9" t="str">
        <f t="shared" si="22"/>
        <v/>
      </c>
      <c r="L159" s="9" t="str">
        <f t="shared" si="38"/>
        <v/>
      </c>
      <c r="M159" s="10" t="str">
        <f t="shared" si="23"/>
        <v/>
      </c>
      <c r="N159" s="6" t="str">
        <f t="shared" si="24"/>
        <v/>
      </c>
      <c r="O159" s="9" t="str">
        <f t="shared" si="25"/>
        <v/>
      </c>
      <c r="P159" s="9" t="str">
        <f t="shared" si="26"/>
        <v/>
      </c>
      <c r="Q159" s="9" t="str">
        <f t="shared" si="27"/>
        <v/>
      </c>
      <c r="R159" s="9" t="str">
        <f t="shared" ca="1" si="28"/>
        <v/>
      </c>
      <c r="T159" s="6" t="str">
        <f t="shared" si="29"/>
        <v/>
      </c>
      <c r="U159" s="6" t="str">
        <f t="shared" si="30"/>
        <v/>
      </c>
      <c r="V159" s="10" t="str">
        <f t="shared" si="31"/>
        <v/>
      </c>
      <c r="W159" s="8" t="str">
        <f t="shared" si="32"/>
        <v/>
      </c>
      <c r="X159" s="9">
        <f t="shared" si="39"/>
        <v>0</v>
      </c>
      <c r="Y159" s="9">
        <f t="shared" si="40"/>
        <v>0</v>
      </c>
    </row>
    <row r="160" spans="2:25" x14ac:dyDescent="0.3">
      <c r="B160" s="6">
        <v>123</v>
      </c>
      <c r="C160" s="79" t="str">
        <f t="shared" si="41"/>
        <v/>
      </c>
      <c r="D160" s="6" t="str">
        <f t="shared" si="21"/>
        <v/>
      </c>
      <c r="E160" s="79" t="str">
        <f t="shared" si="33"/>
        <v/>
      </c>
      <c r="F160" s="79" t="str">
        <f>IF(B159&gt;$C$18,"",IF(COUNTIF(Feriados!$A$2:$B$17,EDATE($C$38,B159))=0,EDATE($C$38,B159),EDATE($C$38,B159)+VLOOKUP(EDATE($C$38,B159),Feriados!$A$2:$B$17,2,FALSE)))</f>
        <v/>
      </c>
      <c r="G160" s="6" t="str">
        <f t="shared" si="34"/>
        <v/>
      </c>
      <c r="H160" s="6" t="str">
        <f t="shared" si="35"/>
        <v/>
      </c>
      <c r="I160" s="8" t="str">
        <f t="shared" si="36"/>
        <v/>
      </c>
      <c r="J160" s="8" t="str">
        <f t="shared" si="37"/>
        <v/>
      </c>
      <c r="K160" s="9" t="str">
        <f t="shared" si="22"/>
        <v/>
      </c>
      <c r="L160" s="9" t="str">
        <f t="shared" si="38"/>
        <v/>
      </c>
      <c r="M160" s="10" t="str">
        <f t="shared" si="23"/>
        <v/>
      </c>
      <c r="N160" s="6" t="str">
        <f t="shared" si="24"/>
        <v/>
      </c>
      <c r="O160" s="9" t="str">
        <f t="shared" si="25"/>
        <v/>
      </c>
      <c r="P160" s="9" t="str">
        <f t="shared" si="26"/>
        <v/>
      </c>
      <c r="Q160" s="9" t="str">
        <f t="shared" si="27"/>
        <v/>
      </c>
      <c r="R160" s="9" t="str">
        <f t="shared" ca="1" si="28"/>
        <v/>
      </c>
      <c r="T160" s="6" t="str">
        <f t="shared" si="29"/>
        <v/>
      </c>
      <c r="U160" s="6" t="str">
        <f t="shared" si="30"/>
        <v/>
      </c>
      <c r="V160" s="10" t="str">
        <f t="shared" si="31"/>
        <v/>
      </c>
      <c r="W160" s="8" t="str">
        <f t="shared" si="32"/>
        <v/>
      </c>
      <c r="X160" s="9">
        <f t="shared" si="39"/>
        <v>0</v>
      </c>
      <c r="Y160" s="9">
        <f t="shared" si="40"/>
        <v>0</v>
      </c>
    </row>
    <row r="161" spans="2:25" x14ac:dyDescent="0.3">
      <c r="B161" s="6">
        <v>124</v>
      </c>
      <c r="C161" s="79" t="str">
        <f t="shared" si="41"/>
        <v/>
      </c>
      <c r="D161" s="6" t="str">
        <f t="shared" si="21"/>
        <v/>
      </c>
      <c r="E161" s="79" t="str">
        <f t="shared" si="33"/>
        <v/>
      </c>
      <c r="F161" s="79" t="str">
        <f>IF(B160&gt;$C$18,"",IF(COUNTIF(Feriados!$A$2:$B$17,EDATE($C$38,B160))=0,EDATE($C$38,B160),EDATE($C$38,B160)+VLOOKUP(EDATE($C$38,B160),Feriados!$A$2:$B$17,2,FALSE)))</f>
        <v/>
      </c>
      <c r="G161" s="6" t="str">
        <f t="shared" si="34"/>
        <v/>
      </c>
      <c r="H161" s="6" t="str">
        <f t="shared" si="35"/>
        <v/>
      </c>
      <c r="I161" s="8" t="str">
        <f t="shared" si="36"/>
        <v/>
      </c>
      <c r="J161" s="8" t="str">
        <f t="shared" si="37"/>
        <v/>
      </c>
      <c r="K161" s="9" t="str">
        <f t="shared" si="22"/>
        <v/>
      </c>
      <c r="L161" s="9" t="str">
        <f t="shared" si="38"/>
        <v/>
      </c>
      <c r="M161" s="10" t="str">
        <f t="shared" si="23"/>
        <v/>
      </c>
      <c r="N161" s="6" t="str">
        <f t="shared" si="24"/>
        <v/>
      </c>
      <c r="O161" s="9" t="str">
        <f t="shared" si="25"/>
        <v/>
      </c>
      <c r="P161" s="9" t="str">
        <f t="shared" si="26"/>
        <v/>
      </c>
      <c r="Q161" s="9" t="str">
        <f t="shared" si="27"/>
        <v/>
      </c>
      <c r="R161" s="9" t="str">
        <f t="shared" ca="1" si="28"/>
        <v/>
      </c>
      <c r="T161" s="6" t="str">
        <f t="shared" si="29"/>
        <v/>
      </c>
      <c r="U161" s="6" t="str">
        <f t="shared" si="30"/>
        <v/>
      </c>
      <c r="V161" s="10" t="str">
        <f t="shared" si="31"/>
        <v/>
      </c>
      <c r="W161" s="8" t="str">
        <f t="shared" si="32"/>
        <v/>
      </c>
      <c r="X161" s="9">
        <f t="shared" si="39"/>
        <v>0</v>
      </c>
      <c r="Y161" s="9">
        <f t="shared" si="40"/>
        <v>0</v>
      </c>
    </row>
    <row r="162" spans="2:25" x14ac:dyDescent="0.3">
      <c r="B162" s="6">
        <v>125</v>
      </c>
      <c r="C162" s="79" t="str">
        <f t="shared" si="41"/>
        <v/>
      </c>
      <c r="D162" s="6" t="str">
        <f t="shared" si="21"/>
        <v/>
      </c>
      <c r="E162" s="79" t="str">
        <f t="shared" si="33"/>
        <v/>
      </c>
      <c r="F162" s="79" t="str">
        <f>IF(B161&gt;$C$18,"",IF(COUNTIF(Feriados!$A$2:$B$17,EDATE($C$38,B161))=0,EDATE($C$38,B161),EDATE($C$38,B161)+VLOOKUP(EDATE($C$38,B161),Feriados!$A$2:$B$17,2,FALSE)))</f>
        <v/>
      </c>
      <c r="G162" s="6" t="str">
        <f t="shared" si="34"/>
        <v/>
      </c>
      <c r="H162" s="6" t="str">
        <f t="shared" si="35"/>
        <v/>
      </c>
      <c r="I162" s="8" t="str">
        <f t="shared" si="36"/>
        <v/>
      </c>
      <c r="J162" s="8" t="str">
        <f t="shared" si="37"/>
        <v/>
      </c>
      <c r="K162" s="9" t="str">
        <f t="shared" si="22"/>
        <v/>
      </c>
      <c r="L162" s="9" t="str">
        <f t="shared" si="38"/>
        <v/>
      </c>
      <c r="M162" s="10" t="str">
        <f t="shared" si="23"/>
        <v/>
      </c>
      <c r="N162" s="6" t="str">
        <f t="shared" si="24"/>
        <v/>
      </c>
      <c r="O162" s="9" t="str">
        <f t="shared" si="25"/>
        <v/>
      </c>
      <c r="P162" s="9" t="str">
        <f t="shared" si="26"/>
        <v/>
      </c>
      <c r="Q162" s="9" t="str">
        <f t="shared" si="27"/>
        <v/>
      </c>
      <c r="R162" s="9" t="str">
        <f t="shared" ca="1" si="28"/>
        <v/>
      </c>
      <c r="T162" s="6" t="str">
        <f t="shared" si="29"/>
        <v/>
      </c>
      <c r="U162" s="6" t="str">
        <f t="shared" si="30"/>
        <v/>
      </c>
      <c r="V162" s="10" t="str">
        <f t="shared" si="31"/>
        <v/>
      </c>
      <c r="W162" s="8" t="str">
        <f t="shared" si="32"/>
        <v/>
      </c>
      <c r="X162" s="9">
        <f t="shared" si="39"/>
        <v>0</v>
      </c>
      <c r="Y162" s="9">
        <f t="shared" si="40"/>
        <v>0</v>
      </c>
    </row>
    <row r="163" spans="2:25" x14ac:dyDescent="0.3">
      <c r="B163" s="6">
        <v>126</v>
      </c>
      <c r="C163" s="79" t="str">
        <f t="shared" si="41"/>
        <v/>
      </c>
      <c r="D163" s="6" t="str">
        <f t="shared" si="21"/>
        <v/>
      </c>
      <c r="E163" s="79" t="str">
        <f t="shared" si="33"/>
        <v/>
      </c>
      <c r="F163" s="79" t="str">
        <f>IF(B162&gt;$C$18,"",IF(COUNTIF(Feriados!$A$2:$B$17,EDATE($C$38,B162))=0,EDATE($C$38,B162),EDATE($C$38,B162)+VLOOKUP(EDATE($C$38,B162),Feriados!$A$2:$B$17,2,FALSE)))</f>
        <v/>
      </c>
      <c r="G163" s="6" t="str">
        <f t="shared" si="34"/>
        <v/>
      </c>
      <c r="H163" s="6" t="str">
        <f t="shared" si="35"/>
        <v/>
      </c>
      <c r="I163" s="8" t="str">
        <f t="shared" si="36"/>
        <v/>
      </c>
      <c r="J163" s="8" t="str">
        <f t="shared" si="37"/>
        <v/>
      </c>
      <c r="K163" s="9" t="str">
        <f t="shared" si="22"/>
        <v/>
      </c>
      <c r="L163" s="9" t="str">
        <f t="shared" si="38"/>
        <v/>
      </c>
      <c r="M163" s="10" t="str">
        <f t="shared" si="23"/>
        <v/>
      </c>
      <c r="N163" s="6" t="str">
        <f t="shared" si="24"/>
        <v/>
      </c>
      <c r="O163" s="9" t="str">
        <f t="shared" si="25"/>
        <v/>
      </c>
      <c r="P163" s="9" t="str">
        <f t="shared" si="26"/>
        <v/>
      </c>
      <c r="Q163" s="9" t="str">
        <f t="shared" si="27"/>
        <v/>
      </c>
      <c r="R163" s="9" t="str">
        <f t="shared" ca="1" si="28"/>
        <v/>
      </c>
      <c r="T163" s="6" t="str">
        <f t="shared" si="29"/>
        <v/>
      </c>
      <c r="U163" s="6" t="str">
        <f t="shared" si="30"/>
        <v/>
      </c>
      <c r="V163" s="10" t="str">
        <f t="shared" si="31"/>
        <v/>
      </c>
      <c r="W163" s="8" t="str">
        <f t="shared" si="32"/>
        <v/>
      </c>
      <c r="X163" s="9">
        <f t="shared" si="39"/>
        <v>0</v>
      </c>
      <c r="Y163" s="9">
        <f t="shared" si="40"/>
        <v>0</v>
      </c>
    </row>
    <row r="164" spans="2:25" x14ac:dyDescent="0.3">
      <c r="B164" s="6">
        <v>127</v>
      </c>
      <c r="C164" s="79" t="str">
        <f t="shared" si="41"/>
        <v/>
      </c>
      <c r="D164" s="6" t="str">
        <f t="shared" si="21"/>
        <v/>
      </c>
      <c r="E164" s="79" t="str">
        <f t="shared" si="33"/>
        <v/>
      </c>
      <c r="F164" s="79" t="str">
        <f>IF(B163&gt;$C$18,"",IF(COUNTIF(Feriados!$A$2:$B$17,EDATE($C$38,B163))=0,EDATE($C$38,B163),EDATE($C$38,B163)+VLOOKUP(EDATE($C$38,B163),Feriados!$A$2:$B$17,2,FALSE)))</f>
        <v/>
      </c>
      <c r="G164" s="6" t="str">
        <f t="shared" si="34"/>
        <v/>
      </c>
      <c r="H164" s="6" t="str">
        <f t="shared" si="35"/>
        <v/>
      </c>
      <c r="I164" s="8" t="str">
        <f t="shared" si="36"/>
        <v/>
      </c>
      <c r="J164" s="8" t="str">
        <f t="shared" si="37"/>
        <v/>
      </c>
      <c r="K164" s="9" t="str">
        <f t="shared" si="22"/>
        <v/>
      </c>
      <c r="L164" s="9" t="str">
        <f t="shared" si="38"/>
        <v/>
      </c>
      <c r="M164" s="10" t="str">
        <f t="shared" si="23"/>
        <v/>
      </c>
      <c r="N164" s="6" t="str">
        <f t="shared" si="24"/>
        <v/>
      </c>
      <c r="O164" s="9" t="str">
        <f t="shared" si="25"/>
        <v/>
      </c>
      <c r="P164" s="9" t="str">
        <f t="shared" si="26"/>
        <v/>
      </c>
      <c r="Q164" s="9" t="str">
        <f t="shared" si="27"/>
        <v/>
      </c>
      <c r="R164" s="9" t="str">
        <f t="shared" ca="1" si="28"/>
        <v/>
      </c>
      <c r="T164" s="6" t="str">
        <f t="shared" si="29"/>
        <v/>
      </c>
      <c r="U164" s="6" t="str">
        <f t="shared" si="30"/>
        <v/>
      </c>
      <c r="V164" s="10" t="str">
        <f t="shared" si="31"/>
        <v/>
      </c>
      <c r="W164" s="8" t="str">
        <f t="shared" si="32"/>
        <v/>
      </c>
      <c r="X164" s="9">
        <f t="shared" si="39"/>
        <v>0</v>
      </c>
      <c r="Y164" s="9">
        <f t="shared" si="40"/>
        <v>0</v>
      </c>
    </row>
    <row r="165" spans="2:25" x14ac:dyDescent="0.3">
      <c r="B165" s="6">
        <v>128</v>
      </c>
      <c r="C165" s="79" t="str">
        <f t="shared" si="41"/>
        <v/>
      </c>
      <c r="D165" s="6" t="str">
        <f t="shared" si="21"/>
        <v/>
      </c>
      <c r="E165" s="79" t="str">
        <f t="shared" si="33"/>
        <v/>
      </c>
      <c r="F165" s="79" t="str">
        <f>IF(B164&gt;$C$18,"",IF(COUNTIF(Feriados!$A$2:$B$17,EDATE($C$38,B164))=0,EDATE($C$38,B164),EDATE($C$38,B164)+VLOOKUP(EDATE($C$38,B164),Feriados!$A$2:$B$17,2,FALSE)))</f>
        <v/>
      </c>
      <c r="G165" s="6" t="str">
        <f t="shared" si="34"/>
        <v/>
      </c>
      <c r="H165" s="6" t="str">
        <f t="shared" si="35"/>
        <v/>
      </c>
      <c r="I165" s="8" t="str">
        <f t="shared" si="36"/>
        <v/>
      </c>
      <c r="J165" s="8" t="str">
        <f t="shared" si="37"/>
        <v/>
      </c>
      <c r="K165" s="9" t="str">
        <f t="shared" si="22"/>
        <v/>
      </c>
      <c r="L165" s="9" t="str">
        <f t="shared" si="38"/>
        <v/>
      </c>
      <c r="M165" s="10" t="str">
        <f t="shared" si="23"/>
        <v/>
      </c>
      <c r="N165" s="6" t="str">
        <f t="shared" si="24"/>
        <v/>
      </c>
      <c r="O165" s="9" t="str">
        <f t="shared" si="25"/>
        <v/>
      </c>
      <c r="P165" s="9" t="str">
        <f t="shared" si="26"/>
        <v/>
      </c>
      <c r="Q165" s="9" t="str">
        <f t="shared" si="27"/>
        <v/>
      </c>
      <c r="R165" s="9" t="str">
        <f t="shared" ca="1" si="28"/>
        <v/>
      </c>
      <c r="T165" s="6" t="str">
        <f t="shared" si="29"/>
        <v/>
      </c>
      <c r="U165" s="6" t="str">
        <f t="shared" si="30"/>
        <v/>
      </c>
      <c r="V165" s="10" t="str">
        <f t="shared" si="31"/>
        <v/>
      </c>
      <c r="W165" s="8" t="str">
        <f t="shared" si="32"/>
        <v/>
      </c>
      <c r="X165" s="9">
        <f t="shared" si="39"/>
        <v>0</v>
      </c>
      <c r="Y165" s="9">
        <f t="shared" si="40"/>
        <v>0</v>
      </c>
    </row>
    <row r="166" spans="2:25" x14ac:dyDescent="0.3">
      <c r="B166" s="6">
        <v>129</v>
      </c>
      <c r="C166" s="79" t="str">
        <f t="shared" si="41"/>
        <v/>
      </c>
      <c r="D166" s="6" t="str">
        <f t="shared" ref="D166:D229" si="42">IF(B166&lt;=$C$18,WEEKDAY(C166,2),"")</f>
        <v/>
      </c>
      <c r="E166" s="79" t="str">
        <f t="shared" si="33"/>
        <v/>
      </c>
      <c r="F166" s="79" t="str">
        <f>IF(B165&gt;$C$18,"",IF(COUNTIF(Feriados!$A$2:$B$17,EDATE($C$38,B165))=0,EDATE($C$38,B165),EDATE($C$38,B165)+VLOOKUP(EDATE($C$38,B165),Feriados!$A$2:$B$17,2,FALSE)))</f>
        <v/>
      </c>
      <c r="G166" s="6" t="str">
        <f t="shared" si="34"/>
        <v/>
      </c>
      <c r="H166" s="6" t="str">
        <f t="shared" si="35"/>
        <v/>
      </c>
      <c r="I166" s="8" t="str">
        <f t="shared" si="36"/>
        <v/>
      </c>
      <c r="J166" s="8" t="str">
        <f t="shared" si="37"/>
        <v/>
      </c>
      <c r="K166" s="9" t="str">
        <f t="shared" ref="K166:K229" si="43">IF(B166&gt;C$18,"",((1+C$25)^(G166/360)-1)*I166)</f>
        <v/>
      </c>
      <c r="L166" s="9" t="str">
        <f t="shared" si="38"/>
        <v/>
      </c>
      <c r="M166" s="10" t="str">
        <f t="shared" ref="M166:M229" si="44">IF(B166&gt;C$18,"",C$27*C$28)</f>
        <v/>
      </c>
      <c r="N166" s="6" t="str">
        <f t="shared" ref="N166:N229" si="45">IF(B166&gt;C$18,"",C$29)</f>
        <v/>
      </c>
      <c r="O166" s="9" t="str">
        <f t="shared" ref="O166:O229" si="46">IF(B166&gt;C$18,"",IF(B166=C$18,I166+K166+L166+M166+N166,IF(AND(C$23=2,MONTH(E166)=7),2*C$30,IF(AND(C$24=2,MONTH(E166)=12),2*C$30,C$30))))</f>
        <v/>
      </c>
      <c r="P166" s="9" t="str">
        <f t="shared" ref="P166:P229" si="47">IF(B166&gt;C$18,"",I166-J166)</f>
        <v/>
      </c>
      <c r="Q166" s="9" t="str">
        <f t="shared" ref="Q166:Q229" si="48">IFERROR(IF(AND(MONTH(E166)=7,C$23=2),2/(1+C$26)^(H166/360),IF(AND(MONTH(E166)=12,C$24=2),2/(1+C$26)^(H166/360),1/(1+C$26)^(H166/360))),"")</f>
        <v/>
      </c>
      <c r="R166" s="9" t="str">
        <f t="shared" ref="R166:R229" ca="1" si="49">IFERROR(1/(1+C$26)^(H166/360),"")</f>
        <v/>
      </c>
      <c r="T166" s="6" t="str">
        <f t="shared" ref="T166:T229" si="50">IFERROR(J166+K166+L166+M166+N166,"")</f>
        <v/>
      </c>
      <c r="U166" s="6" t="str">
        <f t="shared" ref="U166:U229" si="51">H166</f>
        <v/>
      </c>
      <c r="V166" s="10" t="str">
        <f t="shared" ref="V166:V229" si="52">IFERROR((1+C$32)^(U166/360),"")</f>
        <v/>
      </c>
      <c r="W166" s="8" t="str">
        <f t="shared" ref="W166:W229" si="53">IFERROR(ROUND(T166/V166,2),"")</f>
        <v/>
      </c>
      <c r="X166" s="9">
        <f t="shared" si="39"/>
        <v>0</v>
      </c>
      <c r="Y166" s="9">
        <f t="shared" si="40"/>
        <v>0</v>
      </c>
    </row>
    <row r="167" spans="2:25" x14ac:dyDescent="0.3">
      <c r="B167" s="6">
        <v>130</v>
      </c>
      <c r="C167" s="79" t="str">
        <f t="shared" si="41"/>
        <v/>
      </c>
      <c r="D167" s="6" t="str">
        <f t="shared" si="42"/>
        <v/>
      </c>
      <c r="E167" s="79" t="str">
        <f t="shared" ref="E167:E230" si="54">IF(D167=7,C167+1,C167)</f>
        <v/>
      </c>
      <c r="F167" s="79" t="str">
        <f>IF(B166&gt;$C$18,"",IF(COUNTIF(Feriados!$A$2:$B$17,EDATE($C$38,B166))=0,EDATE($C$38,B166),EDATE($C$38,B166)+VLOOKUP(EDATE($C$38,B166),Feriados!$A$2:$B$17,2,FALSE)))</f>
        <v/>
      </c>
      <c r="G167" s="6" t="str">
        <f t="shared" ref="G167:G230" si="55">IF(B167&gt;C$18,"",E167-E166)</f>
        <v/>
      </c>
      <c r="H167" s="6" t="str">
        <f t="shared" ref="H167:H230" si="56">IFERROR(G167+H166,"")</f>
        <v/>
      </c>
      <c r="I167" s="8" t="str">
        <f t="shared" ref="I167:I230" si="57">IF(B167&gt;C$18,"",P166)</f>
        <v/>
      </c>
      <c r="J167" s="8" t="str">
        <f t="shared" ref="J167:J230" si="58">IF(B167&gt;C$18,"",O167-N167-M167-L167-K167)</f>
        <v/>
      </c>
      <c r="K167" s="9" t="str">
        <f t="shared" si="43"/>
        <v/>
      </c>
      <c r="L167" s="9" t="str">
        <f t="shared" ref="L167:L230" si="59">IF(B167&gt;C$18,"",((1+C$13)^(G167/30)-1)*I167)</f>
        <v/>
      </c>
      <c r="M167" s="10" t="str">
        <f t="shared" si="44"/>
        <v/>
      </c>
      <c r="N167" s="6" t="str">
        <f t="shared" si="45"/>
        <v/>
      </c>
      <c r="O167" s="9" t="str">
        <f t="shared" si="46"/>
        <v/>
      </c>
      <c r="P167" s="9" t="str">
        <f t="shared" si="47"/>
        <v/>
      </c>
      <c r="Q167" s="9" t="str">
        <f t="shared" si="48"/>
        <v/>
      </c>
      <c r="R167" s="9" t="str">
        <f t="shared" ca="1" si="49"/>
        <v/>
      </c>
      <c r="T167" s="6" t="str">
        <f t="shared" si="50"/>
        <v/>
      </c>
      <c r="U167" s="6" t="str">
        <f t="shared" si="51"/>
        <v/>
      </c>
      <c r="V167" s="10" t="str">
        <f t="shared" si="52"/>
        <v/>
      </c>
      <c r="W167" s="8" t="str">
        <f t="shared" si="53"/>
        <v/>
      </c>
      <c r="X167" s="9">
        <f t="shared" ref="X167:X230" si="60">IF(O167="",0,L167/((1+$I$9)^B167))</f>
        <v>0</v>
      </c>
      <c r="Y167" s="9">
        <f t="shared" ref="Y167:Y230" si="61">IF(O167="",0,L167/((1+$Q$30)^B167))</f>
        <v>0</v>
      </c>
    </row>
    <row r="168" spans="2:25" x14ac:dyDescent="0.3">
      <c r="B168" s="6">
        <v>131</v>
      </c>
      <c r="C168" s="79" t="str">
        <f t="shared" ref="C168:C231" si="62">IF(B168&gt;$C$18,"",IF(WEEKDAY(F168,2)=7,F168+1,F168))</f>
        <v/>
      </c>
      <c r="D168" s="6" t="str">
        <f t="shared" si="42"/>
        <v/>
      </c>
      <c r="E168" s="79" t="str">
        <f t="shared" si="54"/>
        <v/>
      </c>
      <c r="F168" s="79" t="str">
        <f>IF(B167&gt;$C$18,"",IF(COUNTIF(Feriados!$A$2:$B$17,EDATE($C$38,B167))=0,EDATE($C$38,B167),EDATE($C$38,B167)+VLOOKUP(EDATE($C$38,B167),Feriados!$A$2:$B$17,2,FALSE)))</f>
        <v/>
      </c>
      <c r="G168" s="6" t="str">
        <f t="shared" si="55"/>
        <v/>
      </c>
      <c r="H168" s="6" t="str">
        <f t="shared" si="56"/>
        <v/>
      </c>
      <c r="I168" s="8" t="str">
        <f t="shared" si="57"/>
        <v/>
      </c>
      <c r="J168" s="8" t="str">
        <f t="shared" si="58"/>
        <v/>
      </c>
      <c r="K168" s="9" t="str">
        <f t="shared" si="43"/>
        <v/>
      </c>
      <c r="L168" s="9" t="str">
        <f t="shared" si="59"/>
        <v/>
      </c>
      <c r="M168" s="10" t="str">
        <f t="shared" si="44"/>
        <v/>
      </c>
      <c r="N168" s="6" t="str">
        <f t="shared" si="45"/>
        <v/>
      </c>
      <c r="O168" s="9" t="str">
        <f t="shared" si="46"/>
        <v/>
      </c>
      <c r="P168" s="9" t="str">
        <f t="shared" si="47"/>
        <v/>
      </c>
      <c r="Q168" s="9" t="str">
        <f t="shared" si="48"/>
        <v/>
      </c>
      <c r="R168" s="9" t="str">
        <f t="shared" ca="1" si="49"/>
        <v/>
      </c>
      <c r="T168" s="6" t="str">
        <f t="shared" si="50"/>
        <v/>
      </c>
      <c r="U168" s="6" t="str">
        <f t="shared" si="51"/>
        <v/>
      </c>
      <c r="V168" s="10" t="str">
        <f t="shared" si="52"/>
        <v/>
      </c>
      <c r="W168" s="8" t="str">
        <f t="shared" si="53"/>
        <v/>
      </c>
      <c r="X168" s="9">
        <f t="shared" si="60"/>
        <v>0</v>
      </c>
      <c r="Y168" s="9">
        <f t="shared" si="61"/>
        <v>0</v>
      </c>
    </row>
    <row r="169" spans="2:25" x14ac:dyDescent="0.3">
      <c r="B169" s="6">
        <v>132</v>
      </c>
      <c r="C169" s="79" t="str">
        <f t="shared" si="62"/>
        <v/>
      </c>
      <c r="D169" s="6" t="str">
        <f t="shared" si="42"/>
        <v/>
      </c>
      <c r="E169" s="79" t="str">
        <f t="shared" si="54"/>
        <v/>
      </c>
      <c r="F169" s="79" t="str">
        <f>IF(B168&gt;$C$18,"",IF(COUNTIF(Feriados!$A$2:$B$17,EDATE($C$38,B168))=0,EDATE($C$38,B168),EDATE($C$38,B168)+VLOOKUP(EDATE($C$38,B168),Feriados!$A$2:$B$17,2,FALSE)))</f>
        <v/>
      </c>
      <c r="G169" s="6" t="str">
        <f t="shared" si="55"/>
        <v/>
      </c>
      <c r="H169" s="6" t="str">
        <f t="shared" si="56"/>
        <v/>
      </c>
      <c r="I169" s="8" t="str">
        <f t="shared" si="57"/>
        <v/>
      </c>
      <c r="J169" s="8" t="str">
        <f t="shared" si="58"/>
        <v/>
      </c>
      <c r="K169" s="9" t="str">
        <f t="shared" si="43"/>
        <v/>
      </c>
      <c r="L169" s="9" t="str">
        <f t="shared" si="59"/>
        <v/>
      </c>
      <c r="M169" s="10" t="str">
        <f t="shared" si="44"/>
        <v/>
      </c>
      <c r="N169" s="6" t="str">
        <f t="shared" si="45"/>
        <v/>
      </c>
      <c r="O169" s="9" t="str">
        <f t="shared" si="46"/>
        <v/>
      </c>
      <c r="P169" s="9" t="str">
        <f t="shared" si="47"/>
        <v/>
      </c>
      <c r="Q169" s="9" t="str">
        <f t="shared" si="48"/>
        <v/>
      </c>
      <c r="R169" s="9" t="str">
        <f t="shared" ca="1" si="49"/>
        <v/>
      </c>
      <c r="T169" s="6" t="str">
        <f t="shared" si="50"/>
        <v/>
      </c>
      <c r="U169" s="6" t="str">
        <f t="shared" si="51"/>
        <v/>
      </c>
      <c r="V169" s="10" t="str">
        <f t="shared" si="52"/>
        <v/>
      </c>
      <c r="W169" s="8" t="str">
        <f t="shared" si="53"/>
        <v/>
      </c>
      <c r="X169" s="9">
        <f t="shared" si="60"/>
        <v>0</v>
      </c>
      <c r="Y169" s="9">
        <f t="shared" si="61"/>
        <v>0</v>
      </c>
    </row>
    <row r="170" spans="2:25" x14ac:dyDescent="0.3">
      <c r="B170" s="6">
        <v>133</v>
      </c>
      <c r="C170" s="79" t="str">
        <f t="shared" si="62"/>
        <v/>
      </c>
      <c r="D170" s="6" t="str">
        <f t="shared" si="42"/>
        <v/>
      </c>
      <c r="E170" s="79" t="str">
        <f t="shared" si="54"/>
        <v/>
      </c>
      <c r="F170" s="79" t="str">
        <f>IF(B169&gt;$C$18,"",IF(COUNTIF(Feriados!$A$2:$B$17,EDATE($C$38,B169))=0,EDATE($C$38,B169),EDATE($C$38,B169)+VLOOKUP(EDATE($C$38,B169),Feriados!$A$2:$B$17,2,FALSE)))</f>
        <v/>
      </c>
      <c r="G170" s="6" t="str">
        <f t="shared" si="55"/>
        <v/>
      </c>
      <c r="H170" s="6" t="str">
        <f t="shared" si="56"/>
        <v/>
      </c>
      <c r="I170" s="8" t="str">
        <f t="shared" si="57"/>
        <v/>
      </c>
      <c r="J170" s="8" t="str">
        <f t="shared" si="58"/>
        <v/>
      </c>
      <c r="K170" s="9" t="str">
        <f t="shared" si="43"/>
        <v/>
      </c>
      <c r="L170" s="9" t="str">
        <f t="shared" si="59"/>
        <v/>
      </c>
      <c r="M170" s="10" t="str">
        <f t="shared" si="44"/>
        <v/>
      </c>
      <c r="N170" s="6" t="str">
        <f t="shared" si="45"/>
        <v/>
      </c>
      <c r="O170" s="9" t="str">
        <f t="shared" si="46"/>
        <v/>
      </c>
      <c r="P170" s="9" t="str">
        <f t="shared" si="47"/>
        <v/>
      </c>
      <c r="Q170" s="9" t="str">
        <f t="shared" si="48"/>
        <v/>
      </c>
      <c r="R170" s="9" t="str">
        <f t="shared" ca="1" si="49"/>
        <v/>
      </c>
      <c r="T170" s="6" t="str">
        <f t="shared" si="50"/>
        <v/>
      </c>
      <c r="U170" s="6" t="str">
        <f t="shared" si="51"/>
        <v/>
      </c>
      <c r="V170" s="10" t="str">
        <f t="shared" si="52"/>
        <v/>
      </c>
      <c r="W170" s="8" t="str">
        <f t="shared" si="53"/>
        <v/>
      </c>
      <c r="X170" s="9">
        <f t="shared" si="60"/>
        <v>0</v>
      </c>
      <c r="Y170" s="9">
        <f t="shared" si="61"/>
        <v>0</v>
      </c>
    </row>
    <row r="171" spans="2:25" x14ac:dyDescent="0.3">
      <c r="B171" s="6">
        <v>134</v>
      </c>
      <c r="C171" s="79" t="str">
        <f t="shared" si="62"/>
        <v/>
      </c>
      <c r="D171" s="6" t="str">
        <f t="shared" si="42"/>
        <v/>
      </c>
      <c r="E171" s="79" t="str">
        <f t="shared" si="54"/>
        <v/>
      </c>
      <c r="F171" s="79" t="str">
        <f>IF(B170&gt;$C$18,"",IF(COUNTIF(Feriados!$A$2:$B$17,EDATE($C$38,B170))=0,EDATE($C$38,B170),EDATE($C$38,B170)+VLOOKUP(EDATE($C$38,B170),Feriados!$A$2:$B$17,2,FALSE)))</f>
        <v/>
      </c>
      <c r="G171" s="6" t="str">
        <f t="shared" si="55"/>
        <v/>
      </c>
      <c r="H171" s="6" t="str">
        <f t="shared" si="56"/>
        <v/>
      </c>
      <c r="I171" s="8" t="str">
        <f t="shared" si="57"/>
        <v/>
      </c>
      <c r="J171" s="8" t="str">
        <f t="shared" si="58"/>
        <v/>
      </c>
      <c r="K171" s="9" t="str">
        <f t="shared" si="43"/>
        <v/>
      </c>
      <c r="L171" s="9" t="str">
        <f t="shared" si="59"/>
        <v/>
      </c>
      <c r="M171" s="10" t="str">
        <f t="shared" si="44"/>
        <v/>
      </c>
      <c r="N171" s="6" t="str">
        <f t="shared" si="45"/>
        <v/>
      </c>
      <c r="O171" s="9" t="str">
        <f t="shared" si="46"/>
        <v/>
      </c>
      <c r="P171" s="9" t="str">
        <f t="shared" si="47"/>
        <v/>
      </c>
      <c r="Q171" s="9" t="str">
        <f t="shared" si="48"/>
        <v/>
      </c>
      <c r="R171" s="9" t="str">
        <f t="shared" ca="1" si="49"/>
        <v/>
      </c>
      <c r="T171" s="6" t="str">
        <f t="shared" si="50"/>
        <v/>
      </c>
      <c r="U171" s="6" t="str">
        <f t="shared" si="51"/>
        <v/>
      </c>
      <c r="V171" s="10" t="str">
        <f t="shared" si="52"/>
        <v/>
      </c>
      <c r="W171" s="8" t="str">
        <f t="shared" si="53"/>
        <v/>
      </c>
      <c r="X171" s="9">
        <f t="shared" si="60"/>
        <v>0</v>
      </c>
      <c r="Y171" s="9">
        <f t="shared" si="61"/>
        <v>0</v>
      </c>
    </row>
    <row r="172" spans="2:25" x14ac:dyDescent="0.3">
      <c r="B172" s="6">
        <v>135</v>
      </c>
      <c r="C172" s="79" t="str">
        <f t="shared" si="62"/>
        <v/>
      </c>
      <c r="D172" s="6" t="str">
        <f t="shared" si="42"/>
        <v/>
      </c>
      <c r="E172" s="79" t="str">
        <f t="shared" si="54"/>
        <v/>
      </c>
      <c r="F172" s="79" t="str">
        <f>IF(B171&gt;$C$18,"",IF(COUNTIF(Feriados!$A$2:$B$17,EDATE($C$38,B171))=0,EDATE($C$38,B171),EDATE($C$38,B171)+VLOOKUP(EDATE($C$38,B171),Feriados!$A$2:$B$17,2,FALSE)))</f>
        <v/>
      </c>
      <c r="G172" s="6" t="str">
        <f t="shared" si="55"/>
        <v/>
      </c>
      <c r="H172" s="6" t="str">
        <f t="shared" si="56"/>
        <v/>
      </c>
      <c r="I172" s="8" t="str">
        <f t="shared" si="57"/>
        <v/>
      </c>
      <c r="J172" s="8" t="str">
        <f t="shared" si="58"/>
        <v/>
      </c>
      <c r="K172" s="9" t="str">
        <f t="shared" si="43"/>
        <v/>
      </c>
      <c r="L172" s="9" t="str">
        <f t="shared" si="59"/>
        <v/>
      </c>
      <c r="M172" s="10" t="str">
        <f t="shared" si="44"/>
        <v/>
      </c>
      <c r="N172" s="6" t="str">
        <f t="shared" si="45"/>
        <v/>
      </c>
      <c r="O172" s="9" t="str">
        <f t="shared" si="46"/>
        <v/>
      </c>
      <c r="P172" s="9" t="str">
        <f t="shared" si="47"/>
        <v/>
      </c>
      <c r="Q172" s="9" t="str">
        <f t="shared" si="48"/>
        <v/>
      </c>
      <c r="R172" s="9" t="str">
        <f t="shared" ca="1" si="49"/>
        <v/>
      </c>
      <c r="T172" s="6" t="str">
        <f t="shared" si="50"/>
        <v/>
      </c>
      <c r="U172" s="6" t="str">
        <f t="shared" si="51"/>
        <v/>
      </c>
      <c r="V172" s="10" t="str">
        <f t="shared" si="52"/>
        <v/>
      </c>
      <c r="W172" s="8" t="str">
        <f t="shared" si="53"/>
        <v/>
      </c>
      <c r="X172" s="9">
        <f t="shared" si="60"/>
        <v>0</v>
      </c>
      <c r="Y172" s="9">
        <f t="shared" si="61"/>
        <v>0</v>
      </c>
    </row>
    <row r="173" spans="2:25" x14ac:dyDescent="0.3">
      <c r="B173" s="6">
        <v>136</v>
      </c>
      <c r="C173" s="79" t="str">
        <f t="shared" si="62"/>
        <v/>
      </c>
      <c r="D173" s="6" t="str">
        <f t="shared" si="42"/>
        <v/>
      </c>
      <c r="E173" s="79" t="str">
        <f t="shared" si="54"/>
        <v/>
      </c>
      <c r="F173" s="79" t="str">
        <f>IF(B172&gt;$C$18,"",IF(COUNTIF(Feriados!$A$2:$B$17,EDATE($C$38,B172))=0,EDATE($C$38,B172),EDATE($C$38,B172)+VLOOKUP(EDATE($C$38,B172),Feriados!$A$2:$B$17,2,FALSE)))</f>
        <v/>
      </c>
      <c r="G173" s="6" t="str">
        <f t="shared" si="55"/>
        <v/>
      </c>
      <c r="H173" s="6" t="str">
        <f t="shared" si="56"/>
        <v/>
      </c>
      <c r="I173" s="8" t="str">
        <f t="shared" si="57"/>
        <v/>
      </c>
      <c r="J173" s="8" t="str">
        <f t="shared" si="58"/>
        <v/>
      </c>
      <c r="K173" s="9" t="str">
        <f t="shared" si="43"/>
        <v/>
      </c>
      <c r="L173" s="9" t="str">
        <f t="shared" si="59"/>
        <v/>
      </c>
      <c r="M173" s="10" t="str">
        <f t="shared" si="44"/>
        <v/>
      </c>
      <c r="N173" s="6" t="str">
        <f t="shared" si="45"/>
        <v/>
      </c>
      <c r="O173" s="9" t="str">
        <f t="shared" si="46"/>
        <v/>
      </c>
      <c r="P173" s="9" t="str">
        <f t="shared" si="47"/>
        <v/>
      </c>
      <c r="Q173" s="9" t="str">
        <f t="shared" si="48"/>
        <v/>
      </c>
      <c r="R173" s="9" t="str">
        <f t="shared" ca="1" si="49"/>
        <v/>
      </c>
      <c r="T173" s="6" t="str">
        <f t="shared" si="50"/>
        <v/>
      </c>
      <c r="U173" s="6" t="str">
        <f t="shared" si="51"/>
        <v/>
      </c>
      <c r="V173" s="10" t="str">
        <f t="shared" si="52"/>
        <v/>
      </c>
      <c r="W173" s="8" t="str">
        <f t="shared" si="53"/>
        <v/>
      </c>
      <c r="X173" s="9">
        <f t="shared" si="60"/>
        <v>0</v>
      </c>
      <c r="Y173" s="9">
        <f t="shared" si="61"/>
        <v>0</v>
      </c>
    </row>
    <row r="174" spans="2:25" x14ac:dyDescent="0.3">
      <c r="B174" s="6">
        <v>137</v>
      </c>
      <c r="C174" s="79" t="str">
        <f t="shared" si="62"/>
        <v/>
      </c>
      <c r="D174" s="6" t="str">
        <f t="shared" si="42"/>
        <v/>
      </c>
      <c r="E174" s="79" t="str">
        <f t="shared" si="54"/>
        <v/>
      </c>
      <c r="F174" s="79" t="str">
        <f>IF(B173&gt;$C$18,"",IF(COUNTIF(Feriados!$A$2:$B$17,EDATE($C$38,B173))=0,EDATE($C$38,B173),EDATE($C$38,B173)+VLOOKUP(EDATE($C$38,B173),Feriados!$A$2:$B$17,2,FALSE)))</f>
        <v/>
      </c>
      <c r="G174" s="6" t="str">
        <f t="shared" si="55"/>
        <v/>
      </c>
      <c r="H174" s="6" t="str">
        <f t="shared" si="56"/>
        <v/>
      </c>
      <c r="I174" s="8" t="str">
        <f t="shared" si="57"/>
        <v/>
      </c>
      <c r="J174" s="8" t="str">
        <f t="shared" si="58"/>
        <v/>
      </c>
      <c r="K174" s="9" t="str">
        <f t="shared" si="43"/>
        <v/>
      </c>
      <c r="L174" s="9" t="str">
        <f t="shared" si="59"/>
        <v/>
      </c>
      <c r="M174" s="10" t="str">
        <f t="shared" si="44"/>
        <v/>
      </c>
      <c r="N174" s="6" t="str">
        <f t="shared" si="45"/>
        <v/>
      </c>
      <c r="O174" s="9" t="str">
        <f t="shared" si="46"/>
        <v/>
      </c>
      <c r="P174" s="9" t="str">
        <f t="shared" si="47"/>
        <v/>
      </c>
      <c r="Q174" s="9" t="str">
        <f t="shared" si="48"/>
        <v/>
      </c>
      <c r="R174" s="9" t="str">
        <f t="shared" ca="1" si="49"/>
        <v/>
      </c>
      <c r="T174" s="6" t="str">
        <f t="shared" si="50"/>
        <v/>
      </c>
      <c r="U174" s="6" t="str">
        <f t="shared" si="51"/>
        <v/>
      </c>
      <c r="V174" s="10" t="str">
        <f t="shared" si="52"/>
        <v/>
      </c>
      <c r="W174" s="8" t="str">
        <f t="shared" si="53"/>
        <v/>
      </c>
      <c r="X174" s="9">
        <f t="shared" si="60"/>
        <v>0</v>
      </c>
      <c r="Y174" s="9">
        <f t="shared" si="61"/>
        <v>0</v>
      </c>
    </row>
    <row r="175" spans="2:25" x14ac:dyDescent="0.3">
      <c r="B175" s="6">
        <v>138</v>
      </c>
      <c r="C175" s="79" t="str">
        <f t="shared" si="62"/>
        <v/>
      </c>
      <c r="D175" s="6" t="str">
        <f t="shared" si="42"/>
        <v/>
      </c>
      <c r="E175" s="79" t="str">
        <f t="shared" si="54"/>
        <v/>
      </c>
      <c r="F175" s="79" t="str">
        <f>IF(B174&gt;$C$18,"",IF(COUNTIF(Feriados!$A$2:$B$17,EDATE($C$38,B174))=0,EDATE($C$38,B174),EDATE($C$38,B174)+VLOOKUP(EDATE($C$38,B174),Feriados!$A$2:$B$17,2,FALSE)))</f>
        <v/>
      </c>
      <c r="G175" s="6" t="str">
        <f t="shared" si="55"/>
        <v/>
      </c>
      <c r="H175" s="6" t="str">
        <f t="shared" si="56"/>
        <v/>
      </c>
      <c r="I175" s="8" t="str">
        <f t="shared" si="57"/>
        <v/>
      </c>
      <c r="J175" s="8" t="str">
        <f t="shared" si="58"/>
        <v/>
      </c>
      <c r="K175" s="9" t="str">
        <f t="shared" si="43"/>
        <v/>
      </c>
      <c r="L175" s="9" t="str">
        <f t="shared" si="59"/>
        <v/>
      </c>
      <c r="M175" s="10" t="str">
        <f t="shared" si="44"/>
        <v/>
      </c>
      <c r="N175" s="6" t="str">
        <f t="shared" si="45"/>
        <v/>
      </c>
      <c r="O175" s="9" t="str">
        <f t="shared" si="46"/>
        <v/>
      </c>
      <c r="P175" s="9" t="str">
        <f t="shared" si="47"/>
        <v/>
      </c>
      <c r="Q175" s="9" t="str">
        <f t="shared" si="48"/>
        <v/>
      </c>
      <c r="R175" s="9" t="str">
        <f t="shared" ca="1" si="49"/>
        <v/>
      </c>
      <c r="T175" s="6" t="str">
        <f t="shared" si="50"/>
        <v/>
      </c>
      <c r="U175" s="6" t="str">
        <f t="shared" si="51"/>
        <v/>
      </c>
      <c r="V175" s="10" t="str">
        <f t="shared" si="52"/>
        <v/>
      </c>
      <c r="W175" s="8" t="str">
        <f t="shared" si="53"/>
        <v/>
      </c>
      <c r="X175" s="9">
        <f t="shared" si="60"/>
        <v>0</v>
      </c>
      <c r="Y175" s="9">
        <f t="shared" si="61"/>
        <v>0</v>
      </c>
    </row>
    <row r="176" spans="2:25" x14ac:dyDescent="0.3">
      <c r="B176" s="6">
        <v>139</v>
      </c>
      <c r="C176" s="79" t="str">
        <f t="shared" si="62"/>
        <v/>
      </c>
      <c r="D176" s="6" t="str">
        <f t="shared" si="42"/>
        <v/>
      </c>
      <c r="E176" s="79" t="str">
        <f t="shared" si="54"/>
        <v/>
      </c>
      <c r="F176" s="79" t="str">
        <f>IF(B175&gt;$C$18,"",IF(COUNTIF(Feriados!$A$2:$B$17,EDATE($C$38,B175))=0,EDATE($C$38,B175),EDATE($C$38,B175)+VLOOKUP(EDATE($C$38,B175),Feriados!$A$2:$B$17,2,FALSE)))</f>
        <v/>
      </c>
      <c r="G176" s="6" t="str">
        <f t="shared" si="55"/>
        <v/>
      </c>
      <c r="H176" s="6" t="str">
        <f t="shared" si="56"/>
        <v/>
      </c>
      <c r="I176" s="8" t="str">
        <f t="shared" si="57"/>
        <v/>
      </c>
      <c r="J176" s="8" t="str">
        <f t="shared" si="58"/>
        <v/>
      </c>
      <c r="K176" s="9" t="str">
        <f t="shared" si="43"/>
        <v/>
      </c>
      <c r="L176" s="9" t="str">
        <f t="shared" si="59"/>
        <v/>
      </c>
      <c r="M176" s="10" t="str">
        <f t="shared" si="44"/>
        <v/>
      </c>
      <c r="N176" s="6" t="str">
        <f t="shared" si="45"/>
        <v/>
      </c>
      <c r="O176" s="9" t="str">
        <f t="shared" si="46"/>
        <v/>
      </c>
      <c r="P176" s="9" t="str">
        <f t="shared" si="47"/>
        <v/>
      </c>
      <c r="Q176" s="9" t="str">
        <f t="shared" si="48"/>
        <v/>
      </c>
      <c r="R176" s="9" t="str">
        <f t="shared" ca="1" si="49"/>
        <v/>
      </c>
      <c r="T176" s="6" t="str">
        <f t="shared" si="50"/>
        <v/>
      </c>
      <c r="U176" s="6" t="str">
        <f t="shared" si="51"/>
        <v/>
      </c>
      <c r="V176" s="10" t="str">
        <f t="shared" si="52"/>
        <v/>
      </c>
      <c r="W176" s="8" t="str">
        <f t="shared" si="53"/>
        <v/>
      </c>
      <c r="X176" s="9">
        <f t="shared" si="60"/>
        <v>0</v>
      </c>
      <c r="Y176" s="9">
        <f t="shared" si="61"/>
        <v>0</v>
      </c>
    </row>
    <row r="177" spans="2:25" x14ac:dyDescent="0.3">
      <c r="B177" s="6">
        <v>140</v>
      </c>
      <c r="C177" s="79" t="str">
        <f t="shared" si="62"/>
        <v/>
      </c>
      <c r="D177" s="6" t="str">
        <f t="shared" si="42"/>
        <v/>
      </c>
      <c r="E177" s="79" t="str">
        <f t="shared" si="54"/>
        <v/>
      </c>
      <c r="F177" s="79" t="str">
        <f>IF(B176&gt;$C$18,"",IF(COUNTIF(Feriados!$A$2:$B$17,EDATE($C$38,B176))=0,EDATE($C$38,B176),EDATE($C$38,B176)+VLOOKUP(EDATE($C$38,B176),Feriados!$A$2:$B$17,2,FALSE)))</f>
        <v/>
      </c>
      <c r="G177" s="6" t="str">
        <f t="shared" si="55"/>
        <v/>
      </c>
      <c r="H177" s="6" t="str">
        <f t="shared" si="56"/>
        <v/>
      </c>
      <c r="I177" s="8" t="str">
        <f t="shared" si="57"/>
        <v/>
      </c>
      <c r="J177" s="8" t="str">
        <f t="shared" si="58"/>
        <v/>
      </c>
      <c r="K177" s="9" t="str">
        <f t="shared" si="43"/>
        <v/>
      </c>
      <c r="L177" s="9" t="str">
        <f t="shared" si="59"/>
        <v/>
      </c>
      <c r="M177" s="10" t="str">
        <f t="shared" si="44"/>
        <v/>
      </c>
      <c r="N177" s="6" t="str">
        <f t="shared" si="45"/>
        <v/>
      </c>
      <c r="O177" s="9" t="str">
        <f t="shared" si="46"/>
        <v/>
      </c>
      <c r="P177" s="9" t="str">
        <f t="shared" si="47"/>
        <v/>
      </c>
      <c r="Q177" s="9" t="str">
        <f t="shared" si="48"/>
        <v/>
      </c>
      <c r="R177" s="9" t="str">
        <f t="shared" ca="1" si="49"/>
        <v/>
      </c>
      <c r="T177" s="6" t="str">
        <f t="shared" si="50"/>
        <v/>
      </c>
      <c r="U177" s="6" t="str">
        <f t="shared" si="51"/>
        <v/>
      </c>
      <c r="V177" s="10" t="str">
        <f t="shared" si="52"/>
        <v/>
      </c>
      <c r="W177" s="8" t="str">
        <f t="shared" si="53"/>
        <v/>
      </c>
      <c r="X177" s="9">
        <f t="shared" si="60"/>
        <v>0</v>
      </c>
      <c r="Y177" s="9">
        <f t="shared" si="61"/>
        <v>0</v>
      </c>
    </row>
    <row r="178" spans="2:25" x14ac:dyDescent="0.3">
      <c r="B178" s="6">
        <v>141</v>
      </c>
      <c r="C178" s="79" t="str">
        <f t="shared" si="62"/>
        <v/>
      </c>
      <c r="D178" s="6" t="str">
        <f t="shared" si="42"/>
        <v/>
      </c>
      <c r="E178" s="79" t="str">
        <f t="shared" si="54"/>
        <v/>
      </c>
      <c r="F178" s="79" t="str">
        <f>IF(B177&gt;$C$18,"",IF(COUNTIF(Feriados!$A$2:$B$17,EDATE($C$38,B177))=0,EDATE($C$38,B177),EDATE($C$38,B177)+VLOOKUP(EDATE($C$38,B177),Feriados!$A$2:$B$17,2,FALSE)))</f>
        <v/>
      </c>
      <c r="G178" s="6" t="str">
        <f t="shared" si="55"/>
        <v/>
      </c>
      <c r="H178" s="6" t="str">
        <f t="shared" si="56"/>
        <v/>
      </c>
      <c r="I178" s="8" t="str">
        <f t="shared" si="57"/>
        <v/>
      </c>
      <c r="J178" s="8" t="str">
        <f t="shared" si="58"/>
        <v/>
      </c>
      <c r="K178" s="9" t="str">
        <f t="shared" si="43"/>
        <v/>
      </c>
      <c r="L178" s="9" t="str">
        <f t="shared" si="59"/>
        <v/>
      </c>
      <c r="M178" s="10" t="str">
        <f t="shared" si="44"/>
        <v/>
      </c>
      <c r="N178" s="6" t="str">
        <f t="shared" si="45"/>
        <v/>
      </c>
      <c r="O178" s="9" t="str">
        <f t="shared" si="46"/>
        <v/>
      </c>
      <c r="P178" s="9" t="str">
        <f t="shared" si="47"/>
        <v/>
      </c>
      <c r="Q178" s="9" t="str">
        <f t="shared" si="48"/>
        <v/>
      </c>
      <c r="R178" s="9" t="str">
        <f t="shared" ca="1" si="49"/>
        <v/>
      </c>
      <c r="T178" s="6" t="str">
        <f t="shared" si="50"/>
        <v/>
      </c>
      <c r="U178" s="6" t="str">
        <f t="shared" si="51"/>
        <v/>
      </c>
      <c r="V178" s="10" t="str">
        <f t="shared" si="52"/>
        <v/>
      </c>
      <c r="W178" s="8" t="str">
        <f t="shared" si="53"/>
        <v/>
      </c>
      <c r="X178" s="9">
        <f t="shared" si="60"/>
        <v>0</v>
      </c>
      <c r="Y178" s="9">
        <f t="shared" si="61"/>
        <v>0</v>
      </c>
    </row>
    <row r="179" spans="2:25" x14ac:dyDescent="0.3">
      <c r="B179" s="6">
        <v>142</v>
      </c>
      <c r="C179" s="79" t="str">
        <f t="shared" si="62"/>
        <v/>
      </c>
      <c r="D179" s="6" t="str">
        <f t="shared" si="42"/>
        <v/>
      </c>
      <c r="E179" s="79" t="str">
        <f t="shared" si="54"/>
        <v/>
      </c>
      <c r="F179" s="79" t="str">
        <f>IF(B178&gt;$C$18,"",IF(COUNTIF(Feriados!$A$2:$B$17,EDATE($C$38,B178))=0,EDATE($C$38,B178),EDATE($C$38,B178)+VLOOKUP(EDATE($C$38,B178),Feriados!$A$2:$B$17,2,FALSE)))</f>
        <v/>
      </c>
      <c r="G179" s="6" t="str">
        <f t="shared" si="55"/>
        <v/>
      </c>
      <c r="H179" s="6" t="str">
        <f t="shared" si="56"/>
        <v/>
      </c>
      <c r="I179" s="8" t="str">
        <f t="shared" si="57"/>
        <v/>
      </c>
      <c r="J179" s="8" t="str">
        <f t="shared" si="58"/>
        <v/>
      </c>
      <c r="K179" s="9" t="str">
        <f t="shared" si="43"/>
        <v/>
      </c>
      <c r="L179" s="9" t="str">
        <f t="shared" si="59"/>
        <v/>
      </c>
      <c r="M179" s="10" t="str">
        <f t="shared" si="44"/>
        <v/>
      </c>
      <c r="N179" s="6" t="str">
        <f t="shared" si="45"/>
        <v/>
      </c>
      <c r="O179" s="9" t="str">
        <f t="shared" si="46"/>
        <v/>
      </c>
      <c r="P179" s="9" t="str">
        <f t="shared" si="47"/>
        <v/>
      </c>
      <c r="Q179" s="9" t="str">
        <f t="shared" si="48"/>
        <v/>
      </c>
      <c r="R179" s="9" t="str">
        <f t="shared" ca="1" si="49"/>
        <v/>
      </c>
      <c r="T179" s="6" t="str">
        <f t="shared" si="50"/>
        <v/>
      </c>
      <c r="U179" s="6" t="str">
        <f t="shared" si="51"/>
        <v/>
      </c>
      <c r="V179" s="10" t="str">
        <f t="shared" si="52"/>
        <v/>
      </c>
      <c r="W179" s="8" t="str">
        <f t="shared" si="53"/>
        <v/>
      </c>
      <c r="X179" s="9">
        <f t="shared" si="60"/>
        <v>0</v>
      </c>
      <c r="Y179" s="9">
        <f t="shared" si="61"/>
        <v>0</v>
      </c>
    </row>
    <row r="180" spans="2:25" x14ac:dyDescent="0.3">
      <c r="B180" s="6">
        <v>143</v>
      </c>
      <c r="C180" s="79" t="str">
        <f t="shared" si="62"/>
        <v/>
      </c>
      <c r="D180" s="6" t="str">
        <f t="shared" si="42"/>
        <v/>
      </c>
      <c r="E180" s="79" t="str">
        <f t="shared" si="54"/>
        <v/>
      </c>
      <c r="F180" s="79" t="str">
        <f>IF(B179&gt;$C$18,"",IF(COUNTIF(Feriados!$A$2:$B$17,EDATE($C$38,B179))=0,EDATE($C$38,B179),EDATE($C$38,B179)+VLOOKUP(EDATE($C$38,B179),Feriados!$A$2:$B$17,2,FALSE)))</f>
        <v/>
      </c>
      <c r="G180" s="6" t="str">
        <f t="shared" si="55"/>
        <v/>
      </c>
      <c r="H180" s="6" t="str">
        <f t="shared" si="56"/>
        <v/>
      </c>
      <c r="I180" s="8" t="str">
        <f t="shared" si="57"/>
        <v/>
      </c>
      <c r="J180" s="8" t="str">
        <f t="shared" si="58"/>
        <v/>
      </c>
      <c r="K180" s="9" t="str">
        <f t="shared" si="43"/>
        <v/>
      </c>
      <c r="L180" s="9" t="str">
        <f t="shared" si="59"/>
        <v/>
      </c>
      <c r="M180" s="10" t="str">
        <f t="shared" si="44"/>
        <v/>
      </c>
      <c r="N180" s="6" t="str">
        <f t="shared" si="45"/>
        <v/>
      </c>
      <c r="O180" s="9" t="str">
        <f t="shared" si="46"/>
        <v/>
      </c>
      <c r="P180" s="9" t="str">
        <f t="shared" si="47"/>
        <v/>
      </c>
      <c r="Q180" s="9" t="str">
        <f t="shared" si="48"/>
        <v/>
      </c>
      <c r="R180" s="9" t="str">
        <f t="shared" ca="1" si="49"/>
        <v/>
      </c>
      <c r="T180" s="6" t="str">
        <f t="shared" si="50"/>
        <v/>
      </c>
      <c r="U180" s="6" t="str">
        <f t="shared" si="51"/>
        <v/>
      </c>
      <c r="V180" s="10" t="str">
        <f t="shared" si="52"/>
        <v/>
      </c>
      <c r="W180" s="8" t="str">
        <f t="shared" si="53"/>
        <v/>
      </c>
      <c r="X180" s="9">
        <f t="shared" si="60"/>
        <v>0</v>
      </c>
      <c r="Y180" s="9">
        <f t="shared" si="61"/>
        <v>0</v>
      </c>
    </row>
    <row r="181" spans="2:25" x14ac:dyDescent="0.3">
      <c r="B181" s="6">
        <v>144</v>
      </c>
      <c r="C181" s="79" t="str">
        <f t="shared" si="62"/>
        <v/>
      </c>
      <c r="D181" s="6" t="str">
        <f t="shared" si="42"/>
        <v/>
      </c>
      <c r="E181" s="79" t="str">
        <f t="shared" si="54"/>
        <v/>
      </c>
      <c r="F181" s="79" t="str">
        <f>IF(B180&gt;$C$18,"",IF(COUNTIF(Feriados!$A$2:$B$17,EDATE($C$38,B180))=0,EDATE($C$38,B180),EDATE($C$38,B180)+VLOOKUP(EDATE($C$38,B180),Feriados!$A$2:$B$17,2,FALSE)))</f>
        <v/>
      </c>
      <c r="G181" s="6" t="str">
        <f t="shared" si="55"/>
        <v/>
      </c>
      <c r="H181" s="6" t="str">
        <f t="shared" si="56"/>
        <v/>
      </c>
      <c r="I181" s="8" t="str">
        <f t="shared" si="57"/>
        <v/>
      </c>
      <c r="J181" s="8" t="str">
        <f t="shared" si="58"/>
        <v/>
      </c>
      <c r="K181" s="9" t="str">
        <f t="shared" si="43"/>
        <v/>
      </c>
      <c r="L181" s="9" t="str">
        <f t="shared" si="59"/>
        <v/>
      </c>
      <c r="M181" s="10" t="str">
        <f t="shared" si="44"/>
        <v/>
      </c>
      <c r="N181" s="6" t="str">
        <f t="shared" si="45"/>
        <v/>
      </c>
      <c r="O181" s="9" t="str">
        <f t="shared" si="46"/>
        <v/>
      </c>
      <c r="P181" s="9" t="str">
        <f t="shared" si="47"/>
        <v/>
      </c>
      <c r="Q181" s="9" t="str">
        <f t="shared" si="48"/>
        <v/>
      </c>
      <c r="R181" s="9" t="str">
        <f t="shared" ca="1" si="49"/>
        <v/>
      </c>
      <c r="T181" s="6" t="str">
        <f t="shared" si="50"/>
        <v/>
      </c>
      <c r="U181" s="6" t="str">
        <f t="shared" si="51"/>
        <v/>
      </c>
      <c r="V181" s="10" t="str">
        <f t="shared" si="52"/>
        <v/>
      </c>
      <c r="W181" s="8" t="str">
        <f t="shared" si="53"/>
        <v/>
      </c>
      <c r="X181" s="9">
        <f t="shared" si="60"/>
        <v>0</v>
      </c>
      <c r="Y181" s="9">
        <f t="shared" si="61"/>
        <v>0</v>
      </c>
    </row>
    <row r="182" spans="2:25" x14ac:dyDescent="0.3">
      <c r="B182" s="6">
        <v>145</v>
      </c>
      <c r="C182" s="79" t="str">
        <f t="shared" si="62"/>
        <v/>
      </c>
      <c r="D182" s="6" t="str">
        <f t="shared" si="42"/>
        <v/>
      </c>
      <c r="E182" s="79" t="str">
        <f t="shared" si="54"/>
        <v/>
      </c>
      <c r="F182" s="79" t="str">
        <f>IF(B181&gt;$C$18,"",IF(COUNTIF(Feriados!$A$2:$B$17,EDATE($C$38,B181))=0,EDATE($C$38,B181),EDATE($C$38,B181)+VLOOKUP(EDATE($C$38,B181),Feriados!$A$2:$B$17,2,FALSE)))</f>
        <v/>
      </c>
      <c r="G182" s="6" t="str">
        <f t="shared" si="55"/>
        <v/>
      </c>
      <c r="H182" s="6" t="str">
        <f t="shared" si="56"/>
        <v/>
      </c>
      <c r="I182" s="8" t="str">
        <f t="shared" si="57"/>
        <v/>
      </c>
      <c r="J182" s="8" t="str">
        <f t="shared" si="58"/>
        <v/>
      </c>
      <c r="K182" s="9" t="str">
        <f t="shared" si="43"/>
        <v/>
      </c>
      <c r="L182" s="9" t="str">
        <f t="shared" si="59"/>
        <v/>
      </c>
      <c r="M182" s="10" t="str">
        <f t="shared" si="44"/>
        <v/>
      </c>
      <c r="N182" s="6" t="str">
        <f t="shared" si="45"/>
        <v/>
      </c>
      <c r="O182" s="9" t="str">
        <f t="shared" si="46"/>
        <v/>
      </c>
      <c r="P182" s="9" t="str">
        <f t="shared" si="47"/>
        <v/>
      </c>
      <c r="Q182" s="9" t="str">
        <f t="shared" si="48"/>
        <v/>
      </c>
      <c r="R182" s="9" t="str">
        <f t="shared" ca="1" si="49"/>
        <v/>
      </c>
      <c r="T182" s="6" t="str">
        <f t="shared" si="50"/>
        <v/>
      </c>
      <c r="U182" s="6" t="str">
        <f t="shared" si="51"/>
        <v/>
      </c>
      <c r="V182" s="10" t="str">
        <f t="shared" si="52"/>
        <v/>
      </c>
      <c r="W182" s="8" t="str">
        <f t="shared" si="53"/>
        <v/>
      </c>
      <c r="X182" s="9">
        <f t="shared" si="60"/>
        <v>0</v>
      </c>
      <c r="Y182" s="9">
        <f t="shared" si="61"/>
        <v>0</v>
      </c>
    </row>
    <row r="183" spans="2:25" x14ac:dyDescent="0.3">
      <c r="B183" s="6">
        <v>146</v>
      </c>
      <c r="C183" s="79" t="str">
        <f t="shared" si="62"/>
        <v/>
      </c>
      <c r="D183" s="6" t="str">
        <f t="shared" si="42"/>
        <v/>
      </c>
      <c r="E183" s="79" t="str">
        <f t="shared" si="54"/>
        <v/>
      </c>
      <c r="F183" s="79" t="str">
        <f>IF(B182&gt;$C$18,"",IF(COUNTIF(Feriados!$A$2:$B$17,EDATE($C$38,B182))=0,EDATE($C$38,B182),EDATE($C$38,B182)+VLOOKUP(EDATE($C$38,B182),Feriados!$A$2:$B$17,2,FALSE)))</f>
        <v/>
      </c>
      <c r="G183" s="6" t="str">
        <f t="shared" si="55"/>
        <v/>
      </c>
      <c r="H183" s="6" t="str">
        <f t="shared" si="56"/>
        <v/>
      </c>
      <c r="I183" s="8" t="str">
        <f t="shared" si="57"/>
        <v/>
      </c>
      <c r="J183" s="8" t="str">
        <f t="shared" si="58"/>
        <v/>
      </c>
      <c r="K183" s="9" t="str">
        <f t="shared" si="43"/>
        <v/>
      </c>
      <c r="L183" s="9" t="str">
        <f t="shared" si="59"/>
        <v/>
      </c>
      <c r="M183" s="10" t="str">
        <f t="shared" si="44"/>
        <v/>
      </c>
      <c r="N183" s="6" t="str">
        <f t="shared" si="45"/>
        <v/>
      </c>
      <c r="O183" s="9" t="str">
        <f t="shared" si="46"/>
        <v/>
      </c>
      <c r="P183" s="9" t="str">
        <f t="shared" si="47"/>
        <v/>
      </c>
      <c r="Q183" s="9" t="str">
        <f t="shared" si="48"/>
        <v/>
      </c>
      <c r="R183" s="9" t="str">
        <f t="shared" ca="1" si="49"/>
        <v/>
      </c>
      <c r="T183" s="6" t="str">
        <f t="shared" si="50"/>
        <v/>
      </c>
      <c r="U183" s="6" t="str">
        <f t="shared" si="51"/>
        <v/>
      </c>
      <c r="V183" s="10" t="str">
        <f t="shared" si="52"/>
        <v/>
      </c>
      <c r="W183" s="8" t="str">
        <f t="shared" si="53"/>
        <v/>
      </c>
      <c r="X183" s="9">
        <f t="shared" si="60"/>
        <v>0</v>
      </c>
      <c r="Y183" s="9">
        <f t="shared" si="61"/>
        <v>0</v>
      </c>
    </row>
    <row r="184" spans="2:25" x14ac:dyDescent="0.3">
      <c r="B184" s="6">
        <v>147</v>
      </c>
      <c r="C184" s="79" t="str">
        <f t="shared" si="62"/>
        <v/>
      </c>
      <c r="D184" s="6" t="str">
        <f t="shared" si="42"/>
        <v/>
      </c>
      <c r="E184" s="79" t="str">
        <f t="shared" si="54"/>
        <v/>
      </c>
      <c r="F184" s="79" t="str">
        <f>IF(B183&gt;$C$18,"",IF(COUNTIF(Feriados!$A$2:$B$17,EDATE($C$38,B183))=0,EDATE($C$38,B183),EDATE($C$38,B183)+VLOOKUP(EDATE($C$38,B183),Feriados!$A$2:$B$17,2,FALSE)))</f>
        <v/>
      </c>
      <c r="G184" s="6" t="str">
        <f t="shared" si="55"/>
        <v/>
      </c>
      <c r="H184" s="6" t="str">
        <f t="shared" si="56"/>
        <v/>
      </c>
      <c r="I184" s="8" t="str">
        <f t="shared" si="57"/>
        <v/>
      </c>
      <c r="J184" s="8" t="str">
        <f t="shared" si="58"/>
        <v/>
      </c>
      <c r="K184" s="9" t="str">
        <f t="shared" si="43"/>
        <v/>
      </c>
      <c r="L184" s="9" t="str">
        <f t="shared" si="59"/>
        <v/>
      </c>
      <c r="M184" s="10" t="str">
        <f t="shared" si="44"/>
        <v/>
      </c>
      <c r="N184" s="6" t="str">
        <f t="shared" si="45"/>
        <v/>
      </c>
      <c r="O184" s="9" t="str">
        <f t="shared" si="46"/>
        <v/>
      </c>
      <c r="P184" s="9" t="str">
        <f t="shared" si="47"/>
        <v/>
      </c>
      <c r="Q184" s="9" t="str">
        <f t="shared" si="48"/>
        <v/>
      </c>
      <c r="R184" s="9" t="str">
        <f t="shared" ca="1" si="49"/>
        <v/>
      </c>
      <c r="T184" s="6" t="str">
        <f t="shared" si="50"/>
        <v/>
      </c>
      <c r="U184" s="6" t="str">
        <f t="shared" si="51"/>
        <v/>
      </c>
      <c r="V184" s="10" t="str">
        <f t="shared" si="52"/>
        <v/>
      </c>
      <c r="W184" s="8" t="str">
        <f t="shared" si="53"/>
        <v/>
      </c>
      <c r="X184" s="9">
        <f t="shared" si="60"/>
        <v>0</v>
      </c>
      <c r="Y184" s="9">
        <f t="shared" si="61"/>
        <v>0</v>
      </c>
    </row>
    <row r="185" spans="2:25" x14ac:dyDescent="0.3">
      <c r="B185" s="6">
        <v>148</v>
      </c>
      <c r="C185" s="79" t="str">
        <f t="shared" si="62"/>
        <v/>
      </c>
      <c r="D185" s="6" t="str">
        <f t="shared" si="42"/>
        <v/>
      </c>
      <c r="E185" s="79" t="str">
        <f t="shared" si="54"/>
        <v/>
      </c>
      <c r="F185" s="79" t="str">
        <f>IF(B184&gt;$C$18,"",IF(COUNTIF(Feriados!$A$2:$B$17,EDATE($C$38,B184))=0,EDATE($C$38,B184),EDATE($C$38,B184)+VLOOKUP(EDATE($C$38,B184),Feriados!$A$2:$B$17,2,FALSE)))</f>
        <v/>
      </c>
      <c r="G185" s="6" t="str">
        <f t="shared" si="55"/>
        <v/>
      </c>
      <c r="H185" s="6" t="str">
        <f t="shared" si="56"/>
        <v/>
      </c>
      <c r="I185" s="8" t="str">
        <f t="shared" si="57"/>
        <v/>
      </c>
      <c r="J185" s="8" t="str">
        <f t="shared" si="58"/>
        <v/>
      </c>
      <c r="K185" s="9" t="str">
        <f t="shared" si="43"/>
        <v/>
      </c>
      <c r="L185" s="9" t="str">
        <f t="shared" si="59"/>
        <v/>
      </c>
      <c r="M185" s="10" t="str">
        <f t="shared" si="44"/>
        <v/>
      </c>
      <c r="N185" s="6" t="str">
        <f t="shared" si="45"/>
        <v/>
      </c>
      <c r="O185" s="9" t="str">
        <f t="shared" si="46"/>
        <v/>
      </c>
      <c r="P185" s="9" t="str">
        <f t="shared" si="47"/>
        <v/>
      </c>
      <c r="Q185" s="9" t="str">
        <f t="shared" si="48"/>
        <v/>
      </c>
      <c r="R185" s="9" t="str">
        <f t="shared" ca="1" si="49"/>
        <v/>
      </c>
      <c r="T185" s="6" t="str">
        <f t="shared" si="50"/>
        <v/>
      </c>
      <c r="U185" s="6" t="str">
        <f t="shared" si="51"/>
        <v/>
      </c>
      <c r="V185" s="10" t="str">
        <f t="shared" si="52"/>
        <v/>
      </c>
      <c r="W185" s="8" t="str">
        <f t="shared" si="53"/>
        <v/>
      </c>
      <c r="X185" s="9">
        <f t="shared" si="60"/>
        <v>0</v>
      </c>
      <c r="Y185" s="9">
        <f t="shared" si="61"/>
        <v>0</v>
      </c>
    </row>
    <row r="186" spans="2:25" x14ac:dyDescent="0.3">
      <c r="B186" s="6">
        <v>149</v>
      </c>
      <c r="C186" s="79" t="str">
        <f t="shared" si="62"/>
        <v/>
      </c>
      <c r="D186" s="6" t="str">
        <f t="shared" si="42"/>
        <v/>
      </c>
      <c r="E186" s="79" t="str">
        <f t="shared" si="54"/>
        <v/>
      </c>
      <c r="F186" s="79" t="str">
        <f>IF(B185&gt;$C$18,"",IF(COUNTIF(Feriados!$A$2:$B$17,EDATE($C$38,B185))=0,EDATE($C$38,B185),EDATE($C$38,B185)+VLOOKUP(EDATE($C$38,B185),Feriados!$A$2:$B$17,2,FALSE)))</f>
        <v/>
      </c>
      <c r="G186" s="6" t="str">
        <f t="shared" si="55"/>
        <v/>
      </c>
      <c r="H186" s="6" t="str">
        <f t="shared" si="56"/>
        <v/>
      </c>
      <c r="I186" s="8" t="str">
        <f t="shared" si="57"/>
        <v/>
      </c>
      <c r="J186" s="8" t="str">
        <f t="shared" si="58"/>
        <v/>
      </c>
      <c r="K186" s="9" t="str">
        <f t="shared" si="43"/>
        <v/>
      </c>
      <c r="L186" s="9" t="str">
        <f t="shared" si="59"/>
        <v/>
      </c>
      <c r="M186" s="10" t="str">
        <f t="shared" si="44"/>
        <v/>
      </c>
      <c r="N186" s="6" t="str">
        <f t="shared" si="45"/>
        <v/>
      </c>
      <c r="O186" s="9" t="str">
        <f t="shared" si="46"/>
        <v/>
      </c>
      <c r="P186" s="9" t="str">
        <f t="shared" si="47"/>
        <v/>
      </c>
      <c r="Q186" s="9" t="str">
        <f t="shared" si="48"/>
        <v/>
      </c>
      <c r="R186" s="9" t="str">
        <f t="shared" ca="1" si="49"/>
        <v/>
      </c>
      <c r="T186" s="6" t="str">
        <f t="shared" si="50"/>
        <v/>
      </c>
      <c r="U186" s="6" t="str">
        <f t="shared" si="51"/>
        <v/>
      </c>
      <c r="V186" s="10" t="str">
        <f t="shared" si="52"/>
        <v/>
      </c>
      <c r="W186" s="8" t="str">
        <f t="shared" si="53"/>
        <v/>
      </c>
      <c r="X186" s="9">
        <f t="shared" si="60"/>
        <v>0</v>
      </c>
      <c r="Y186" s="9">
        <f t="shared" si="61"/>
        <v>0</v>
      </c>
    </row>
    <row r="187" spans="2:25" x14ac:dyDescent="0.3">
      <c r="B187" s="6">
        <v>150</v>
      </c>
      <c r="C187" s="79" t="str">
        <f t="shared" si="62"/>
        <v/>
      </c>
      <c r="D187" s="6" t="str">
        <f t="shared" si="42"/>
        <v/>
      </c>
      <c r="E187" s="79" t="str">
        <f t="shared" si="54"/>
        <v/>
      </c>
      <c r="F187" s="79" t="str">
        <f>IF(B186&gt;$C$18,"",IF(COUNTIF(Feriados!$A$2:$B$17,EDATE($C$38,B186))=0,EDATE($C$38,B186),EDATE($C$38,B186)+VLOOKUP(EDATE($C$38,B186),Feriados!$A$2:$B$17,2,FALSE)))</f>
        <v/>
      </c>
      <c r="G187" s="6" t="str">
        <f t="shared" si="55"/>
        <v/>
      </c>
      <c r="H187" s="6" t="str">
        <f t="shared" si="56"/>
        <v/>
      </c>
      <c r="I187" s="8" t="str">
        <f t="shared" si="57"/>
        <v/>
      </c>
      <c r="J187" s="8" t="str">
        <f t="shared" si="58"/>
        <v/>
      </c>
      <c r="K187" s="9" t="str">
        <f t="shared" si="43"/>
        <v/>
      </c>
      <c r="L187" s="9" t="str">
        <f t="shared" si="59"/>
        <v/>
      </c>
      <c r="M187" s="10" t="str">
        <f t="shared" si="44"/>
        <v/>
      </c>
      <c r="N187" s="6" t="str">
        <f t="shared" si="45"/>
        <v/>
      </c>
      <c r="O187" s="9" t="str">
        <f t="shared" si="46"/>
        <v/>
      </c>
      <c r="P187" s="9" t="str">
        <f t="shared" si="47"/>
        <v/>
      </c>
      <c r="Q187" s="9" t="str">
        <f t="shared" si="48"/>
        <v/>
      </c>
      <c r="R187" s="9" t="str">
        <f t="shared" ca="1" si="49"/>
        <v/>
      </c>
      <c r="T187" s="6" t="str">
        <f t="shared" si="50"/>
        <v/>
      </c>
      <c r="U187" s="6" t="str">
        <f t="shared" si="51"/>
        <v/>
      </c>
      <c r="V187" s="10" t="str">
        <f t="shared" si="52"/>
        <v/>
      </c>
      <c r="W187" s="8" t="str">
        <f t="shared" si="53"/>
        <v/>
      </c>
      <c r="X187" s="9">
        <f t="shared" si="60"/>
        <v>0</v>
      </c>
      <c r="Y187" s="9">
        <f t="shared" si="61"/>
        <v>0</v>
      </c>
    </row>
    <row r="188" spans="2:25" x14ac:dyDescent="0.3">
      <c r="B188" s="6">
        <v>151</v>
      </c>
      <c r="C188" s="79" t="str">
        <f t="shared" si="62"/>
        <v/>
      </c>
      <c r="D188" s="6" t="str">
        <f t="shared" si="42"/>
        <v/>
      </c>
      <c r="E188" s="79" t="str">
        <f t="shared" si="54"/>
        <v/>
      </c>
      <c r="F188" s="79" t="str">
        <f>IF(B187&gt;$C$18,"",IF(COUNTIF(Feriados!$A$2:$B$17,EDATE($C$38,B187))=0,EDATE($C$38,B187),EDATE($C$38,B187)+VLOOKUP(EDATE($C$38,B187),Feriados!$A$2:$B$17,2,FALSE)))</f>
        <v/>
      </c>
      <c r="G188" s="6" t="str">
        <f t="shared" si="55"/>
        <v/>
      </c>
      <c r="H188" s="6" t="str">
        <f t="shared" si="56"/>
        <v/>
      </c>
      <c r="I188" s="8" t="str">
        <f t="shared" si="57"/>
        <v/>
      </c>
      <c r="J188" s="8" t="str">
        <f t="shared" si="58"/>
        <v/>
      </c>
      <c r="K188" s="9" t="str">
        <f t="shared" si="43"/>
        <v/>
      </c>
      <c r="L188" s="9" t="str">
        <f t="shared" si="59"/>
        <v/>
      </c>
      <c r="M188" s="10" t="str">
        <f t="shared" si="44"/>
        <v/>
      </c>
      <c r="N188" s="6" t="str">
        <f t="shared" si="45"/>
        <v/>
      </c>
      <c r="O188" s="9" t="str">
        <f t="shared" si="46"/>
        <v/>
      </c>
      <c r="P188" s="9" t="str">
        <f t="shared" si="47"/>
        <v/>
      </c>
      <c r="Q188" s="9" t="str">
        <f t="shared" si="48"/>
        <v/>
      </c>
      <c r="R188" s="9" t="str">
        <f t="shared" ca="1" si="49"/>
        <v/>
      </c>
      <c r="T188" s="6" t="str">
        <f t="shared" si="50"/>
        <v/>
      </c>
      <c r="U188" s="6" t="str">
        <f t="shared" si="51"/>
        <v/>
      </c>
      <c r="V188" s="10" t="str">
        <f t="shared" si="52"/>
        <v/>
      </c>
      <c r="W188" s="8" t="str">
        <f t="shared" si="53"/>
        <v/>
      </c>
      <c r="X188" s="9">
        <f t="shared" si="60"/>
        <v>0</v>
      </c>
      <c r="Y188" s="9">
        <f t="shared" si="61"/>
        <v>0</v>
      </c>
    </row>
    <row r="189" spans="2:25" x14ac:dyDescent="0.3">
      <c r="B189" s="6">
        <v>152</v>
      </c>
      <c r="C189" s="79" t="str">
        <f t="shared" si="62"/>
        <v/>
      </c>
      <c r="D189" s="6" t="str">
        <f t="shared" si="42"/>
        <v/>
      </c>
      <c r="E189" s="79" t="str">
        <f t="shared" si="54"/>
        <v/>
      </c>
      <c r="F189" s="79" t="str">
        <f>IF(B188&gt;$C$18,"",IF(COUNTIF(Feriados!$A$2:$B$17,EDATE($C$38,B188))=0,EDATE($C$38,B188),EDATE($C$38,B188)+VLOOKUP(EDATE($C$38,B188),Feriados!$A$2:$B$17,2,FALSE)))</f>
        <v/>
      </c>
      <c r="G189" s="6" t="str">
        <f t="shared" si="55"/>
        <v/>
      </c>
      <c r="H189" s="6" t="str">
        <f t="shared" si="56"/>
        <v/>
      </c>
      <c r="I189" s="8" t="str">
        <f t="shared" si="57"/>
        <v/>
      </c>
      <c r="J189" s="8" t="str">
        <f t="shared" si="58"/>
        <v/>
      </c>
      <c r="K189" s="9" t="str">
        <f t="shared" si="43"/>
        <v/>
      </c>
      <c r="L189" s="9" t="str">
        <f t="shared" si="59"/>
        <v/>
      </c>
      <c r="M189" s="10" t="str">
        <f t="shared" si="44"/>
        <v/>
      </c>
      <c r="N189" s="6" t="str">
        <f t="shared" si="45"/>
        <v/>
      </c>
      <c r="O189" s="9" t="str">
        <f t="shared" si="46"/>
        <v/>
      </c>
      <c r="P189" s="9" t="str">
        <f t="shared" si="47"/>
        <v/>
      </c>
      <c r="Q189" s="9" t="str">
        <f t="shared" si="48"/>
        <v/>
      </c>
      <c r="R189" s="9" t="str">
        <f t="shared" ca="1" si="49"/>
        <v/>
      </c>
      <c r="T189" s="6" t="str">
        <f t="shared" si="50"/>
        <v/>
      </c>
      <c r="U189" s="6" t="str">
        <f t="shared" si="51"/>
        <v/>
      </c>
      <c r="V189" s="10" t="str">
        <f t="shared" si="52"/>
        <v/>
      </c>
      <c r="W189" s="8" t="str">
        <f t="shared" si="53"/>
        <v/>
      </c>
      <c r="X189" s="9">
        <f t="shared" si="60"/>
        <v>0</v>
      </c>
      <c r="Y189" s="9">
        <f t="shared" si="61"/>
        <v>0</v>
      </c>
    </row>
    <row r="190" spans="2:25" x14ac:dyDescent="0.3">
      <c r="B190" s="6">
        <v>153</v>
      </c>
      <c r="C190" s="79" t="str">
        <f t="shared" si="62"/>
        <v/>
      </c>
      <c r="D190" s="6" t="str">
        <f t="shared" si="42"/>
        <v/>
      </c>
      <c r="E190" s="79" t="str">
        <f t="shared" si="54"/>
        <v/>
      </c>
      <c r="F190" s="79" t="str">
        <f>IF(B189&gt;$C$18,"",IF(COUNTIF(Feriados!$A$2:$B$17,EDATE($C$38,B189))=0,EDATE($C$38,B189),EDATE($C$38,B189)+VLOOKUP(EDATE($C$38,B189),Feriados!$A$2:$B$17,2,FALSE)))</f>
        <v/>
      </c>
      <c r="G190" s="6" t="str">
        <f t="shared" si="55"/>
        <v/>
      </c>
      <c r="H190" s="6" t="str">
        <f t="shared" si="56"/>
        <v/>
      </c>
      <c r="I190" s="8" t="str">
        <f t="shared" si="57"/>
        <v/>
      </c>
      <c r="J190" s="8" t="str">
        <f t="shared" si="58"/>
        <v/>
      </c>
      <c r="K190" s="9" t="str">
        <f t="shared" si="43"/>
        <v/>
      </c>
      <c r="L190" s="9" t="str">
        <f t="shared" si="59"/>
        <v/>
      </c>
      <c r="M190" s="10" t="str">
        <f t="shared" si="44"/>
        <v/>
      </c>
      <c r="N190" s="6" t="str">
        <f t="shared" si="45"/>
        <v/>
      </c>
      <c r="O190" s="9" t="str">
        <f t="shared" si="46"/>
        <v/>
      </c>
      <c r="P190" s="9" t="str">
        <f t="shared" si="47"/>
        <v/>
      </c>
      <c r="Q190" s="9" t="str">
        <f t="shared" si="48"/>
        <v/>
      </c>
      <c r="R190" s="9" t="str">
        <f t="shared" ca="1" si="49"/>
        <v/>
      </c>
      <c r="T190" s="6" t="str">
        <f t="shared" si="50"/>
        <v/>
      </c>
      <c r="U190" s="6" t="str">
        <f t="shared" si="51"/>
        <v/>
      </c>
      <c r="V190" s="10" t="str">
        <f t="shared" si="52"/>
        <v/>
      </c>
      <c r="W190" s="8" t="str">
        <f t="shared" si="53"/>
        <v/>
      </c>
      <c r="X190" s="9">
        <f t="shared" si="60"/>
        <v>0</v>
      </c>
      <c r="Y190" s="9">
        <f t="shared" si="61"/>
        <v>0</v>
      </c>
    </row>
    <row r="191" spans="2:25" x14ac:dyDescent="0.3">
      <c r="B191" s="6">
        <v>154</v>
      </c>
      <c r="C191" s="79" t="str">
        <f t="shared" si="62"/>
        <v/>
      </c>
      <c r="D191" s="6" t="str">
        <f t="shared" si="42"/>
        <v/>
      </c>
      <c r="E191" s="79" t="str">
        <f t="shared" si="54"/>
        <v/>
      </c>
      <c r="F191" s="79" t="str">
        <f>IF(B190&gt;$C$18,"",IF(COUNTIF(Feriados!$A$2:$B$17,EDATE($C$38,B190))=0,EDATE($C$38,B190),EDATE($C$38,B190)+VLOOKUP(EDATE($C$38,B190),Feriados!$A$2:$B$17,2,FALSE)))</f>
        <v/>
      </c>
      <c r="G191" s="6" t="str">
        <f t="shared" si="55"/>
        <v/>
      </c>
      <c r="H191" s="6" t="str">
        <f t="shared" si="56"/>
        <v/>
      </c>
      <c r="I191" s="8" t="str">
        <f t="shared" si="57"/>
        <v/>
      </c>
      <c r="J191" s="8" t="str">
        <f t="shared" si="58"/>
        <v/>
      </c>
      <c r="K191" s="9" t="str">
        <f t="shared" si="43"/>
        <v/>
      </c>
      <c r="L191" s="9" t="str">
        <f t="shared" si="59"/>
        <v/>
      </c>
      <c r="M191" s="10" t="str">
        <f t="shared" si="44"/>
        <v/>
      </c>
      <c r="N191" s="6" t="str">
        <f t="shared" si="45"/>
        <v/>
      </c>
      <c r="O191" s="9" t="str">
        <f t="shared" si="46"/>
        <v/>
      </c>
      <c r="P191" s="9" t="str">
        <f t="shared" si="47"/>
        <v/>
      </c>
      <c r="Q191" s="9" t="str">
        <f t="shared" si="48"/>
        <v/>
      </c>
      <c r="R191" s="9" t="str">
        <f t="shared" ca="1" si="49"/>
        <v/>
      </c>
      <c r="T191" s="6" t="str">
        <f t="shared" si="50"/>
        <v/>
      </c>
      <c r="U191" s="6" t="str">
        <f t="shared" si="51"/>
        <v/>
      </c>
      <c r="V191" s="10" t="str">
        <f t="shared" si="52"/>
        <v/>
      </c>
      <c r="W191" s="8" t="str">
        <f t="shared" si="53"/>
        <v/>
      </c>
      <c r="X191" s="9">
        <f t="shared" si="60"/>
        <v>0</v>
      </c>
      <c r="Y191" s="9">
        <f t="shared" si="61"/>
        <v>0</v>
      </c>
    </row>
    <row r="192" spans="2:25" x14ac:dyDescent="0.3">
      <c r="B192" s="6">
        <v>155</v>
      </c>
      <c r="C192" s="79" t="str">
        <f t="shared" si="62"/>
        <v/>
      </c>
      <c r="D192" s="6" t="str">
        <f t="shared" si="42"/>
        <v/>
      </c>
      <c r="E192" s="79" t="str">
        <f t="shared" si="54"/>
        <v/>
      </c>
      <c r="F192" s="79" t="str">
        <f>IF(B191&gt;$C$18,"",IF(COUNTIF(Feriados!$A$2:$B$17,EDATE($C$38,B191))=0,EDATE($C$38,B191),EDATE($C$38,B191)+VLOOKUP(EDATE($C$38,B191),Feriados!$A$2:$B$17,2,FALSE)))</f>
        <v/>
      </c>
      <c r="G192" s="6" t="str">
        <f t="shared" si="55"/>
        <v/>
      </c>
      <c r="H192" s="6" t="str">
        <f t="shared" si="56"/>
        <v/>
      </c>
      <c r="I192" s="8" t="str">
        <f t="shared" si="57"/>
        <v/>
      </c>
      <c r="J192" s="8" t="str">
        <f t="shared" si="58"/>
        <v/>
      </c>
      <c r="K192" s="9" t="str">
        <f t="shared" si="43"/>
        <v/>
      </c>
      <c r="L192" s="9" t="str">
        <f t="shared" si="59"/>
        <v/>
      </c>
      <c r="M192" s="10" t="str">
        <f t="shared" si="44"/>
        <v/>
      </c>
      <c r="N192" s="6" t="str">
        <f t="shared" si="45"/>
        <v/>
      </c>
      <c r="O192" s="9" t="str">
        <f t="shared" si="46"/>
        <v/>
      </c>
      <c r="P192" s="9" t="str">
        <f t="shared" si="47"/>
        <v/>
      </c>
      <c r="Q192" s="9" t="str">
        <f t="shared" si="48"/>
        <v/>
      </c>
      <c r="R192" s="9" t="str">
        <f t="shared" ca="1" si="49"/>
        <v/>
      </c>
      <c r="T192" s="6" t="str">
        <f t="shared" si="50"/>
        <v/>
      </c>
      <c r="U192" s="6" t="str">
        <f t="shared" si="51"/>
        <v/>
      </c>
      <c r="V192" s="10" t="str">
        <f t="shared" si="52"/>
        <v/>
      </c>
      <c r="W192" s="8" t="str">
        <f t="shared" si="53"/>
        <v/>
      </c>
      <c r="X192" s="9">
        <f t="shared" si="60"/>
        <v>0</v>
      </c>
      <c r="Y192" s="9">
        <f t="shared" si="61"/>
        <v>0</v>
      </c>
    </row>
    <row r="193" spans="2:25" x14ac:dyDescent="0.3">
      <c r="B193" s="6">
        <v>156</v>
      </c>
      <c r="C193" s="79" t="str">
        <f t="shared" si="62"/>
        <v/>
      </c>
      <c r="D193" s="6" t="str">
        <f t="shared" si="42"/>
        <v/>
      </c>
      <c r="E193" s="79" t="str">
        <f t="shared" si="54"/>
        <v/>
      </c>
      <c r="F193" s="79" t="str">
        <f>IF(B192&gt;$C$18,"",IF(COUNTIF(Feriados!$A$2:$B$17,EDATE($C$38,B192))=0,EDATE($C$38,B192),EDATE($C$38,B192)+VLOOKUP(EDATE($C$38,B192),Feriados!$A$2:$B$17,2,FALSE)))</f>
        <v/>
      </c>
      <c r="G193" s="6" t="str">
        <f t="shared" si="55"/>
        <v/>
      </c>
      <c r="H193" s="6" t="str">
        <f t="shared" si="56"/>
        <v/>
      </c>
      <c r="I193" s="8" t="str">
        <f t="shared" si="57"/>
        <v/>
      </c>
      <c r="J193" s="8" t="str">
        <f t="shared" si="58"/>
        <v/>
      </c>
      <c r="K193" s="9" t="str">
        <f t="shared" si="43"/>
        <v/>
      </c>
      <c r="L193" s="9" t="str">
        <f t="shared" si="59"/>
        <v/>
      </c>
      <c r="M193" s="10" t="str">
        <f t="shared" si="44"/>
        <v/>
      </c>
      <c r="N193" s="6" t="str">
        <f t="shared" si="45"/>
        <v/>
      </c>
      <c r="O193" s="9" t="str">
        <f t="shared" si="46"/>
        <v/>
      </c>
      <c r="P193" s="9" t="str">
        <f t="shared" si="47"/>
        <v/>
      </c>
      <c r="Q193" s="9" t="str">
        <f t="shared" si="48"/>
        <v/>
      </c>
      <c r="R193" s="9" t="str">
        <f t="shared" ca="1" si="49"/>
        <v/>
      </c>
      <c r="T193" s="6" t="str">
        <f t="shared" si="50"/>
        <v/>
      </c>
      <c r="U193" s="6" t="str">
        <f t="shared" si="51"/>
        <v/>
      </c>
      <c r="V193" s="10" t="str">
        <f t="shared" si="52"/>
        <v/>
      </c>
      <c r="W193" s="8" t="str">
        <f t="shared" si="53"/>
        <v/>
      </c>
      <c r="X193" s="9">
        <f t="shared" si="60"/>
        <v>0</v>
      </c>
      <c r="Y193" s="9">
        <f t="shared" si="61"/>
        <v>0</v>
      </c>
    </row>
    <row r="194" spans="2:25" x14ac:dyDescent="0.3">
      <c r="B194" s="6">
        <v>157</v>
      </c>
      <c r="C194" s="79" t="str">
        <f t="shared" si="62"/>
        <v/>
      </c>
      <c r="D194" s="6" t="str">
        <f t="shared" si="42"/>
        <v/>
      </c>
      <c r="E194" s="79" t="str">
        <f t="shared" si="54"/>
        <v/>
      </c>
      <c r="F194" s="79" t="str">
        <f>IF(B193&gt;$C$18,"",IF(COUNTIF(Feriados!$A$2:$B$17,EDATE($C$38,B193))=0,EDATE($C$38,B193),EDATE($C$38,B193)+VLOOKUP(EDATE($C$38,B193),Feriados!$A$2:$B$17,2,FALSE)))</f>
        <v/>
      </c>
      <c r="G194" s="6" t="str">
        <f t="shared" si="55"/>
        <v/>
      </c>
      <c r="H194" s="6" t="str">
        <f t="shared" si="56"/>
        <v/>
      </c>
      <c r="I194" s="8" t="str">
        <f t="shared" si="57"/>
        <v/>
      </c>
      <c r="J194" s="8" t="str">
        <f t="shared" si="58"/>
        <v/>
      </c>
      <c r="K194" s="9" t="str">
        <f t="shared" si="43"/>
        <v/>
      </c>
      <c r="L194" s="9" t="str">
        <f t="shared" si="59"/>
        <v/>
      </c>
      <c r="M194" s="10" t="str">
        <f t="shared" si="44"/>
        <v/>
      </c>
      <c r="N194" s="6" t="str">
        <f t="shared" si="45"/>
        <v/>
      </c>
      <c r="O194" s="9" t="str">
        <f t="shared" si="46"/>
        <v/>
      </c>
      <c r="P194" s="9" t="str">
        <f t="shared" si="47"/>
        <v/>
      </c>
      <c r="Q194" s="9" t="str">
        <f t="shared" si="48"/>
        <v/>
      </c>
      <c r="R194" s="9" t="str">
        <f t="shared" ca="1" si="49"/>
        <v/>
      </c>
      <c r="T194" s="6" t="str">
        <f t="shared" si="50"/>
        <v/>
      </c>
      <c r="U194" s="6" t="str">
        <f t="shared" si="51"/>
        <v/>
      </c>
      <c r="V194" s="10" t="str">
        <f t="shared" si="52"/>
        <v/>
      </c>
      <c r="W194" s="8" t="str">
        <f t="shared" si="53"/>
        <v/>
      </c>
      <c r="X194" s="9">
        <f t="shared" si="60"/>
        <v>0</v>
      </c>
      <c r="Y194" s="9">
        <f t="shared" si="61"/>
        <v>0</v>
      </c>
    </row>
    <row r="195" spans="2:25" x14ac:dyDescent="0.3">
      <c r="B195" s="6">
        <v>158</v>
      </c>
      <c r="C195" s="79" t="str">
        <f t="shared" si="62"/>
        <v/>
      </c>
      <c r="D195" s="6" t="str">
        <f t="shared" si="42"/>
        <v/>
      </c>
      <c r="E195" s="79" t="str">
        <f t="shared" si="54"/>
        <v/>
      </c>
      <c r="F195" s="79" t="str">
        <f>IF(B194&gt;$C$18,"",IF(COUNTIF(Feriados!$A$2:$B$17,EDATE($C$38,B194))=0,EDATE($C$38,B194),EDATE($C$38,B194)+VLOOKUP(EDATE($C$38,B194),Feriados!$A$2:$B$17,2,FALSE)))</f>
        <v/>
      </c>
      <c r="G195" s="6" t="str">
        <f t="shared" si="55"/>
        <v/>
      </c>
      <c r="H195" s="6" t="str">
        <f t="shared" si="56"/>
        <v/>
      </c>
      <c r="I195" s="8" t="str">
        <f t="shared" si="57"/>
        <v/>
      </c>
      <c r="J195" s="8" t="str">
        <f t="shared" si="58"/>
        <v/>
      </c>
      <c r="K195" s="9" t="str">
        <f t="shared" si="43"/>
        <v/>
      </c>
      <c r="L195" s="9" t="str">
        <f t="shared" si="59"/>
        <v/>
      </c>
      <c r="M195" s="10" t="str">
        <f t="shared" si="44"/>
        <v/>
      </c>
      <c r="N195" s="6" t="str">
        <f t="shared" si="45"/>
        <v/>
      </c>
      <c r="O195" s="9" t="str">
        <f t="shared" si="46"/>
        <v/>
      </c>
      <c r="P195" s="9" t="str">
        <f t="shared" si="47"/>
        <v/>
      </c>
      <c r="Q195" s="9" t="str">
        <f t="shared" si="48"/>
        <v/>
      </c>
      <c r="R195" s="9" t="str">
        <f t="shared" ca="1" si="49"/>
        <v/>
      </c>
      <c r="T195" s="6" t="str">
        <f t="shared" si="50"/>
        <v/>
      </c>
      <c r="U195" s="6" t="str">
        <f t="shared" si="51"/>
        <v/>
      </c>
      <c r="V195" s="10" t="str">
        <f t="shared" si="52"/>
        <v/>
      </c>
      <c r="W195" s="8" t="str">
        <f t="shared" si="53"/>
        <v/>
      </c>
      <c r="X195" s="9">
        <f t="shared" si="60"/>
        <v>0</v>
      </c>
      <c r="Y195" s="9">
        <f t="shared" si="61"/>
        <v>0</v>
      </c>
    </row>
    <row r="196" spans="2:25" x14ac:dyDescent="0.3">
      <c r="B196" s="6">
        <v>159</v>
      </c>
      <c r="C196" s="79" t="str">
        <f t="shared" si="62"/>
        <v/>
      </c>
      <c r="D196" s="6" t="str">
        <f t="shared" si="42"/>
        <v/>
      </c>
      <c r="E196" s="79" t="str">
        <f t="shared" si="54"/>
        <v/>
      </c>
      <c r="F196" s="79" t="str">
        <f>IF(B195&gt;$C$18,"",IF(COUNTIF(Feriados!$A$2:$B$17,EDATE($C$38,B195))=0,EDATE($C$38,B195),EDATE($C$38,B195)+VLOOKUP(EDATE($C$38,B195),Feriados!$A$2:$B$17,2,FALSE)))</f>
        <v/>
      </c>
      <c r="G196" s="6" t="str">
        <f t="shared" si="55"/>
        <v/>
      </c>
      <c r="H196" s="6" t="str">
        <f t="shared" si="56"/>
        <v/>
      </c>
      <c r="I196" s="8" t="str">
        <f t="shared" si="57"/>
        <v/>
      </c>
      <c r="J196" s="8" t="str">
        <f t="shared" si="58"/>
        <v/>
      </c>
      <c r="K196" s="9" t="str">
        <f t="shared" si="43"/>
        <v/>
      </c>
      <c r="L196" s="9" t="str">
        <f t="shared" si="59"/>
        <v/>
      </c>
      <c r="M196" s="10" t="str">
        <f t="shared" si="44"/>
        <v/>
      </c>
      <c r="N196" s="6" t="str">
        <f t="shared" si="45"/>
        <v/>
      </c>
      <c r="O196" s="9" t="str">
        <f t="shared" si="46"/>
        <v/>
      </c>
      <c r="P196" s="9" t="str">
        <f t="shared" si="47"/>
        <v/>
      </c>
      <c r="Q196" s="9" t="str">
        <f t="shared" si="48"/>
        <v/>
      </c>
      <c r="R196" s="9" t="str">
        <f t="shared" ca="1" si="49"/>
        <v/>
      </c>
      <c r="T196" s="6" t="str">
        <f t="shared" si="50"/>
        <v/>
      </c>
      <c r="U196" s="6" t="str">
        <f t="shared" si="51"/>
        <v/>
      </c>
      <c r="V196" s="10" t="str">
        <f t="shared" si="52"/>
        <v/>
      </c>
      <c r="W196" s="8" t="str">
        <f t="shared" si="53"/>
        <v/>
      </c>
      <c r="X196" s="9">
        <f t="shared" si="60"/>
        <v>0</v>
      </c>
      <c r="Y196" s="9">
        <f t="shared" si="61"/>
        <v>0</v>
      </c>
    </row>
    <row r="197" spans="2:25" x14ac:dyDescent="0.3">
      <c r="B197" s="6">
        <v>160</v>
      </c>
      <c r="C197" s="79" t="str">
        <f t="shared" si="62"/>
        <v/>
      </c>
      <c r="D197" s="6" t="str">
        <f t="shared" si="42"/>
        <v/>
      </c>
      <c r="E197" s="79" t="str">
        <f t="shared" si="54"/>
        <v/>
      </c>
      <c r="F197" s="79" t="str">
        <f>IF(B196&gt;$C$18,"",IF(COUNTIF(Feriados!$A$2:$B$17,EDATE($C$38,B196))=0,EDATE($C$38,B196),EDATE($C$38,B196)+VLOOKUP(EDATE($C$38,B196),Feriados!$A$2:$B$17,2,FALSE)))</f>
        <v/>
      </c>
      <c r="G197" s="6" t="str">
        <f t="shared" si="55"/>
        <v/>
      </c>
      <c r="H197" s="6" t="str">
        <f t="shared" si="56"/>
        <v/>
      </c>
      <c r="I197" s="8" t="str">
        <f t="shared" si="57"/>
        <v/>
      </c>
      <c r="J197" s="8" t="str">
        <f t="shared" si="58"/>
        <v/>
      </c>
      <c r="K197" s="9" t="str">
        <f t="shared" si="43"/>
        <v/>
      </c>
      <c r="L197" s="9" t="str">
        <f t="shared" si="59"/>
        <v/>
      </c>
      <c r="M197" s="10" t="str">
        <f t="shared" si="44"/>
        <v/>
      </c>
      <c r="N197" s="6" t="str">
        <f t="shared" si="45"/>
        <v/>
      </c>
      <c r="O197" s="9" t="str">
        <f t="shared" si="46"/>
        <v/>
      </c>
      <c r="P197" s="9" t="str">
        <f t="shared" si="47"/>
        <v/>
      </c>
      <c r="Q197" s="9" t="str">
        <f t="shared" si="48"/>
        <v/>
      </c>
      <c r="R197" s="9" t="str">
        <f t="shared" ca="1" si="49"/>
        <v/>
      </c>
      <c r="T197" s="6" t="str">
        <f t="shared" si="50"/>
        <v/>
      </c>
      <c r="U197" s="6" t="str">
        <f t="shared" si="51"/>
        <v/>
      </c>
      <c r="V197" s="10" t="str">
        <f t="shared" si="52"/>
        <v/>
      </c>
      <c r="W197" s="8" t="str">
        <f t="shared" si="53"/>
        <v/>
      </c>
      <c r="X197" s="9">
        <f t="shared" si="60"/>
        <v>0</v>
      </c>
      <c r="Y197" s="9">
        <f t="shared" si="61"/>
        <v>0</v>
      </c>
    </row>
    <row r="198" spans="2:25" x14ac:dyDescent="0.3">
      <c r="B198" s="6">
        <v>161</v>
      </c>
      <c r="C198" s="79" t="str">
        <f t="shared" si="62"/>
        <v/>
      </c>
      <c r="D198" s="6" t="str">
        <f t="shared" si="42"/>
        <v/>
      </c>
      <c r="E198" s="79" t="str">
        <f t="shared" si="54"/>
        <v/>
      </c>
      <c r="F198" s="79" t="str">
        <f>IF(B197&gt;$C$18,"",IF(COUNTIF(Feriados!$A$2:$B$17,EDATE($C$38,B197))=0,EDATE($C$38,B197),EDATE($C$38,B197)+VLOOKUP(EDATE($C$38,B197),Feriados!$A$2:$B$17,2,FALSE)))</f>
        <v/>
      </c>
      <c r="G198" s="6" t="str">
        <f t="shared" si="55"/>
        <v/>
      </c>
      <c r="H198" s="6" t="str">
        <f t="shared" si="56"/>
        <v/>
      </c>
      <c r="I198" s="8" t="str">
        <f t="shared" si="57"/>
        <v/>
      </c>
      <c r="J198" s="8" t="str">
        <f t="shared" si="58"/>
        <v/>
      </c>
      <c r="K198" s="9" t="str">
        <f t="shared" si="43"/>
        <v/>
      </c>
      <c r="L198" s="9" t="str">
        <f t="shared" si="59"/>
        <v/>
      </c>
      <c r="M198" s="10" t="str">
        <f t="shared" si="44"/>
        <v/>
      </c>
      <c r="N198" s="6" t="str">
        <f t="shared" si="45"/>
        <v/>
      </c>
      <c r="O198" s="9" t="str">
        <f t="shared" si="46"/>
        <v/>
      </c>
      <c r="P198" s="9" t="str">
        <f t="shared" si="47"/>
        <v/>
      </c>
      <c r="Q198" s="9" t="str">
        <f t="shared" si="48"/>
        <v/>
      </c>
      <c r="R198" s="9" t="str">
        <f t="shared" ca="1" si="49"/>
        <v/>
      </c>
      <c r="T198" s="6" t="str">
        <f t="shared" si="50"/>
        <v/>
      </c>
      <c r="U198" s="6" t="str">
        <f t="shared" si="51"/>
        <v/>
      </c>
      <c r="V198" s="10" t="str">
        <f t="shared" si="52"/>
        <v/>
      </c>
      <c r="W198" s="8" t="str">
        <f t="shared" si="53"/>
        <v/>
      </c>
      <c r="X198" s="9">
        <f t="shared" si="60"/>
        <v>0</v>
      </c>
      <c r="Y198" s="9">
        <f t="shared" si="61"/>
        <v>0</v>
      </c>
    </row>
    <row r="199" spans="2:25" x14ac:dyDescent="0.3">
      <c r="B199" s="6">
        <v>162</v>
      </c>
      <c r="C199" s="79" t="str">
        <f t="shared" si="62"/>
        <v/>
      </c>
      <c r="D199" s="6" t="str">
        <f t="shared" si="42"/>
        <v/>
      </c>
      <c r="E199" s="79" t="str">
        <f t="shared" si="54"/>
        <v/>
      </c>
      <c r="F199" s="79" t="str">
        <f>IF(B198&gt;$C$18,"",IF(COUNTIF(Feriados!$A$2:$B$17,EDATE($C$38,B198))=0,EDATE($C$38,B198),EDATE($C$38,B198)+VLOOKUP(EDATE($C$38,B198),Feriados!$A$2:$B$17,2,FALSE)))</f>
        <v/>
      </c>
      <c r="G199" s="6" t="str">
        <f t="shared" si="55"/>
        <v/>
      </c>
      <c r="H199" s="6" t="str">
        <f t="shared" si="56"/>
        <v/>
      </c>
      <c r="I199" s="8" t="str">
        <f t="shared" si="57"/>
        <v/>
      </c>
      <c r="J199" s="8" t="str">
        <f t="shared" si="58"/>
        <v/>
      </c>
      <c r="K199" s="9" t="str">
        <f t="shared" si="43"/>
        <v/>
      </c>
      <c r="L199" s="9" t="str">
        <f t="shared" si="59"/>
        <v/>
      </c>
      <c r="M199" s="10" t="str">
        <f t="shared" si="44"/>
        <v/>
      </c>
      <c r="N199" s="6" t="str">
        <f t="shared" si="45"/>
        <v/>
      </c>
      <c r="O199" s="9" t="str">
        <f t="shared" si="46"/>
        <v/>
      </c>
      <c r="P199" s="9" t="str">
        <f t="shared" si="47"/>
        <v/>
      </c>
      <c r="Q199" s="9" t="str">
        <f t="shared" si="48"/>
        <v/>
      </c>
      <c r="R199" s="9" t="str">
        <f t="shared" ca="1" si="49"/>
        <v/>
      </c>
      <c r="T199" s="6" t="str">
        <f t="shared" si="50"/>
        <v/>
      </c>
      <c r="U199" s="6" t="str">
        <f t="shared" si="51"/>
        <v/>
      </c>
      <c r="V199" s="10" t="str">
        <f t="shared" si="52"/>
        <v/>
      </c>
      <c r="W199" s="8" t="str">
        <f t="shared" si="53"/>
        <v/>
      </c>
      <c r="X199" s="9">
        <f t="shared" si="60"/>
        <v>0</v>
      </c>
      <c r="Y199" s="9">
        <f t="shared" si="61"/>
        <v>0</v>
      </c>
    </row>
    <row r="200" spans="2:25" x14ac:dyDescent="0.3">
      <c r="B200" s="6">
        <v>163</v>
      </c>
      <c r="C200" s="79" t="str">
        <f t="shared" si="62"/>
        <v/>
      </c>
      <c r="D200" s="6" t="str">
        <f t="shared" si="42"/>
        <v/>
      </c>
      <c r="E200" s="79" t="str">
        <f t="shared" si="54"/>
        <v/>
      </c>
      <c r="F200" s="79" t="str">
        <f>IF(B199&gt;$C$18,"",IF(COUNTIF(Feriados!$A$2:$B$17,EDATE($C$38,B199))=0,EDATE($C$38,B199),EDATE($C$38,B199)+VLOOKUP(EDATE($C$38,B199),Feriados!$A$2:$B$17,2,FALSE)))</f>
        <v/>
      </c>
      <c r="G200" s="6" t="str">
        <f t="shared" si="55"/>
        <v/>
      </c>
      <c r="H200" s="6" t="str">
        <f t="shared" si="56"/>
        <v/>
      </c>
      <c r="I200" s="8" t="str">
        <f t="shared" si="57"/>
        <v/>
      </c>
      <c r="J200" s="8" t="str">
        <f t="shared" si="58"/>
        <v/>
      </c>
      <c r="K200" s="9" t="str">
        <f t="shared" si="43"/>
        <v/>
      </c>
      <c r="L200" s="9" t="str">
        <f t="shared" si="59"/>
        <v/>
      </c>
      <c r="M200" s="10" t="str">
        <f t="shared" si="44"/>
        <v/>
      </c>
      <c r="N200" s="6" t="str">
        <f t="shared" si="45"/>
        <v/>
      </c>
      <c r="O200" s="9" t="str">
        <f t="shared" si="46"/>
        <v/>
      </c>
      <c r="P200" s="9" t="str">
        <f t="shared" si="47"/>
        <v/>
      </c>
      <c r="Q200" s="9" t="str">
        <f t="shared" si="48"/>
        <v/>
      </c>
      <c r="R200" s="9" t="str">
        <f t="shared" ca="1" si="49"/>
        <v/>
      </c>
      <c r="T200" s="6" t="str">
        <f t="shared" si="50"/>
        <v/>
      </c>
      <c r="U200" s="6" t="str">
        <f t="shared" si="51"/>
        <v/>
      </c>
      <c r="V200" s="10" t="str">
        <f t="shared" si="52"/>
        <v/>
      </c>
      <c r="W200" s="8" t="str">
        <f t="shared" si="53"/>
        <v/>
      </c>
      <c r="X200" s="9">
        <f t="shared" si="60"/>
        <v>0</v>
      </c>
      <c r="Y200" s="9">
        <f t="shared" si="61"/>
        <v>0</v>
      </c>
    </row>
    <row r="201" spans="2:25" x14ac:dyDescent="0.3">
      <c r="B201" s="6">
        <v>164</v>
      </c>
      <c r="C201" s="79" t="str">
        <f t="shared" si="62"/>
        <v/>
      </c>
      <c r="D201" s="6" t="str">
        <f t="shared" si="42"/>
        <v/>
      </c>
      <c r="E201" s="79" t="str">
        <f t="shared" si="54"/>
        <v/>
      </c>
      <c r="F201" s="79" t="str">
        <f>IF(B200&gt;$C$18,"",IF(COUNTIF(Feriados!$A$2:$B$17,EDATE($C$38,B200))=0,EDATE($C$38,B200),EDATE($C$38,B200)+VLOOKUP(EDATE($C$38,B200),Feriados!$A$2:$B$17,2,FALSE)))</f>
        <v/>
      </c>
      <c r="G201" s="6" t="str">
        <f t="shared" si="55"/>
        <v/>
      </c>
      <c r="H201" s="6" t="str">
        <f t="shared" si="56"/>
        <v/>
      </c>
      <c r="I201" s="8" t="str">
        <f t="shared" si="57"/>
        <v/>
      </c>
      <c r="J201" s="8" t="str">
        <f t="shared" si="58"/>
        <v/>
      </c>
      <c r="K201" s="9" t="str">
        <f t="shared" si="43"/>
        <v/>
      </c>
      <c r="L201" s="9" t="str">
        <f t="shared" si="59"/>
        <v/>
      </c>
      <c r="M201" s="10" t="str">
        <f t="shared" si="44"/>
        <v/>
      </c>
      <c r="N201" s="6" t="str">
        <f t="shared" si="45"/>
        <v/>
      </c>
      <c r="O201" s="9" t="str">
        <f t="shared" si="46"/>
        <v/>
      </c>
      <c r="P201" s="9" t="str">
        <f t="shared" si="47"/>
        <v/>
      </c>
      <c r="Q201" s="9" t="str">
        <f t="shared" si="48"/>
        <v/>
      </c>
      <c r="R201" s="9" t="str">
        <f t="shared" ca="1" si="49"/>
        <v/>
      </c>
      <c r="T201" s="6" t="str">
        <f t="shared" si="50"/>
        <v/>
      </c>
      <c r="U201" s="6" t="str">
        <f t="shared" si="51"/>
        <v/>
      </c>
      <c r="V201" s="10" t="str">
        <f t="shared" si="52"/>
        <v/>
      </c>
      <c r="W201" s="8" t="str">
        <f t="shared" si="53"/>
        <v/>
      </c>
      <c r="X201" s="9">
        <f t="shared" si="60"/>
        <v>0</v>
      </c>
      <c r="Y201" s="9">
        <f t="shared" si="61"/>
        <v>0</v>
      </c>
    </row>
    <row r="202" spans="2:25" x14ac:dyDescent="0.3">
      <c r="B202" s="6">
        <v>165</v>
      </c>
      <c r="C202" s="79" t="str">
        <f t="shared" si="62"/>
        <v/>
      </c>
      <c r="D202" s="6" t="str">
        <f t="shared" si="42"/>
        <v/>
      </c>
      <c r="E202" s="79" t="str">
        <f t="shared" si="54"/>
        <v/>
      </c>
      <c r="F202" s="79" t="str">
        <f>IF(B201&gt;$C$18,"",IF(COUNTIF(Feriados!$A$2:$B$17,EDATE($C$38,B201))=0,EDATE($C$38,B201),EDATE($C$38,B201)+VLOOKUP(EDATE($C$38,B201),Feriados!$A$2:$B$17,2,FALSE)))</f>
        <v/>
      </c>
      <c r="G202" s="6" t="str">
        <f t="shared" si="55"/>
        <v/>
      </c>
      <c r="H202" s="6" t="str">
        <f t="shared" si="56"/>
        <v/>
      </c>
      <c r="I202" s="8" t="str">
        <f t="shared" si="57"/>
        <v/>
      </c>
      <c r="J202" s="8" t="str">
        <f t="shared" si="58"/>
        <v/>
      </c>
      <c r="K202" s="9" t="str">
        <f t="shared" si="43"/>
        <v/>
      </c>
      <c r="L202" s="9" t="str">
        <f t="shared" si="59"/>
        <v/>
      </c>
      <c r="M202" s="10" t="str">
        <f t="shared" si="44"/>
        <v/>
      </c>
      <c r="N202" s="6" t="str">
        <f t="shared" si="45"/>
        <v/>
      </c>
      <c r="O202" s="9" t="str">
        <f t="shared" si="46"/>
        <v/>
      </c>
      <c r="P202" s="9" t="str">
        <f t="shared" si="47"/>
        <v/>
      </c>
      <c r="Q202" s="9" t="str">
        <f t="shared" si="48"/>
        <v/>
      </c>
      <c r="R202" s="9" t="str">
        <f t="shared" ca="1" si="49"/>
        <v/>
      </c>
      <c r="T202" s="6" t="str">
        <f t="shared" si="50"/>
        <v/>
      </c>
      <c r="U202" s="6" t="str">
        <f t="shared" si="51"/>
        <v/>
      </c>
      <c r="V202" s="10" t="str">
        <f t="shared" si="52"/>
        <v/>
      </c>
      <c r="W202" s="8" t="str">
        <f t="shared" si="53"/>
        <v/>
      </c>
      <c r="X202" s="9">
        <f t="shared" si="60"/>
        <v>0</v>
      </c>
      <c r="Y202" s="9">
        <f t="shared" si="61"/>
        <v>0</v>
      </c>
    </row>
    <row r="203" spans="2:25" x14ac:dyDescent="0.3">
      <c r="B203" s="6">
        <v>166</v>
      </c>
      <c r="C203" s="79" t="str">
        <f t="shared" si="62"/>
        <v/>
      </c>
      <c r="D203" s="6" t="str">
        <f t="shared" si="42"/>
        <v/>
      </c>
      <c r="E203" s="79" t="str">
        <f t="shared" si="54"/>
        <v/>
      </c>
      <c r="F203" s="79" t="str">
        <f>IF(B202&gt;$C$18,"",IF(COUNTIF(Feriados!$A$2:$B$17,EDATE($C$38,B202))=0,EDATE($C$38,B202),EDATE($C$38,B202)+VLOOKUP(EDATE($C$38,B202),Feriados!$A$2:$B$17,2,FALSE)))</f>
        <v/>
      </c>
      <c r="G203" s="6" t="str">
        <f t="shared" si="55"/>
        <v/>
      </c>
      <c r="H203" s="6" t="str">
        <f t="shared" si="56"/>
        <v/>
      </c>
      <c r="I203" s="8" t="str">
        <f t="shared" si="57"/>
        <v/>
      </c>
      <c r="J203" s="8" t="str">
        <f t="shared" si="58"/>
        <v/>
      </c>
      <c r="K203" s="9" t="str">
        <f t="shared" si="43"/>
        <v/>
      </c>
      <c r="L203" s="9" t="str">
        <f t="shared" si="59"/>
        <v/>
      </c>
      <c r="M203" s="10" t="str">
        <f t="shared" si="44"/>
        <v/>
      </c>
      <c r="N203" s="6" t="str">
        <f t="shared" si="45"/>
        <v/>
      </c>
      <c r="O203" s="9" t="str">
        <f t="shared" si="46"/>
        <v/>
      </c>
      <c r="P203" s="9" t="str">
        <f t="shared" si="47"/>
        <v/>
      </c>
      <c r="Q203" s="9" t="str">
        <f t="shared" si="48"/>
        <v/>
      </c>
      <c r="R203" s="9" t="str">
        <f t="shared" ca="1" si="49"/>
        <v/>
      </c>
      <c r="T203" s="6" t="str">
        <f t="shared" si="50"/>
        <v/>
      </c>
      <c r="U203" s="6" t="str">
        <f t="shared" si="51"/>
        <v/>
      </c>
      <c r="V203" s="10" t="str">
        <f t="shared" si="52"/>
        <v/>
      </c>
      <c r="W203" s="8" t="str">
        <f t="shared" si="53"/>
        <v/>
      </c>
      <c r="X203" s="9">
        <f t="shared" si="60"/>
        <v>0</v>
      </c>
      <c r="Y203" s="9">
        <f t="shared" si="61"/>
        <v>0</v>
      </c>
    </row>
    <row r="204" spans="2:25" x14ac:dyDescent="0.3">
      <c r="B204" s="6">
        <v>167</v>
      </c>
      <c r="C204" s="79" t="str">
        <f t="shared" si="62"/>
        <v/>
      </c>
      <c r="D204" s="6" t="str">
        <f t="shared" si="42"/>
        <v/>
      </c>
      <c r="E204" s="79" t="str">
        <f t="shared" si="54"/>
        <v/>
      </c>
      <c r="F204" s="79" t="str">
        <f>IF(B203&gt;$C$18,"",IF(COUNTIF(Feriados!$A$2:$B$17,EDATE($C$38,B203))=0,EDATE($C$38,B203),EDATE($C$38,B203)+VLOOKUP(EDATE($C$38,B203),Feriados!$A$2:$B$17,2,FALSE)))</f>
        <v/>
      </c>
      <c r="G204" s="6" t="str">
        <f t="shared" si="55"/>
        <v/>
      </c>
      <c r="H204" s="6" t="str">
        <f t="shared" si="56"/>
        <v/>
      </c>
      <c r="I204" s="8" t="str">
        <f t="shared" si="57"/>
        <v/>
      </c>
      <c r="J204" s="8" t="str">
        <f t="shared" si="58"/>
        <v/>
      </c>
      <c r="K204" s="9" t="str">
        <f t="shared" si="43"/>
        <v/>
      </c>
      <c r="L204" s="9" t="str">
        <f t="shared" si="59"/>
        <v/>
      </c>
      <c r="M204" s="10" t="str">
        <f t="shared" si="44"/>
        <v/>
      </c>
      <c r="N204" s="6" t="str">
        <f t="shared" si="45"/>
        <v/>
      </c>
      <c r="O204" s="9" t="str">
        <f t="shared" si="46"/>
        <v/>
      </c>
      <c r="P204" s="9" t="str">
        <f t="shared" si="47"/>
        <v/>
      </c>
      <c r="Q204" s="9" t="str">
        <f t="shared" si="48"/>
        <v/>
      </c>
      <c r="R204" s="9" t="str">
        <f t="shared" ca="1" si="49"/>
        <v/>
      </c>
      <c r="T204" s="6" t="str">
        <f t="shared" si="50"/>
        <v/>
      </c>
      <c r="U204" s="6" t="str">
        <f t="shared" si="51"/>
        <v/>
      </c>
      <c r="V204" s="10" t="str">
        <f t="shared" si="52"/>
        <v/>
      </c>
      <c r="W204" s="8" t="str">
        <f t="shared" si="53"/>
        <v/>
      </c>
      <c r="X204" s="9">
        <f t="shared" si="60"/>
        <v>0</v>
      </c>
      <c r="Y204" s="9">
        <f t="shared" si="61"/>
        <v>0</v>
      </c>
    </row>
    <row r="205" spans="2:25" x14ac:dyDescent="0.3">
      <c r="B205" s="6">
        <v>168</v>
      </c>
      <c r="C205" s="79" t="str">
        <f t="shared" si="62"/>
        <v/>
      </c>
      <c r="D205" s="6" t="str">
        <f t="shared" si="42"/>
        <v/>
      </c>
      <c r="E205" s="79" t="str">
        <f t="shared" si="54"/>
        <v/>
      </c>
      <c r="F205" s="79" t="str">
        <f>IF(B204&gt;$C$18,"",IF(COUNTIF(Feriados!$A$2:$B$17,EDATE($C$38,B204))=0,EDATE($C$38,B204),EDATE($C$38,B204)+VLOOKUP(EDATE($C$38,B204),Feriados!$A$2:$B$17,2,FALSE)))</f>
        <v/>
      </c>
      <c r="G205" s="6" t="str">
        <f t="shared" si="55"/>
        <v/>
      </c>
      <c r="H205" s="6" t="str">
        <f t="shared" si="56"/>
        <v/>
      </c>
      <c r="I205" s="8" t="str">
        <f t="shared" si="57"/>
        <v/>
      </c>
      <c r="J205" s="8" t="str">
        <f t="shared" si="58"/>
        <v/>
      </c>
      <c r="K205" s="9" t="str">
        <f t="shared" si="43"/>
        <v/>
      </c>
      <c r="L205" s="9" t="str">
        <f t="shared" si="59"/>
        <v/>
      </c>
      <c r="M205" s="10" t="str">
        <f t="shared" si="44"/>
        <v/>
      </c>
      <c r="N205" s="6" t="str">
        <f t="shared" si="45"/>
        <v/>
      </c>
      <c r="O205" s="9" t="str">
        <f t="shared" si="46"/>
        <v/>
      </c>
      <c r="P205" s="9" t="str">
        <f t="shared" si="47"/>
        <v/>
      </c>
      <c r="Q205" s="9" t="str">
        <f t="shared" si="48"/>
        <v/>
      </c>
      <c r="R205" s="9" t="str">
        <f t="shared" ca="1" si="49"/>
        <v/>
      </c>
      <c r="T205" s="6" t="str">
        <f t="shared" si="50"/>
        <v/>
      </c>
      <c r="U205" s="6" t="str">
        <f t="shared" si="51"/>
        <v/>
      </c>
      <c r="V205" s="10" t="str">
        <f t="shared" si="52"/>
        <v/>
      </c>
      <c r="W205" s="8" t="str">
        <f t="shared" si="53"/>
        <v/>
      </c>
      <c r="X205" s="9">
        <f t="shared" si="60"/>
        <v>0</v>
      </c>
      <c r="Y205" s="9">
        <f t="shared" si="61"/>
        <v>0</v>
      </c>
    </row>
    <row r="206" spans="2:25" x14ac:dyDescent="0.3">
      <c r="B206" s="6">
        <v>169</v>
      </c>
      <c r="C206" s="79" t="str">
        <f t="shared" si="62"/>
        <v/>
      </c>
      <c r="D206" s="6" t="str">
        <f t="shared" si="42"/>
        <v/>
      </c>
      <c r="E206" s="79" t="str">
        <f t="shared" si="54"/>
        <v/>
      </c>
      <c r="F206" s="79" t="str">
        <f>IF(B205&gt;$C$18,"",IF(COUNTIF(Feriados!$A$2:$B$17,EDATE($C$38,B205))=0,EDATE($C$38,B205),EDATE($C$38,B205)+VLOOKUP(EDATE($C$38,B205),Feriados!$A$2:$B$17,2,FALSE)))</f>
        <v/>
      </c>
      <c r="G206" s="6" t="str">
        <f t="shared" si="55"/>
        <v/>
      </c>
      <c r="H206" s="6" t="str">
        <f t="shared" si="56"/>
        <v/>
      </c>
      <c r="I206" s="8" t="str">
        <f t="shared" si="57"/>
        <v/>
      </c>
      <c r="J206" s="8" t="str">
        <f t="shared" si="58"/>
        <v/>
      </c>
      <c r="K206" s="9" t="str">
        <f t="shared" si="43"/>
        <v/>
      </c>
      <c r="L206" s="9" t="str">
        <f t="shared" si="59"/>
        <v/>
      </c>
      <c r="M206" s="10" t="str">
        <f t="shared" si="44"/>
        <v/>
      </c>
      <c r="N206" s="6" t="str">
        <f t="shared" si="45"/>
        <v/>
      </c>
      <c r="O206" s="9" t="str">
        <f t="shared" si="46"/>
        <v/>
      </c>
      <c r="P206" s="9" t="str">
        <f t="shared" si="47"/>
        <v/>
      </c>
      <c r="Q206" s="9" t="str">
        <f t="shared" si="48"/>
        <v/>
      </c>
      <c r="R206" s="9" t="str">
        <f t="shared" ca="1" si="49"/>
        <v/>
      </c>
      <c r="T206" s="6" t="str">
        <f t="shared" si="50"/>
        <v/>
      </c>
      <c r="U206" s="6" t="str">
        <f t="shared" si="51"/>
        <v/>
      </c>
      <c r="V206" s="10" t="str">
        <f t="shared" si="52"/>
        <v/>
      </c>
      <c r="W206" s="8" t="str">
        <f t="shared" si="53"/>
        <v/>
      </c>
      <c r="X206" s="9">
        <f t="shared" si="60"/>
        <v>0</v>
      </c>
      <c r="Y206" s="9">
        <f t="shared" si="61"/>
        <v>0</v>
      </c>
    </row>
    <row r="207" spans="2:25" x14ac:dyDescent="0.3">
      <c r="B207" s="6">
        <v>170</v>
      </c>
      <c r="C207" s="79" t="str">
        <f t="shared" si="62"/>
        <v/>
      </c>
      <c r="D207" s="6" t="str">
        <f t="shared" si="42"/>
        <v/>
      </c>
      <c r="E207" s="79" t="str">
        <f t="shared" si="54"/>
        <v/>
      </c>
      <c r="F207" s="79" t="str">
        <f>IF(B206&gt;$C$18,"",IF(COUNTIF(Feriados!$A$2:$B$17,EDATE($C$38,B206))=0,EDATE($C$38,B206),EDATE($C$38,B206)+VLOOKUP(EDATE($C$38,B206),Feriados!$A$2:$B$17,2,FALSE)))</f>
        <v/>
      </c>
      <c r="G207" s="6" t="str">
        <f t="shared" si="55"/>
        <v/>
      </c>
      <c r="H207" s="6" t="str">
        <f t="shared" si="56"/>
        <v/>
      </c>
      <c r="I207" s="8" t="str">
        <f t="shared" si="57"/>
        <v/>
      </c>
      <c r="J207" s="8" t="str">
        <f t="shared" si="58"/>
        <v/>
      </c>
      <c r="K207" s="9" t="str">
        <f t="shared" si="43"/>
        <v/>
      </c>
      <c r="L207" s="9" t="str">
        <f t="shared" si="59"/>
        <v/>
      </c>
      <c r="M207" s="10" t="str">
        <f t="shared" si="44"/>
        <v/>
      </c>
      <c r="N207" s="6" t="str">
        <f t="shared" si="45"/>
        <v/>
      </c>
      <c r="O207" s="9" t="str">
        <f t="shared" si="46"/>
        <v/>
      </c>
      <c r="P207" s="9" t="str">
        <f t="shared" si="47"/>
        <v/>
      </c>
      <c r="Q207" s="9" t="str">
        <f t="shared" si="48"/>
        <v/>
      </c>
      <c r="R207" s="9" t="str">
        <f t="shared" ca="1" si="49"/>
        <v/>
      </c>
      <c r="T207" s="6" t="str">
        <f t="shared" si="50"/>
        <v/>
      </c>
      <c r="U207" s="6" t="str">
        <f t="shared" si="51"/>
        <v/>
      </c>
      <c r="V207" s="10" t="str">
        <f t="shared" si="52"/>
        <v/>
      </c>
      <c r="W207" s="8" t="str">
        <f t="shared" si="53"/>
        <v/>
      </c>
      <c r="X207" s="9">
        <f t="shared" si="60"/>
        <v>0</v>
      </c>
      <c r="Y207" s="9">
        <f t="shared" si="61"/>
        <v>0</v>
      </c>
    </row>
    <row r="208" spans="2:25" x14ac:dyDescent="0.3">
      <c r="B208" s="6">
        <v>171</v>
      </c>
      <c r="C208" s="79" t="str">
        <f t="shared" si="62"/>
        <v/>
      </c>
      <c r="D208" s="6" t="str">
        <f t="shared" si="42"/>
        <v/>
      </c>
      <c r="E208" s="79" t="str">
        <f t="shared" si="54"/>
        <v/>
      </c>
      <c r="F208" s="79" t="str">
        <f>IF(B207&gt;$C$18,"",IF(COUNTIF(Feriados!$A$2:$B$17,EDATE($C$38,B207))=0,EDATE($C$38,B207),EDATE($C$38,B207)+VLOOKUP(EDATE($C$38,B207),Feriados!$A$2:$B$17,2,FALSE)))</f>
        <v/>
      </c>
      <c r="G208" s="6" t="str">
        <f t="shared" si="55"/>
        <v/>
      </c>
      <c r="H208" s="6" t="str">
        <f t="shared" si="56"/>
        <v/>
      </c>
      <c r="I208" s="8" t="str">
        <f t="shared" si="57"/>
        <v/>
      </c>
      <c r="J208" s="8" t="str">
        <f t="shared" si="58"/>
        <v/>
      </c>
      <c r="K208" s="9" t="str">
        <f t="shared" si="43"/>
        <v/>
      </c>
      <c r="L208" s="9" t="str">
        <f t="shared" si="59"/>
        <v/>
      </c>
      <c r="M208" s="10" t="str">
        <f t="shared" si="44"/>
        <v/>
      </c>
      <c r="N208" s="6" t="str">
        <f t="shared" si="45"/>
        <v/>
      </c>
      <c r="O208" s="9" t="str">
        <f t="shared" si="46"/>
        <v/>
      </c>
      <c r="P208" s="9" t="str">
        <f t="shared" si="47"/>
        <v/>
      </c>
      <c r="Q208" s="9" t="str">
        <f t="shared" si="48"/>
        <v/>
      </c>
      <c r="R208" s="9" t="str">
        <f t="shared" ca="1" si="49"/>
        <v/>
      </c>
      <c r="T208" s="6" t="str">
        <f t="shared" si="50"/>
        <v/>
      </c>
      <c r="U208" s="6" t="str">
        <f t="shared" si="51"/>
        <v/>
      </c>
      <c r="V208" s="10" t="str">
        <f t="shared" si="52"/>
        <v/>
      </c>
      <c r="W208" s="8" t="str">
        <f t="shared" si="53"/>
        <v/>
      </c>
      <c r="X208" s="9">
        <f t="shared" si="60"/>
        <v>0</v>
      </c>
      <c r="Y208" s="9">
        <f t="shared" si="61"/>
        <v>0</v>
      </c>
    </row>
    <row r="209" spans="2:25" x14ac:dyDescent="0.3">
      <c r="B209" s="6">
        <v>172</v>
      </c>
      <c r="C209" s="79" t="str">
        <f t="shared" si="62"/>
        <v/>
      </c>
      <c r="D209" s="6" t="str">
        <f t="shared" si="42"/>
        <v/>
      </c>
      <c r="E209" s="79" t="str">
        <f t="shared" si="54"/>
        <v/>
      </c>
      <c r="F209" s="79" t="str">
        <f>IF(B208&gt;$C$18,"",IF(COUNTIF(Feriados!$A$2:$B$17,EDATE($C$38,B208))=0,EDATE($C$38,B208),EDATE($C$38,B208)+VLOOKUP(EDATE($C$38,B208),Feriados!$A$2:$B$17,2,FALSE)))</f>
        <v/>
      </c>
      <c r="G209" s="6" t="str">
        <f t="shared" si="55"/>
        <v/>
      </c>
      <c r="H209" s="6" t="str">
        <f t="shared" si="56"/>
        <v/>
      </c>
      <c r="I209" s="8" t="str">
        <f t="shared" si="57"/>
        <v/>
      </c>
      <c r="J209" s="8" t="str">
        <f t="shared" si="58"/>
        <v/>
      </c>
      <c r="K209" s="9" t="str">
        <f t="shared" si="43"/>
        <v/>
      </c>
      <c r="L209" s="9" t="str">
        <f t="shared" si="59"/>
        <v/>
      </c>
      <c r="M209" s="10" t="str">
        <f t="shared" si="44"/>
        <v/>
      </c>
      <c r="N209" s="6" t="str">
        <f t="shared" si="45"/>
        <v/>
      </c>
      <c r="O209" s="9" t="str">
        <f t="shared" si="46"/>
        <v/>
      </c>
      <c r="P209" s="9" t="str">
        <f t="shared" si="47"/>
        <v/>
      </c>
      <c r="Q209" s="9" t="str">
        <f t="shared" si="48"/>
        <v/>
      </c>
      <c r="R209" s="9" t="str">
        <f t="shared" ca="1" si="49"/>
        <v/>
      </c>
      <c r="T209" s="6" t="str">
        <f t="shared" si="50"/>
        <v/>
      </c>
      <c r="U209" s="6" t="str">
        <f t="shared" si="51"/>
        <v/>
      </c>
      <c r="V209" s="10" t="str">
        <f t="shared" si="52"/>
        <v/>
      </c>
      <c r="W209" s="8" t="str">
        <f t="shared" si="53"/>
        <v/>
      </c>
      <c r="X209" s="9">
        <f t="shared" si="60"/>
        <v>0</v>
      </c>
      <c r="Y209" s="9">
        <f t="shared" si="61"/>
        <v>0</v>
      </c>
    </row>
    <row r="210" spans="2:25" x14ac:dyDescent="0.3">
      <c r="B210" s="6">
        <v>173</v>
      </c>
      <c r="C210" s="79" t="str">
        <f t="shared" si="62"/>
        <v/>
      </c>
      <c r="D210" s="6" t="str">
        <f t="shared" si="42"/>
        <v/>
      </c>
      <c r="E210" s="79" t="str">
        <f t="shared" si="54"/>
        <v/>
      </c>
      <c r="F210" s="79" t="str">
        <f>IF(B209&gt;$C$18,"",IF(COUNTIF(Feriados!$A$2:$B$17,EDATE($C$38,B209))=0,EDATE($C$38,B209),EDATE($C$38,B209)+VLOOKUP(EDATE($C$38,B209),Feriados!$A$2:$B$17,2,FALSE)))</f>
        <v/>
      </c>
      <c r="G210" s="6" t="str">
        <f t="shared" si="55"/>
        <v/>
      </c>
      <c r="H210" s="6" t="str">
        <f t="shared" si="56"/>
        <v/>
      </c>
      <c r="I210" s="8" t="str">
        <f t="shared" si="57"/>
        <v/>
      </c>
      <c r="J210" s="8" t="str">
        <f t="shared" si="58"/>
        <v/>
      </c>
      <c r="K210" s="9" t="str">
        <f t="shared" si="43"/>
        <v/>
      </c>
      <c r="L210" s="9" t="str">
        <f t="shared" si="59"/>
        <v/>
      </c>
      <c r="M210" s="10" t="str">
        <f t="shared" si="44"/>
        <v/>
      </c>
      <c r="N210" s="6" t="str">
        <f t="shared" si="45"/>
        <v/>
      </c>
      <c r="O210" s="9" t="str">
        <f t="shared" si="46"/>
        <v/>
      </c>
      <c r="P210" s="9" t="str">
        <f t="shared" si="47"/>
        <v/>
      </c>
      <c r="Q210" s="9" t="str">
        <f t="shared" si="48"/>
        <v/>
      </c>
      <c r="R210" s="9" t="str">
        <f t="shared" ca="1" si="49"/>
        <v/>
      </c>
      <c r="T210" s="6" t="str">
        <f t="shared" si="50"/>
        <v/>
      </c>
      <c r="U210" s="6" t="str">
        <f t="shared" si="51"/>
        <v/>
      </c>
      <c r="V210" s="10" t="str">
        <f t="shared" si="52"/>
        <v/>
      </c>
      <c r="W210" s="8" t="str">
        <f t="shared" si="53"/>
        <v/>
      </c>
      <c r="X210" s="9">
        <f t="shared" si="60"/>
        <v>0</v>
      </c>
      <c r="Y210" s="9">
        <f t="shared" si="61"/>
        <v>0</v>
      </c>
    </row>
    <row r="211" spans="2:25" x14ac:dyDescent="0.3">
      <c r="B211" s="6">
        <v>174</v>
      </c>
      <c r="C211" s="79" t="str">
        <f t="shared" si="62"/>
        <v/>
      </c>
      <c r="D211" s="6" t="str">
        <f t="shared" si="42"/>
        <v/>
      </c>
      <c r="E211" s="79" t="str">
        <f t="shared" si="54"/>
        <v/>
      </c>
      <c r="F211" s="79" t="str">
        <f>IF(B210&gt;$C$18,"",IF(COUNTIF(Feriados!$A$2:$B$17,EDATE($C$38,B210))=0,EDATE($C$38,B210),EDATE($C$38,B210)+VLOOKUP(EDATE($C$38,B210),Feriados!$A$2:$B$17,2,FALSE)))</f>
        <v/>
      </c>
      <c r="G211" s="6" t="str">
        <f t="shared" si="55"/>
        <v/>
      </c>
      <c r="H211" s="6" t="str">
        <f t="shared" si="56"/>
        <v/>
      </c>
      <c r="I211" s="8" t="str">
        <f t="shared" si="57"/>
        <v/>
      </c>
      <c r="J211" s="8" t="str">
        <f t="shared" si="58"/>
        <v/>
      </c>
      <c r="K211" s="9" t="str">
        <f t="shared" si="43"/>
        <v/>
      </c>
      <c r="L211" s="9" t="str">
        <f t="shared" si="59"/>
        <v/>
      </c>
      <c r="M211" s="10" t="str">
        <f t="shared" si="44"/>
        <v/>
      </c>
      <c r="N211" s="6" t="str">
        <f t="shared" si="45"/>
        <v/>
      </c>
      <c r="O211" s="9" t="str">
        <f t="shared" si="46"/>
        <v/>
      </c>
      <c r="P211" s="9" t="str">
        <f t="shared" si="47"/>
        <v/>
      </c>
      <c r="Q211" s="9" t="str">
        <f t="shared" si="48"/>
        <v/>
      </c>
      <c r="R211" s="9" t="str">
        <f t="shared" ca="1" si="49"/>
        <v/>
      </c>
      <c r="T211" s="6" t="str">
        <f t="shared" si="50"/>
        <v/>
      </c>
      <c r="U211" s="6" t="str">
        <f t="shared" si="51"/>
        <v/>
      </c>
      <c r="V211" s="10" t="str">
        <f t="shared" si="52"/>
        <v/>
      </c>
      <c r="W211" s="8" t="str">
        <f t="shared" si="53"/>
        <v/>
      </c>
      <c r="X211" s="9">
        <f t="shared" si="60"/>
        <v>0</v>
      </c>
      <c r="Y211" s="9">
        <f t="shared" si="61"/>
        <v>0</v>
      </c>
    </row>
    <row r="212" spans="2:25" x14ac:dyDescent="0.3">
      <c r="B212" s="6">
        <v>175</v>
      </c>
      <c r="C212" s="79" t="str">
        <f t="shared" si="62"/>
        <v/>
      </c>
      <c r="D212" s="6" t="str">
        <f t="shared" si="42"/>
        <v/>
      </c>
      <c r="E212" s="79" t="str">
        <f t="shared" si="54"/>
        <v/>
      </c>
      <c r="F212" s="79" t="str">
        <f>IF(B211&gt;$C$18,"",IF(COUNTIF(Feriados!$A$2:$B$17,EDATE($C$38,B211))=0,EDATE($C$38,B211),EDATE($C$38,B211)+VLOOKUP(EDATE($C$38,B211),Feriados!$A$2:$B$17,2,FALSE)))</f>
        <v/>
      </c>
      <c r="G212" s="6" t="str">
        <f t="shared" si="55"/>
        <v/>
      </c>
      <c r="H212" s="6" t="str">
        <f t="shared" si="56"/>
        <v/>
      </c>
      <c r="I212" s="8" t="str">
        <f t="shared" si="57"/>
        <v/>
      </c>
      <c r="J212" s="8" t="str">
        <f t="shared" si="58"/>
        <v/>
      </c>
      <c r="K212" s="9" t="str">
        <f t="shared" si="43"/>
        <v/>
      </c>
      <c r="L212" s="9" t="str">
        <f t="shared" si="59"/>
        <v/>
      </c>
      <c r="M212" s="10" t="str">
        <f t="shared" si="44"/>
        <v/>
      </c>
      <c r="N212" s="6" t="str">
        <f t="shared" si="45"/>
        <v/>
      </c>
      <c r="O212" s="9" t="str">
        <f t="shared" si="46"/>
        <v/>
      </c>
      <c r="P212" s="9" t="str">
        <f t="shared" si="47"/>
        <v/>
      </c>
      <c r="Q212" s="9" t="str">
        <f t="shared" si="48"/>
        <v/>
      </c>
      <c r="R212" s="9" t="str">
        <f t="shared" ca="1" si="49"/>
        <v/>
      </c>
      <c r="T212" s="6" t="str">
        <f t="shared" si="50"/>
        <v/>
      </c>
      <c r="U212" s="6" t="str">
        <f t="shared" si="51"/>
        <v/>
      </c>
      <c r="V212" s="10" t="str">
        <f t="shared" si="52"/>
        <v/>
      </c>
      <c r="W212" s="8" t="str">
        <f t="shared" si="53"/>
        <v/>
      </c>
      <c r="X212" s="9">
        <f t="shared" si="60"/>
        <v>0</v>
      </c>
      <c r="Y212" s="9">
        <f t="shared" si="61"/>
        <v>0</v>
      </c>
    </row>
    <row r="213" spans="2:25" x14ac:dyDescent="0.3">
      <c r="B213" s="6">
        <v>176</v>
      </c>
      <c r="C213" s="79" t="str">
        <f t="shared" si="62"/>
        <v/>
      </c>
      <c r="D213" s="6" t="str">
        <f t="shared" si="42"/>
        <v/>
      </c>
      <c r="E213" s="79" t="str">
        <f t="shared" si="54"/>
        <v/>
      </c>
      <c r="F213" s="79" t="str">
        <f>IF(B212&gt;$C$18,"",IF(COUNTIF(Feriados!$A$2:$B$17,EDATE($C$38,B212))=0,EDATE($C$38,B212),EDATE($C$38,B212)+VLOOKUP(EDATE($C$38,B212),Feriados!$A$2:$B$17,2,FALSE)))</f>
        <v/>
      </c>
      <c r="G213" s="6" t="str">
        <f t="shared" si="55"/>
        <v/>
      </c>
      <c r="H213" s="6" t="str">
        <f t="shared" si="56"/>
        <v/>
      </c>
      <c r="I213" s="8" t="str">
        <f t="shared" si="57"/>
        <v/>
      </c>
      <c r="J213" s="8" t="str">
        <f t="shared" si="58"/>
        <v/>
      </c>
      <c r="K213" s="9" t="str">
        <f t="shared" si="43"/>
        <v/>
      </c>
      <c r="L213" s="9" t="str">
        <f t="shared" si="59"/>
        <v/>
      </c>
      <c r="M213" s="10" t="str">
        <f t="shared" si="44"/>
        <v/>
      </c>
      <c r="N213" s="6" t="str">
        <f t="shared" si="45"/>
        <v/>
      </c>
      <c r="O213" s="9" t="str">
        <f t="shared" si="46"/>
        <v/>
      </c>
      <c r="P213" s="9" t="str">
        <f t="shared" si="47"/>
        <v/>
      </c>
      <c r="Q213" s="9" t="str">
        <f t="shared" si="48"/>
        <v/>
      </c>
      <c r="R213" s="9" t="str">
        <f t="shared" ca="1" si="49"/>
        <v/>
      </c>
      <c r="T213" s="6" t="str">
        <f t="shared" si="50"/>
        <v/>
      </c>
      <c r="U213" s="6" t="str">
        <f t="shared" si="51"/>
        <v/>
      </c>
      <c r="V213" s="10" t="str">
        <f t="shared" si="52"/>
        <v/>
      </c>
      <c r="W213" s="8" t="str">
        <f t="shared" si="53"/>
        <v/>
      </c>
      <c r="X213" s="9">
        <f t="shared" si="60"/>
        <v>0</v>
      </c>
      <c r="Y213" s="9">
        <f t="shared" si="61"/>
        <v>0</v>
      </c>
    </row>
    <row r="214" spans="2:25" x14ac:dyDescent="0.3">
      <c r="B214" s="6">
        <v>177</v>
      </c>
      <c r="C214" s="79" t="str">
        <f t="shared" si="62"/>
        <v/>
      </c>
      <c r="D214" s="6" t="str">
        <f t="shared" si="42"/>
        <v/>
      </c>
      <c r="E214" s="79" t="str">
        <f t="shared" si="54"/>
        <v/>
      </c>
      <c r="F214" s="79" t="str">
        <f>IF(B213&gt;$C$18,"",IF(COUNTIF(Feriados!$A$2:$B$17,EDATE($C$38,B213))=0,EDATE($C$38,B213),EDATE($C$38,B213)+VLOOKUP(EDATE($C$38,B213),Feriados!$A$2:$B$17,2,FALSE)))</f>
        <v/>
      </c>
      <c r="G214" s="6" t="str">
        <f t="shared" si="55"/>
        <v/>
      </c>
      <c r="H214" s="6" t="str">
        <f t="shared" si="56"/>
        <v/>
      </c>
      <c r="I214" s="8" t="str">
        <f t="shared" si="57"/>
        <v/>
      </c>
      <c r="J214" s="8" t="str">
        <f t="shared" si="58"/>
        <v/>
      </c>
      <c r="K214" s="9" t="str">
        <f t="shared" si="43"/>
        <v/>
      </c>
      <c r="L214" s="9" t="str">
        <f t="shared" si="59"/>
        <v/>
      </c>
      <c r="M214" s="10" t="str">
        <f t="shared" si="44"/>
        <v/>
      </c>
      <c r="N214" s="6" t="str">
        <f t="shared" si="45"/>
        <v/>
      </c>
      <c r="O214" s="9" t="str">
        <f t="shared" si="46"/>
        <v/>
      </c>
      <c r="P214" s="9" t="str">
        <f t="shared" si="47"/>
        <v/>
      </c>
      <c r="Q214" s="9" t="str">
        <f t="shared" si="48"/>
        <v/>
      </c>
      <c r="R214" s="9" t="str">
        <f t="shared" ca="1" si="49"/>
        <v/>
      </c>
      <c r="T214" s="6" t="str">
        <f t="shared" si="50"/>
        <v/>
      </c>
      <c r="U214" s="6" t="str">
        <f t="shared" si="51"/>
        <v/>
      </c>
      <c r="V214" s="10" t="str">
        <f t="shared" si="52"/>
        <v/>
      </c>
      <c r="W214" s="8" t="str">
        <f t="shared" si="53"/>
        <v/>
      </c>
      <c r="X214" s="9">
        <f t="shared" si="60"/>
        <v>0</v>
      </c>
      <c r="Y214" s="9">
        <f t="shared" si="61"/>
        <v>0</v>
      </c>
    </row>
    <row r="215" spans="2:25" x14ac:dyDescent="0.3">
      <c r="B215" s="6">
        <v>178</v>
      </c>
      <c r="C215" s="79" t="str">
        <f t="shared" si="62"/>
        <v/>
      </c>
      <c r="D215" s="6" t="str">
        <f t="shared" si="42"/>
        <v/>
      </c>
      <c r="E215" s="79" t="str">
        <f t="shared" si="54"/>
        <v/>
      </c>
      <c r="F215" s="79" t="str">
        <f>IF(B214&gt;$C$18,"",IF(COUNTIF(Feriados!$A$2:$B$17,EDATE($C$38,B214))=0,EDATE($C$38,B214),EDATE($C$38,B214)+VLOOKUP(EDATE($C$38,B214),Feriados!$A$2:$B$17,2,FALSE)))</f>
        <v/>
      </c>
      <c r="G215" s="6" t="str">
        <f t="shared" si="55"/>
        <v/>
      </c>
      <c r="H215" s="6" t="str">
        <f t="shared" si="56"/>
        <v/>
      </c>
      <c r="I215" s="8" t="str">
        <f t="shared" si="57"/>
        <v/>
      </c>
      <c r="J215" s="8" t="str">
        <f t="shared" si="58"/>
        <v/>
      </c>
      <c r="K215" s="9" t="str">
        <f t="shared" si="43"/>
        <v/>
      </c>
      <c r="L215" s="9" t="str">
        <f t="shared" si="59"/>
        <v/>
      </c>
      <c r="M215" s="10" t="str">
        <f t="shared" si="44"/>
        <v/>
      </c>
      <c r="N215" s="6" t="str">
        <f t="shared" si="45"/>
        <v/>
      </c>
      <c r="O215" s="9" t="str">
        <f t="shared" si="46"/>
        <v/>
      </c>
      <c r="P215" s="9" t="str">
        <f t="shared" si="47"/>
        <v/>
      </c>
      <c r="Q215" s="9" t="str">
        <f t="shared" si="48"/>
        <v/>
      </c>
      <c r="R215" s="9" t="str">
        <f t="shared" ca="1" si="49"/>
        <v/>
      </c>
      <c r="T215" s="6" t="str">
        <f t="shared" si="50"/>
        <v/>
      </c>
      <c r="U215" s="6" t="str">
        <f t="shared" si="51"/>
        <v/>
      </c>
      <c r="V215" s="10" t="str">
        <f t="shared" si="52"/>
        <v/>
      </c>
      <c r="W215" s="8" t="str">
        <f t="shared" si="53"/>
        <v/>
      </c>
      <c r="X215" s="9">
        <f t="shared" si="60"/>
        <v>0</v>
      </c>
      <c r="Y215" s="9">
        <f t="shared" si="61"/>
        <v>0</v>
      </c>
    </row>
    <row r="216" spans="2:25" x14ac:dyDescent="0.3">
      <c r="B216" s="6">
        <v>179</v>
      </c>
      <c r="C216" s="79" t="str">
        <f t="shared" si="62"/>
        <v/>
      </c>
      <c r="D216" s="6" t="str">
        <f t="shared" si="42"/>
        <v/>
      </c>
      <c r="E216" s="79" t="str">
        <f t="shared" si="54"/>
        <v/>
      </c>
      <c r="F216" s="79" t="str">
        <f>IF(B215&gt;$C$18,"",IF(COUNTIF(Feriados!$A$2:$B$17,EDATE($C$38,B215))=0,EDATE($C$38,B215),EDATE($C$38,B215)+VLOOKUP(EDATE($C$38,B215),Feriados!$A$2:$B$17,2,FALSE)))</f>
        <v/>
      </c>
      <c r="G216" s="6" t="str">
        <f t="shared" si="55"/>
        <v/>
      </c>
      <c r="H216" s="6" t="str">
        <f t="shared" si="56"/>
        <v/>
      </c>
      <c r="I216" s="8" t="str">
        <f t="shared" si="57"/>
        <v/>
      </c>
      <c r="J216" s="8" t="str">
        <f t="shared" si="58"/>
        <v/>
      </c>
      <c r="K216" s="9" t="str">
        <f t="shared" si="43"/>
        <v/>
      </c>
      <c r="L216" s="9" t="str">
        <f t="shared" si="59"/>
        <v/>
      </c>
      <c r="M216" s="10" t="str">
        <f t="shared" si="44"/>
        <v/>
      </c>
      <c r="N216" s="6" t="str">
        <f t="shared" si="45"/>
        <v/>
      </c>
      <c r="O216" s="9" t="str">
        <f t="shared" si="46"/>
        <v/>
      </c>
      <c r="P216" s="9" t="str">
        <f t="shared" si="47"/>
        <v/>
      </c>
      <c r="Q216" s="9" t="str">
        <f t="shared" si="48"/>
        <v/>
      </c>
      <c r="R216" s="9" t="str">
        <f t="shared" ca="1" si="49"/>
        <v/>
      </c>
      <c r="T216" s="6" t="str">
        <f t="shared" si="50"/>
        <v/>
      </c>
      <c r="U216" s="6" t="str">
        <f t="shared" si="51"/>
        <v/>
      </c>
      <c r="V216" s="10" t="str">
        <f t="shared" si="52"/>
        <v/>
      </c>
      <c r="W216" s="8" t="str">
        <f t="shared" si="53"/>
        <v/>
      </c>
      <c r="X216" s="9">
        <f t="shared" si="60"/>
        <v>0</v>
      </c>
      <c r="Y216" s="9">
        <f t="shared" si="61"/>
        <v>0</v>
      </c>
    </row>
    <row r="217" spans="2:25" x14ac:dyDescent="0.3">
      <c r="B217" s="6">
        <v>180</v>
      </c>
      <c r="C217" s="79" t="str">
        <f t="shared" si="62"/>
        <v/>
      </c>
      <c r="D217" s="6" t="str">
        <f t="shared" si="42"/>
        <v/>
      </c>
      <c r="E217" s="79" t="str">
        <f t="shared" si="54"/>
        <v/>
      </c>
      <c r="F217" s="79" t="str">
        <f>IF(B216&gt;$C$18,"",IF(COUNTIF(Feriados!$A$2:$B$17,EDATE($C$38,B216))=0,EDATE($C$38,B216),EDATE($C$38,B216)+VLOOKUP(EDATE($C$38,B216),Feriados!$A$2:$B$17,2,FALSE)))</f>
        <v/>
      </c>
      <c r="G217" s="6" t="str">
        <f t="shared" si="55"/>
        <v/>
      </c>
      <c r="H217" s="6" t="str">
        <f t="shared" si="56"/>
        <v/>
      </c>
      <c r="I217" s="8" t="str">
        <f t="shared" si="57"/>
        <v/>
      </c>
      <c r="J217" s="8" t="str">
        <f t="shared" si="58"/>
        <v/>
      </c>
      <c r="K217" s="9" t="str">
        <f t="shared" si="43"/>
        <v/>
      </c>
      <c r="L217" s="9" t="str">
        <f t="shared" si="59"/>
        <v/>
      </c>
      <c r="M217" s="10" t="str">
        <f t="shared" si="44"/>
        <v/>
      </c>
      <c r="N217" s="6" t="str">
        <f t="shared" si="45"/>
        <v/>
      </c>
      <c r="O217" s="9" t="str">
        <f t="shared" si="46"/>
        <v/>
      </c>
      <c r="P217" s="9" t="str">
        <f t="shared" si="47"/>
        <v/>
      </c>
      <c r="Q217" s="9" t="str">
        <f t="shared" si="48"/>
        <v/>
      </c>
      <c r="R217" s="9" t="str">
        <f t="shared" ca="1" si="49"/>
        <v/>
      </c>
      <c r="T217" s="6" t="str">
        <f t="shared" si="50"/>
        <v/>
      </c>
      <c r="U217" s="6" t="str">
        <f t="shared" si="51"/>
        <v/>
      </c>
      <c r="V217" s="10" t="str">
        <f t="shared" si="52"/>
        <v/>
      </c>
      <c r="W217" s="8" t="str">
        <f t="shared" si="53"/>
        <v/>
      </c>
      <c r="X217" s="9">
        <f t="shared" si="60"/>
        <v>0</v>
      </c>
      <c r="Y217" s="9">
        <f t="shared" si="61"/>
        <v>0</v>
      </c>
    </row>
    <row r="218" spans="2:25" x14ac:dyDescent="0.3">
      <c r="B218" s="6">
        <v>181</v>
      </c>
      <c r="C218" s="79" t="str">
        <f t="shared" si="62"/>
        <v/>
      </c>
      <c r="D218" s="6" t="str">
        <f t="shared" si="42"/>
        <v/>
      </c>
      <c r="E218" s="79" t="str">
        <f t="shared" si="54"/>
        <v/>
      </c>
      <c r="F218" s="79" t="str">
        <f>IF(B217&gt;$C$18,"",IF(COUNTIF(Feriados!$A$2:$B$17,EDATE($C$38,B217))=0,EDATE($C$38,B217),EDATE($C$38,B217)+VLOOKUP(EDATE($C$38,B217),Feriados!$A$2:$B$17,2,FALSE)))</f>
        <v/>
      </c>
      <c r="G218" s="6" t="str">
        <f t="shared" si="55"/>
        <v/>
      </c>
      <c r="H218" s="6" t="str">
        <f t="shared" si="56"/>
        <v/>
      </c>
      <c r="I218" s="8" t="str">
        <f t="shared" si="57"/>
        <v/>
      </c>
      <c r="J218" s="8" t="str">
        <f t="shared" si="58"/>
        <v/>
      </c>
      <c r="K218" s="9" t="str">
        <f t="shared" si="43"/>
        <v/>
      </c>
      <c r="L218" s="9" t="str">
        <f t="shared" si="59"/>
        <v/>
      </c>
      <c r="M218" s="10" t="str">
        <f t="shared" si="44"/>
        <v/>
      </c>
      <c r="N218" s="6" t="str">
        <f t="shared" si="45"/>
        <v/>
      </c>
      <c r="O218" s="9" t="str">
        <f t="shared" si="46"/>
        <v/>
      </c>
      <c r="P218" s="9" t="str">
        <f t="shared" si="47"/>
        <v/>
      </c>
      <c r="Q218" s="9" t="str">
        <f t="shared" si="48"/>
        <v/>
      </c>
      <c r="R218" s="9" t="str">
        <f t="shared" ca="1" si="49"/>
        <v/>
      </c>
      <c r="T218" s="6" t="str">
        <f t="shared" si="50"/>
        <v/>
      </c>
      <c r="U218" s="6" t="str">
        <f t="shared" si="51"/>
        <v/>
      </c>
      <c r="V218" s="10" t="str">
        <f t="shared" si="52"/>
        <v/>
      </c>
      <c r="W218" s="8" t="str">
        <f t="shared" si="53"/>
        <v/>
      </c>
      <c r="X218" s="9">
        <f t="shared" si="60"/>
        <v>0</v>
      </c>
      <c r="Y218" s="9">
        <f t="shared" si="61"/>
        <v>0</v>
      </c>
    </row>
    <row r="219" spans="2:25" x14ac:dyDescent="0.3">
      <c r="B219" s="6">
        <v>182</v>
      </c>
      <c r="C219" s="79" t="str">
        <f t="shared" si="62"/>
        <v/>
      </c>
      <c r="D219" s="6" t="str">
        <f t="shared" si="42"/>
        <v/>
      </c>
      <c r="E219" s="79" t="str">
        <f t="shared" si="54"/>
        <v/>
      </c>
      <c r="F219" s="79" t="str">
        <f>IF(B218&gt;$C$18,"",IF(COUNTIF(Feriados!$A$2:$B$17,EDATE($C$38,B218))=0,EDATE($C$38,B218),EDATE($C$38,B218)+VLOOKUP(EDATE($C$38,B218),Feriados!$A$2:$B$17,2,FALSE)))</f>
        <v/>
      </c>
      <c r="G219" s="6" t="str">
        <f t="shared" si="55"/>
        <v/>
      </c>
      <c r="H219" s="6" t="str">
        <f t="shared" si="56"/>
        <v/>
      </c>
      <c r="I219" s="8" t="str">
        <f t="shared" si="57"/>
        <v/>
      </c>
      <c r="J219" s="8" t="str">
        <f t="shared" si="58"/>
        <v/>
      </c>
      <c r="K219" s="9" t="str">
        <f t="shared" si="43"/>
        <v/>
      </c>
      <c r="L219" s="9" t="str">
        <f t="shared" si="59"/>
        <v/>
      </c>
      <c r="M219" s="10" t="str">
        <f t="shared" si="44"/>
        <v/>
      </c>
      <c r="N219" s="6" t="str">
        <f t="shared" si="45"/>
        <v/>
      </c>
      <c r="O219" s="9" t="str">
        <f t="shared" si="46"/>
        <v/>
      </c>
      <c r="P219" s="9" t="str">
        <f t="shared" si="47"/>
        <v/>
      </c>
      <c r="Q219" s="9" t="str">
        <f t="shared" si="48"/>
        <v/>
      </c>
      <c r="R219" s="9" t="str">
        <f t="shared" ca="1" si="49"/>
        <v/>
      </c>
      <c r="T219" s="6" t="str">
        <f t="shared" si="50"/>
        <v/>
      </c>
      <c r="U219" s="6" t="str">
        <f t="shared" si="51"/>
        <v/>
      </c>
      <c r="V219" s="10" t="str">
        <f t="shared" si="52"/>
        <v/>
      </c>
      <c r="W219" s="8" t="str">
        <f t="shared" si="53"/>
        <v/>
      </c>
      <c r="X219" s="9">
        <f t="shared" si="60"/>
        <v>0</v>
      </c>
      <c r="Y219" s="9">
        <f t="shared" si="61"/>
        <v>0</v>
      </c>
    </row>
    <row r="220" spans="2:25" x14ac:dyDescent="0.3">
      <c r="B220" s="6">
        <v>183</v>
      </c>
      <c r="C220" s="79" t="str">
        <f t="shared" si="62"/>
        <v/>
      </c>
      <c r="D220" s="6" t="str">
        <f t="shared" si="42"/>
        <v/>
      </c>
      <c r="E220" s="79" t="str">
        <f t="shared" si="54"/>
        <v/>
      </c>
      <c r="F220" s="79" t="str">
        <f>IF(B219&gt;$C$18,"",IF(COUNTIF(Feriados!$A$2:$B$17,EDATE($C$38,B219))=0,EDATE($C$38,B219),EDATE($C$38,B219)+VLOOKUP(EDATE($C$38,B219),Feriados!$A$2:$B$17,2,FALSE)))</f>
        <v/>
      </c>
      <c r="G220" s="6" t="str">
        <f t="shared" si="55"/>
        <v/>
      </c>
      <c r="H220" s="6" t="str">
        <f t="shared" si="56"/>
        <v/>
      </c>
      <c r="I220" s="8" t="str">
        <f t="shared" si="57"/>
        <v/>
      </c>
      <c r="J220" s="8" t="str">
        <f t="shared" si="58"/>
        <v/>
      </c>
      <c r="K220" s="9" t="str">
        <f t="shared" si="43"/>
        <v/>
      </c>
      <c r="L220" s="9" t="str">
        <f t="shared" si="59"/>
        <v/>
      </c>
      <c r="M220" s="10" t="str">
        <f t="shared" si="44"/>
        <v/>
      </c>
      <c r="N220" s="6" t="str">
        <f t="shared" si="45"/>
        <v/>
      </c>
      <c r="O220" s="9" t="str">
        <f t="shared" si="46"/>
        <v/>
      </c>
      <c r="P220" s="9" t="str">
        <f t="shared" si="47"/>
        <v/>
      </c>
      <c r="Q220" s="9" t="str">
        <f t="shared" si="48"/>
        <v/>
      </c>
      <c r="R220" s="9" t="str">
        <f t="shared" ca="1" si="49"/>
        <v/>
      </c>
      <c r="T220" s="6" t="str">
        <f t="shared" si="50"/>
        <v/>
      </c>
      <c r="U220" s="6" t="str">
        <f t="shared" si="51"/>
        <v/>
      </c>
      <c r="V220" s="10" t="str">
        <f t="shared" si="52"/>
        <v/>
      </c>
      <c r="W220" s="8" t="str">
        <f t="shared" si="53"/>
        <v/>
      </c>
      <c r="X220" s="9">
        <f t="shared" si="60"/>
        <v>0</v>
      </c>
      <c r="Y220" s="9">
        <f t="shared" si="61"/>
        <v>0</v>
      </c>
    </row>
    <row r="221" spans="2:25" x14ac:dyDescent="0.3">
      <c r="B221" s="6">
        <v>184</v>
      </c>
      <c r="C221" s="79" t="str">
        <f t="shared" si="62"/>
        <v/>
      </c>
      <c r="D221" s="6" t="str">
        <f t="shared" si="42"/>
        <v/>
      </c>
      <c r="E221" s="79" t="str">
        <f t="shared" si="54"/>
        <v/>
      </c>
      <c r="F221" s="79" t="str">
        <f>IF(B220&gt;$C$18,"",IF(COUNTIF(Feriados!$A$2:$B$17,EDATE($C$38,B220))=0,EDATE($C$38,B220),EDATE($C$38,B220)+VLOOKUP(EDATE($C$38,B220),Feriados!$A$2:$B$17,2,FALSE)))</f>
        <v/>
      </c>
      <c r="G221" s="6" t="str">
        <f t="shared" si="55"/>
        <v/>
      </c>
      <c r="H221" s="6" t="str">
        <f t="shared" si="56"/>
        <v/>
      </c>
      <c r="I221" s="8" t="str">
        <f t="shared" si="57"/>
        <v/>
      </c>
      <c r="J221" s="8" t="str">
        <f t="shared" si="58"/>
        <v/>
      </c>
      <c r="K221" s="9" t="str">
        <f t="shared" si="43"/>
        <v/>
      </c>
      <c r="L221" s="9" t="str">
        <f t="shared" si="59"/>
        <v/>
      </c>
      <c r="M221" s="10" t="str">
        <f t="shared" si="44"/>
        <v/>
      </c>
      <c r="N221" s="6" t="str">
        <f t="shared" si="45"/>
        <v/>
      </c>
      <c r="O221" s="9" t="str">
        <f t="shared" si="46"/>
        <v/>
      </c>
      <c r="P221" s="9" t="str">
        <f t="shared" si="47"/>
        <v/>
      </c>
      <c r="Q221" s="9" t="str">
        <f t="shared" si="48"/>
        <v/>
      </c>
      <c r="R221" s="9" t="str">
        <f t="shared" ca="1" si="49"/>
        <v/>
      </c>
      <c r="T221" s="6" t="str">
        <f t="shared" si="50"/>
        <v/>
      </c>
      <c r="U221" s="6" t="str">
        <f t="shared" si="51"/>
        <v/>
      </c>
      <c r="V221" s="10" t="str">
        <f t="shared" si="52"/>
        <v/>
      </c>
      <c r="W221" s="8" t="str">
        <f t="shared" si="53"/>
        <v/>
      </c>
      <c r="X221" s="9">
        <f t="shared" si="60"/>
        <v>0</v>
      </c>
      <c r="Y221" s="9">
        <f t="shared" si="61"/>
        <v>0</v>
      </c>
    </row>
    <row r="222" spans="2:25" x14ac:dyDescent="0.3">
      <c r="B222" s="6">
        <v>185</v>
      </c>
      <c r="C222" s="79" t="str">
        <f t="shared" si="62"/>
        <v/>
      </c>
      <c r="D222" s="6" t="str">
        <f t="shared" si="42"/>
        <v/>
      </c>
      <c r="E222" s="79" t="str">
        <f t="shared" si="54"/>
        <v/>
      </c>
      <c r="F222" s="79" t="str">
        <f>IF(B221&gt;$C$18,"",IF(COUNTIF(Feriados!$A$2:$B$17,EDATE($C$38,B221))=0,EDATE($C$38,B221),EDATE($C$38,B221)+VLOOKUP(EDATE($C$38,B221),Feriados!$A$2:$B$17,2,FALSE)))</f>
        <v/>
      </c>
      <c r="G222" s="6" t="str">
        <f t="shared" si="55"/>
        <v/>
      </c>
      <c r="H222" s="6" t="str">
        <f t="shared" si="56"/>
        <v/>
      </c>
      <c r="I222" s="8" t="str">
        <f t="shared" si="57"/>
        <v/>
      </c>
      <c r="J222" s="8" t="str">
        <f t="shared" si="58"/>
        <v/>
      </c>
      <c r="K222" s="9" t="str">
        <f t="shared" si="43"/>
        <v/>
      </c>
      <c r="L222" s="9" t="str">
        <f t="shared" si="59"/>
        <v/>
      </c>
      <c r="M222" s="10" t="str">
        <f t="shared" si="44"/>
        <v/>
      </c>
      <c r="N222" s="6" t="str">
        <f t="shared" si="45"/>
        <v/>
      </c>
      <c r="O222" s="9" t="str">
        <f t="shared" si="46"/>
        <v/>
      </c>
      <c r="P222" s="9" t="str">
        <f t="shared" si="47"/>
        <v/>
      </c>
      <c r="Q222" s="9" t="str">
        <f t="shared" si="48"/>
        <v/>
      </c>
      <c r="R222" s="9" t="str">
        <f t="shared" ca="1" si="49"/>
        <v/>
      </c>
      <c r="T222" s="6" t="str">
        <f t="shared" si="50"/>
        <v/>
      </c>
      <c r="U222" s="6" t="str">
        <f t="shared" si="51"/>
        <v/>
      </c>
      <c r="V222" s="10" t="str">
        <f t="shared" si="52"/>
        <v/>
      </c>
      <c r="W222" s="8" t="str">
        <f t="shared" si="53"/>
        <v/>
      </c>
      <c r="X222" s="9">
        <f t="shared" si="60"/>
        <v>0</v>
      </c>
      <c r="Y222" s="9">
        <f t="shared" si="61"/>
        <v>0</v>
      </c>
    </row>
    <row r="223" spans="2:25" x14ac:dyDescent="0.3">
      <c r="B223" s="6">
        <v>186</v>
      </c>
      <c r="C223" s="79" t="str">
        <f t="shared" si="62"/>
        <v/>
      </c>
      <c r="D223" s="6" t="str">
        <f t="shared" si="42"/>
        <v/>
      </c>
      <c r="E223" s="79" t="str">
        <f t="shared" si="54"/>
        <v/>
      </c>
      <c r="F223" s="79" t="str">
        <f>IF(B222&gt;$C$18,"",IF(COUNTIF(Feriados!$A$2:$B$17,EDATE($C$38,B222))=0,EDATE($C$38,B222),EDATE($C$38,B222)+VLOOKUP(EDATE($C$38,B222),Feriados!$A$2:$B$17,2,FALSE)))</f>
        <v/>
      </c>
      <c r="G223" s="6" t="str">
        <f t="shared" si="55"/>
        <v/>
      </c>
      <c r="H223" s="6" t="str">
        <f t="shared" si="56"/>
        <v/>
      </c>
      <c r="I223" s="8" t="str">
        <f t="shared" si="57"/>
        <v/>
      </c>
      <c r="J223" s="8" t="str">
        <f t="shared" si="58"/>
        <v/>
      </c>
      <c r="K223" s="9" t="str">
        <f t="shared" si="43"/>
        <v/>
      </c>
      <c r="L223" s="9" t="str">
        <f t="shared" si="59"/>
        <v/>
      </c>
      <c r="M223" s="10" t="str">
        <f t="shared" si="44"/>
        <v/>
      </c>
      <c r="N223" s="6" t="str">
        <f t="shared" si="45"/>
        <v/>
      </c>
      <c r="O223" s="9" t="str">
        <f t="shared" si="46"/>
        <v/>
      </c>
      <c r="P223" s="9" t="str">
        <f t="shared" si="47"/>
        <v/>
      </c>
      <c r="Q223" s="9" t="str">
        <f t="shared" si="48"/>
        <v/>
      </c>
      <c r="R223" s="9" t="str">
        <f t="shared" ca="1" si="49"/>
        <v/>
      </c>
      <c r="T223" s="6" t="str">
        <f t="shared" si="50"/>
        <v/>
      </c>
      <c r="U223" s="6" t="str">
        <f t="shared" si="51"/>
        <v/>
      </c>
      <c r="V223" s="10" t="str">
        <f t="shared" si="52"/>
        <v/>
      </c>
      <c r="W223" s="8" t="str">
        <f t="shared" si="53"/>
        <v/>
      </c>
      <c r="X223" s="9">
        <f t="shared" si="60"/>
        <v>0</v>
      </c>
      <c r="Y223" s="9">
        <f t="shared" si="61"/>
        <v>0</v>
      </c>
    </row>
    <row r="224" spans="2:25" x14ac:dyDescent="0.3">
      <c r="B224" s="6">
        <v>187</v>
      </c>
      <c r="C224" s="79" t="str">
        <f t="shared" si="62"/>
        <v/>
      </c>
      <c r="D224" s="6" t="str">
        <f t="shared" si="42"/>
        <v/>
      </c>
      <c r="E224" s="79" t="str">
        <f t="shared" si="54"/>
        <v/>
      </c>
      <c r="F224" s="79" t="str">
        <f>IF(B223&gt;$C$18,"",IF(COUNTIF(Feriados!$A$2:$B$17,EDATE($C$38,B223))=0,EDATE($C$38,B223),EDATE($C$38,B223)+VLOOKUP(EDATE($C$38,B223),Feriados!$A$2:$B$17,2,FALSE)))</f>
        <v/>
      </c>
      <c r="G224" s="6" t="str">
        <f t="shared" si="55"/>
        <v/>
      </c>
      <c r="H224" s="6" t="str">
        <f t="shared" si="56"/>
        <v/>
      </c>
      <c r="I224" s="8" t="str">
        <f t="shared" si="57"/>
        <v/>
      </c>
      <c r="J224" s="8" t="str">
        <f t="shared" si="58"/>
        <v/>
      </c>
      <c r="K224" s="9" t="str">
        <f t="shared" si="43"/>
        <v/>
      </c>
      <c r="L224" s="9" t="str">
        <f t="shared" si="59"/>
        <v/>
      </c>
      <c r="M224" s="10" t="str">
        <f t="shared" si="44"/>
        <v/>
      </c>
      <c r="N224" s="6" t="str">
        <f t="shared" si="45"/>
        <v/>
      </c>
      <c r="O224" s="9" t="str">
        <f t="shared" si="46"/>
        <v/>
      </c>
      <c r="P224" s="9" t="str">
        <f t="shared" si="47"/>
        <v/>
      </c>
      <c r="Q224" s="9" t="str">
        <f t="shared" si="48"/>
        <v/>
      </c>
      <c r="R224" s="9" t="str">
        <f t="shared" ca="1" si="49"/>
        <v/>
      </c>
      <c r="T224" s="6" t="str">
        <f t="shared" si="50"/>
        <v/>
      </c>
      <c r="U224" s="6" t="str">
        <f t="shared" si="51"/>
        <v/>
      </c>
      <c r="V224" s="10" t="str">
        <f t="shared" si="52"/>
        <v/>
      </c>
      <c r="W224" s="8" t="str">
        <f t="shared" si="53"/>
        <v/>
      </c>
      <c r="X224" s="9">
        <f t="shared" si="60"/>
        <v>0</v>
      </c>
      <c r="Y224" s="9">
        <f t="shared" si="61"/>
        <v>0</v>
      </c>
    </row>
    <row r="225" spans="2:25" x14ac:dyDescent="0.3">
      <c r="B225" s="6">
        <v>188</v>
      </c>
      <c r="C225" s="79" t="str">
        <f t="shared" si="62"/>
        <v/>
      </c>
      <c r="D225" s="6" t="str">
        <f t="shared" si="42"/>
        <v/>
      </c>
      <c r="E225" s="79" t="str">
        <f t="shared" si="54"/>
        <v/>
      </c>
      <c r="F225" s="79" t="str">
        <f>IF(B224&gt;$C$18,"",IF(COUNTIF(Feriados!$A$2:$B$17,EDATE($C$38,B224))=0,EDATE($C$38,B224),EDATE($C$38,B224)+VLOOKUP(EDATE($C$38,B224),Feriados!$A$2:$B$17,2,FALSE)))</f>
        <v/>
      </c>
      <c r="G225" s="6" t="str">
        <f t="shared" si="55"/>
        <v/>
      </c>
      <c r="H225" s="6" t="str">
        <f t="shared" si="56"/>
        <v/>
      </c>
      <c r="I225" s="8" t="str">
        <f t="shared" si="57"/>
        <v/>
      </c>
      <c r="J225" s="8" t="str">
        <f t="shared" si="58"/>
        <v/>
      </c>
      <c r="K225" s="9" t="str">
        <f t="shared" si="43"/>
        <v/>
      </c>
      <c r="L225" s="9" t="str">
        <f t="shared" si="59"/>
        <v/>
      </c>
      <c r="M225" s="10" t="str">
        <f t="shared" si="44"/>
        <v/>
      </c>
      <c r="N225" s="6" t="str">
        <f t="shared" si="45"/>
        <v/>
      </c>
      <c r="O225" s="9" t="str">
        <f t="shared" si="46"/>
        <v/>
      </c>
      <c r="P225" s="9" t="str">
        <f t="shared" si="47"/>
        <v/>
      </c>
      <c r="Q225" s="9" t="str">
        <f t="shared" si="48"/>
        <v/>
      </c>
      <c r="R225" s="9" t="str">
        <f t="shared" ca="1" si="49"/>
        <v/>
      </c>
      <c r="T225" s="6" t="str">
        <f t="shared" si="50"/>
        <v/>
      </c>
      <c r="U225" s="6" t="str">
        <f t="shared" si="51"/>
        <v/>
      </c>
      <c r="V225" s="10" t="str">
        <f t="shared" si="52"/>
        <v/>
      </c>
      <c r="W225" s="8" t="str">
        <f t="shared" si="53"/>
        <v/>
      </c>
      <c r="X225" s="9">
        <f t="shared" si="60"/>
        <v>0</v>
      </c>
      <c r="Y225" s="9">
        <f t="shared" si="61"/>
        <v>0</v>
      </c>
    </row>
    <row r="226" spans="2:25" x14ac:dyDescent="0.3">
      <c r="B226" s="6">
        <v>189</v>
      </c>
      <c r="C226" s="79" t="str">
        <f t="shared" si="62"/>
        <v/>
      </c>
      <c r="D226" s="6" t="str">
        <f t="shared" si="42"/>
        <v/>
      </c>
      <c r="E226" s="79" t="str">
        <f t="shared" si="54"/>
        <v/>
      </c>
      <c r="F226" s="79" t="str">
        <f>IF(B225&gt;$C$18,"",IF(COUNTIF(Feriados!$A$2:$B$17,EDATE($C$38,B225))=0,EDATE($C$38,B225),EDATE($C$38,B225)+VLOOKUP(EDATE($C$38,B225),Feriados!$A$2:$B$17,2,FALSE)))</f>
        <v/>
      </c>
      <c r="G226" s="6" t="str">
        <f t="shared" si="55"/>
        <v/>
      </c>
      <c r="H226" s="6" t="str">
        <f t="shared" si="56"/>
        <v/>
      </c>
      <c r="I226" s="8" t="str">
        <f t="shared" si="57"/>
        <v/>
      </c>
      <c r="J226" s="8" t="str">
        <f t="shared" si="58"/>
        <v/>
      </c>
      <c r="K226" s="9" t="str">
        <f t="shared" si="43"/>
        <v/>
      </c>
      <c r="L226" s="9" t="str">
        <f t="shared" si="59"/>
        <v/>
      </c>
      <c r="M226" s="10" t="str">
        <f t="shared" si="44"/>
        <v/>
      </c>
      <c r="N226" s="6" t="str">
        <f t="shared" si="45"/>
        <v/>
      </c>
      <c r="O226" s="9" t="str">
        <f t="shared" si="46"/>
        <v/>
      </c>
      <c r="P226" s="9" t="str">
        <f t="shared" si="47"/>
        <v/>
      </c>
      <c r="Q226" s="9" t="str">
        <f t="shared" si="48"/>
        <v/>
      </c>
      <c r="R226" s="9" t="str">
        <f t="shared" ca="1" si="49"/>
        <v/>
      </c>
      <c r="T226" s="6" t="str">
        <f t="shared" si="50"/>
        <v/>
      </c>
      <c r="U226" s="6" t="str">
        <f t="shared" si="51"/>
        <v/>
      </c>
      <c r="V226" s="10" t="str">
        <f t="shared" si="52"/>
        <v/>
      </c>
      <c r="W226" s="8" t="str">
        <f t="shared" si="53"/>
        <v/>
      </c>
      <c r="X226" s="9">
        <f t="shared" si="60"/>
        <v>0</v>
      </c>
      <c r="Y226" s="9">
        <f t="shared" si="61"/>
        <v>0</v>
      </c>
    </row>
    <row r="227" spans="2:25" x14ac:dyDescent="0.3">
      <c r="B227" s="6">
        <v>190</v>
      </c>
      <c r="C227" s="79" t="str">
        <f t="shared" si="62"/>
        <v/>
      </c>
      <c r="D227" s="6" t="str">
        <f t="shared" si="42"/>
        <v/>
      </c>
      <c r="E227" s="79" t="str">
        <f t="shared" si="54"/>
        <v/>
      </c>
      <c r="F227" s="79" t="str">
        <f>IF(B226&gt;$C$18,"",IF(COUNTIF(Feriados!$A$2:$B$17,EDATE($C$38,B226))=0,EDATE($C$38,B226),EDATE($C$38,B226)+VLOOKUP(EDATE($C$38,B226),Feriados!$A$2:$B$17,2,FALSE)))</f>
        <v/>
      </c>
      <c r="G227" s="6" t="str">
        <f t="shared" si="55"/>
        <v/>
      </c>
      <c r="H227" s="6" t="str">
        <f t="shared" si="56"/>
        <v/>
      </c>
      <c r="I227" s="8" t="str">
        <f t="shared" si="57"/>
        <v/>
      </c>
      <c r="J227" s="8" t="str">
        <f t="shared" si="58"/>
        <v/>
      </c>
      <c r="K227" s="9" t="str">
        <f t="shared" si="43"/>
        <v/>
      </c>
      <c r="L227" s="9" t="str">
        <f t="shared" si="59"/>
        <v/>
      </c>
      <c r="M227" s="10" t="str">
        <f t="shared" si="44"/>
        <v/>
      </c>
      <c r="N227" s="6" t="str">
        <f t="shared" si="45"/>
        <v/>
      </c>
      <c r="O227" s="9" t="str">
        <f t="shared" si="46"/>
        <v/>
      </c>
      <c r="P227" s="9" t="str">
        <f t="shared" si="47"/>
        <v/>
      </c>
      <c r="Q227" s="9" t="str">
        <f t="shared" si="48"/>
        <v/>
      </c>
      <c r="R227" s="9" t="str">
        <f t="shared" ca="1" si="49"/>
        <v/>
      </c>
      <c r="T227" s="6" t="str">
        <f t="shared" si="50"/>
        <v/>
      </c>
      <c r="U227" s="6" t="str">
        <f t="shared" si="51"/>
        <v/>
      </c>
      <c r="V227" s="10" t="str">
        <f t="shared" si="52"/>
        <v/>
      </c>
      <c r="W227" s="8" t="str">
        <f t="shared" si="53"/>
        <v/>
      </c>
      <c r="X227" s="9">
        <f t="shared" si="60"/>
        <v>0</v>
      </c>
      <c r="Y227" s="9">
        <f t="shared" si="61"/>
        <v>0</v>
      </c>
    </row>
    <row r="228" spans="2:25" x14ac:dyDescent="0.3">
      <c r="B228" s="6">
        <v>191</v>
      </c>
      <c r="C228" s="79" t="str">
        <f t="shared" si="62"/>
        <v/>
      </c>
      <c r="D228" s="6" t="str">
        <f t="shared" si="42"/>
        <v/>
      </c>
      <c r="E228" s="79" t="str">
        <f t="shared" si="54"/>
        <v/>
      </c>
      <c r="F228" s="79" t="str">
        <f>IF(B227&gt;$C$18,"",IF(COUNTIF(Feriados!$A$2:$B$17,EDATE($C$38,B227))=0,EDATE($C$38,B227),EDATE($C$38,B227)+VLOOKUP(EDATE($C$38,B227),Feriados!$A$2:$B$17,2,FALSE)))</f>
        <v/>
      </c>
      <c r="G228" s="6" t="str">
        <f t="shared" si="55"/>
        <v/>
      </c>
      <c r="H228" s="6" t="str">
        <f t="shared" si="56"/>
        <v/>
      </c>
      <c r="I228" s="8" t="str">
        <f t="shared" si="57"/>
        <v/>
      </c>
      <c r="J228" s="8" t="str">
        <f t="shared" si="58"/>
        <v/>
      </c>
      <c r="K228" s="9" t="str">
        <f t="shared" si="43"/>
        <v/>
      </c>
      <c r="L228" s="9" t="str">
        <f t="shared" si="59"/>
        <v/>
      </c>
      <c r="M228" s="10" t="str">
        <f t="shared" si="44"/>
        <v/>
      </c>
      <c r="N228" s="6" t="str">
        <f t="shared" si="45"/>
        <v/>
      </c>
      <c r="O228" s="9" t="str">
        <f t="shared" si="46"/>
        <v/>
      </c>
      <c r="P228" s="9" t="str">
        <f t="shared" si="47"/>
        <v/>
      </c>
      <c r="Q228" s="9" t="str">
        <f t="shared" si="48"/>
        <v/>
      </c>
      <c r="R228" s="9" t="str">
        <f t="shared" ca="1" si="49"/>
        <v/>
      </c>
      <c r="T228" s="6" t="str">
        <f t="shared" si="50"/>
        <v/>
      </c>
      <c r="U228" s="6" t="str">
        <f t="shared" si="51"/>
        <v/>
      </c>
      <c r="V228" s="10" t="str">
        <f t="shared" si="52"/>
        <v/>
      </c>
      <c r="W228" s="8" t="str">
        <f t="shared" si="53"/>
        <v/>
      </c>
      <c r="X228" s="9">
        <f t="shared" si="60"/>
        <v>0</v>
      </c>
      <c r="Y228" s="9">
        <f t="shared" si="61"/>
        <v>0</v>
      </c>
    </row>
    <row r="229" spans="2:25" x14ac:dyDescent="0.3">
      <c r="B229" s="6">
        <v>192</v>
      </c>
      <c r="C229" s="79" t="str">
        <f t="shared" si="62"/>
        <v/>
      </c>
      <c r="D229" s="6" t="str">
        <f t="shared" si="42"/>
        <v/>
      </c>
      <c r="E229" s="79" t="str">
        <f t="shared" si="54"/>
        <v/>
      </c>
      <c r="F229" s="79" t="str">
        <f>IF(B228&gt;$C$18,"",IF(COUNTIF(Feriados!$A$2:$B$17,EDATE($C$38,B228))=0,EDATE($C$38,B228),EDATE($C$38,B228)+VLOOKUP(EDATE($C$38,B228),Feriados!$A$2:$B$17,2,FALSE)))</f>
        <v/>
      </c>
      <c r="G229" s="6" t="str">
        <f t="shared" si="55"/>
        <v/>
      </c>
      <c r="H229" s="6" t="str">
        <f t="shared" si="56"/>
        <v/>
      </c>
      <c r="I229" s="8" t="str">
        <f t="shared" si="57"/>
        <v/>
      </c>
      <c r="J229" s="8" t="str">
        <f t="shared" si="58"/>
        <v/>
      </c>
      <c r="K229" s="9" t="str">
        <f t="shared" si="43"/>
        <v/>
      </c>
      <c r="L229" s="9" t="str">
        <f t="shared" si="59"/>
        <v/>
      </c>
      <c r="M229" s="10" t="str">
        <f t="shared" si="44"/>
        <v/>
      </c>
      <c r="N229" s="6" t="str">
        <f t="shared" si="45"/>
        <v/>
      </c>
      <c r="O229" s="9" t="str">
        <f t="shared" si="46"/>
        <v/>
      </c>
      <c r="P229" s="9" t="str">
        <f t="shared" si="47"/>
        <v/>
      </c>
      <c r="Q229" s="9" t="str">
        <f t="shared" si="48"/>
        <v/>
      </c>
      <c r="R229" s="9" t="str">
        <f t="shared" ca="1" si="49"/>
        <v/>
      </c>
      <c r="T229" s="6" t="str">
        <f t="shared" si="50"/>
        <v/>
      </c>
      <c r="U229" s="6" t="str">
        <f t="shared" si="51"/>
        <v/>
      </c>
      <c r="V229" s="10" t="str">
        <f t="shared" si="52"/>
        <v/>
      </c>
      <c r="W229" s="8" t="str">
        <f t="shared" si="53"/>
        <v/>
      </c>
      <c r="X229" s="9">
        <f t="shared" si="60"/>
        <v>0</v>
      </c>
      <c r="Y229" s="9">
        <f t="shared" si="61"/>
        <v>0</v>
      </c>
    </row>
    <row r="230" spans="2:25" x14ac:dyDescent="0.3">
      <c r="B230" s="6">
        <v>193</v>
      </c>
      <c r="C230" s="79" t="str">
        <f t="shared" si="62"/>
        <v/>
      </c>
      <c r="D230" s="6" t="str">
        <f t="shared" ref="D230:D293" si="63">IF(B230&lt;=$C$18,WEEKDAY(C230,2),"")</f>
        <v/>
      </c>
      <c r="E230" s="79" t="str">
        <f t="shared" si="54"/>
        <v/>
      </c>
      <c r="F230" s="79" t="str">
        <f>IF(B229&gt;$C$18,"",IF(COUNTIF(Feriados!$A$2:$B$17,EDATE($C$38,B229))=0,EDATE($C$38,B229),EDATE($C$38,B229)+VLOOKUP(EDATE($C$38,B229),Feriados!$A$2:$B$17,2,FALSE)))</f>
        <v/>
      </c>
      <c r="G230" s="6" t="str">
        <f t="shared" si="55"/>
        <v/>
      </c>
      <c r="H230" s="6" t="str">
        <f t="shared" si="56"/>
        <v/>
      </c>
      <c r="I230" s="8" t="str">
        <f t="shared" si="57"/>
        <v/>
      </c>
      <c r="J230" s="8" t="str">
        <f t="shared" si="58"/>
        <v/>
      </c>
      <c r="K230" s="9" t="str">
        <f t="shared" ref="K230:K293" si="64">IF(B230&gt;C$18,"",((1+C$25)^(G230/360)-1)*I230)</f>
        <v/>
      </c>
      <c r="L230" s="9" t="str">
        <f t="shared" si="59"/>
        <v/>
      </c>
      <c r="M230" s="10" t="str">
        <f t="shared" ref="M230:M293" si="65">IF(B230&gt;C$18,"",C$27*C$28)</f>
        <v/>
      </c>
      <c r="N230" s="6" t="str">
        <f t="shared" ref="N230:N293" si="66">IF(B230&gt;C$18,"",C$29)</f>
        <v/>
      </c>
      <c r="O230" s="9" t="str">
        <f t="shared" ref="O230:O293" si="67">IF(B230&gt;C$18,"",IF(B230=C$18,I230+K230+L230+M230+N230,IF(AND(C$23=2,MONTH(E230)=7),2*C$30,IF(AND(C$24=2,MONTH(E230)=12),2*C$30,C$30))))</f>
        <v/>
      </c>
      <c r="P230" s="9" t="str">
        <f t="shared" ref="P230:P293" si="68">IF(B230&gt;C$18,"",I230-J230)</f>
        <v/>
      </c>
      <c r="Q230" s="9" t="str">
        <f t="shared" ref="Q230:Q293" si="69">IFERROR(IF(AND(MONTH(E230)=7,C$23=2),2/(1+C$26)^(H230/360),IF(AND(MONTH(E230)=12,C$24=2),2/(1+C$26)^(H230/360),1/(1+C$26)^(H230/360))),"")</f>
        <v/>
      </c>
      <c r="R230" s="9" t="str">
        <f t="shared" ref="R230:R293" ca="1" si="70">IFERROR(1/(1+C$26)^(H230/360),"")</f>
        <v/>
      </c>
      <c r="T230" s="6" t="str">
        <f t="shared" ref="T230:T293" si="71">IFERROR(J230+K230+L230+M230+N230,"")</f>
        <v/>
      </c>
      <c r="U230" s="6" t="str">
        <f t="shared" ref="U230:U293" si="72">H230</f>
        <v/>
      </c>
      <c r="V230" s="10" t="str">
        <f t="shared" ref="V230:V293" si="73">IFERROR((1+C$32)^(U230/360),"")</f>
        <v/>
      </c>
      <c r="W230" s="8" t="str">
        <f t="shared" ref="W230:W293" si="74">IFERROR(ROUND(T230/V230,2),"")</f>
        <v/>
      </c>
      <c r="X230" s="9">
        <f t="shared" si="60"/>
        <v>0</v>
      </c>
      <c r="Y230" s="9">
        <f t="shared" si="61"/>
        <v>0</v>
      </c>
    </row>
    <row r="231" spans="2:25" x14ac:dyDescent="0.3">
      <c r="B231" s="6">
        <v>194</v>
      </c>
      <c r="C231" s="79" t="str">
        <f t="shared" si="62"/>
        <v/>
      </c>
      <c r="D231" s="6" t="str">
        <f t="shared" si="63"/>
        <v/>
      </c>
      <c r="E231" s="79" t="str">
        <f t="shared" ref="E231:E294" si="75">IF(D231=7,C231+1,C231)</f>
        <v/>
      </c>
      <c r="F231" s="79" t="str">
        <f>IF(B230&gt;$C$18,"",IF(COUNTIF(Feriados!$A$2:$B$17,EDATE($C$38,B230))=0,EDATE($C$38,B230),EDATE($C$38,B230)+VLOOKUP(EDATE($C$38,B230),Feriados!$A$2:$B$17,2,FALSE)))</f>
        <v/>
      </c>
      <c r="G231" s="6" t="str">
        <f t="shared" ref="G231:G294" si="76">IF(B231&gt;C$18,"",E231-E230)</f>
        <v/>
      </c>
      <c r="H231" s="6" t="str">
        <f t="shared" ref="H231:H294" si="77">IFERROR(G231+H230,"")</f>
        <v/>
      </c>
      <c r="I231" s="8" t="str">
        <f t="shared" ref="I231:I294" si="78">IF(B231&gt;C$18,"",P230)</f>
        <v/>
      </c>
      <c r="J231" s="8" t="str">
        <f t="shared" ref="J231:J294" si="79">IF(B231&gt;C$18,"",O231-N231-M231-L231-K231)</f>
        <v/>
      </c>
      <c r="K231" s="9" t="str">
        <f t="shared" si="64"/>
        <v/>
      </c>
      <c r="L231" s="9" t="str">
        <f t="shared" ref="L231:L294" si="80">IF(B231&gt;C$18,"",((1+C$13)^(G231/30)-1)*I231)</f>
        <v/>
      </c>
      <c r="M231" s="10" t="str">
        <f t="shared" si="65"/>
        <v/>
      </c>
      <c r="N231" s="6" t="str">
        <f t="shared" si="66"/>
        <v/>
      </c>
      <c r="O231" s="9" t="str">
        <f t="shared" si="67"/>
        <v/>
      </c>
      <c r="P231" s="9" t="str">
        <f t="shared" si="68"/>
        <v/>
      </c>
      <c r="Q231" s="9" t="str">
        <f t="shared" si="69"/>
        <v/>
      </c>
      <c r="R231" s="9" t="str">
        <f t="shared" ca="1" si="70"/>
        <v/>
      </c>
      <c r="T231" s="6" t="str">
        <f t="shared" si="71"/>
        <v/>
      </c>
      <c r="U231" s="6" t="str">
        <f t="shared" si="72"/>
        <v/>
      </c>
      <c r="V231" s="10" t="str">
        <f t="shared" si="73"/>
        <v/>
      </c>
      <c r="W231" s="8" t="str">
        <f t="shared" si="74"/>
        <v/>
      </c>
      <c r="X231" s="9">
        <f t="shared" ref="X231:X294" si="81">IF(O231="",0,L231/((1+$I$9)^B231))</f>
        <v>0</v>
      </c>
      <c r="Y231" s="9">
        <f t="shared" ref="Y231:Y294" si="82">IF(O231="",0,L231/((1+$Q$30)^B231))</f>
        <v>0</v>
      </c>
    </row>
    <row r="232" spans="2:25" x14ac:dyDescent="0.3">
      <c r="B232" s="6">
        <v>195</v>
      </c>
      <c r="C232" s="79" t="str">
        <f t="shared" ref="C232:C295" si="83">IF(B232&gt;$C$18,"",IF(WEEKDAY(F232,2)=7,F232+1,F232))</f>
        <v/>
      </c>
      <c r="D232" s="6" t="str">
        <f t="shared" si="63"/>
        <v/>
      </c>
      <c r="E232" s="79" t="str">
        <f t="shared" si="75"/>
        <v/>
      </c>
      <c r="F232" s="79" t="str">
        <f>IF(B231&gt;$C$18,"",IF(COUNTIF(Feriados!$A$2:$B$17,EDATE($C$38,B231))=0,EDATE($C$38,B231),EDATE($C$38,B231)+VLOOKUP(EDATE($C$38,B231),Feriados!$A$2:$B$17,2,FALSE)))</f>
        <v/>
      </c>
      <c r="G232" s="6" t="str">
        <f t="shared" si="76"/>
        <v/>
      </c>
      <c r="H232" s="6" t="str">
        <f t="shared" si="77"/>
        <v/>
      </c>
      <c r="I232" s="8" t="str">
        <f t="shared" si="78"/>
        <v/>
      </c>
      <c r="J232" s="8" t="str">
        <f t="shared" si="79"/>
        <v/>
      </c>
      <c r="K232" s="9" t="str">
        <f t="shared" si="64"/>
        <v/>
      </c>
      <c r="L232" s="9" t="str">
        <f t="shared" si="80"/>
        <v/>
      </c>
      <c r="M232" s="10" t="str">
        <f t="shared" si="65"/>
        <v/>
      </c>
      <c r="N232" s="6" t="str">
        <f t="shared" si="66"/>
        <v/>
      </c>
      <c r="O232" s="9" t="str">
        <f t="shared" si="67"/>
        <v/>
      </c>
      <c r="P232" s="9" t="str">
        <f t="shared" si="68"/>
        <v/>
      </c>
      <c r="Q232" s="9" t="str">
        <f t="shared" si="69"/>
        <v/>
      </c>
      <c r="R232" s="9" t="str">
        <f t="shared" ca="1" si="70"/>
        <v/>
      </c>
      <c r="T232" s="6" t="str">
        <f t="shared" si="71"/>
        <v/>
      </c>
      <c r="U232" s="6" t="str">
        <f t="shared" si="72"/>
        <v/>
      </c>
      <c r="V232" s="10" t="str">
        <f t="shared" si="73"/>
        <v/>
      </c>
      <c r="W232" s="8" t="str">
        <f t="shared" si="74"/>
        <v/>
      </c>
      <c r="X232" s="9">
        <f t="shared" si="81"/>
        <v>0</v>
      </c>
      <c r="Y232" s="9">
        <f t="shared" si="82"/>
        <v>0</v>
      </c>
    </row>
    <row r="233" spans="2:25" x14ac:dyDescent="0.3">
      <c r="B233" s="6">
        <v>196</v>
      </c>
      <c r="C233" s="79" t="str">
        <f t="shared" si="83"/>
        <v/>
      </c>
      <c r="D233" s="6" t="str">
        <f t="shared" si="63"/>
        <v/>
      </c>
      <c r="E233" s="79" t="str">
        <f t="shared" si="75"/>
        <v/>
      </c>
      <c r="F233" s="79" t="str">
        <f>IF(B232&gt;$C$18,"",IF(COUNTIF(Feriados!$A$2:$B$17,EDATE($C$38,B232))=0,EDATE($C$38,B232),EDATE($C$38,B232)+VLOOKUP(EDATE($C$38,B232),Feriados!$A$2:$B$17,2,FALSE)))</f>
        <v/>
      </c>
      <c r="G233" s="6" t="str">
        <f t="shared" si="76"/>
        <v/>
      </c>
      <c r="H233" s="6" t="str">
        <f t="shared" si="77"/>
        <v/>
      </c>
      <c r="I233" s="8" t="str">
        <f t="shared" si="78"/>
        <v/>
      </c>
      <c r="J233" s="8" t="str">
        <f t="shared" si="79"/>
        <v/>
      </c>
      <c r="K233" s="9" t="str">
        <f t="shared" si="64"/>
        <v/>
      </c>
      <c r="L233" s="9" t="str">
        <f t="shared" si="80"/>
        <v/>
      </c>
      <c r="M233" s="10" t="str">
        <f t="shared" si="65"/>
        <v/>
      </c>
      <c r="N233" s="6" t="str">
        <f t="shared" si="66"/>
        <v/>
      </c>
      <c r="O233" s="9" t="str">
        <f t="shared" si="67"/>
        <v/>
      </c>
      <c r="P233" s="9" t="str">
        <f t="shared" si="68"/>
        <v/>
      </c>
      <c r="Q233" s="9" t="str">
        <f t="shared" si="69"/>
        <v/>
      </c>
      <c r="R233" s="9" t="str">
        <f t="shared" ca="1" si="70"/>
        <v/>
      </c>
      <c r="T233" s="6" t="str">
        <f t="shared" si="71"/>
        <v/>
      </c>
      <c r="U233" s="6" t="str">
        <f t="shared" si="72"/>
        <v/>
      </c>
      <c r="V233" s="10" t="str">
        <f t="shared" si="73"/>
        <v/>
      </c>
      <c r="W233" s="8" t="str">
        <f t="shared" si="74"/>
        <v/>
      </c>
      <c r="X233" s="9">
        <f t="shared" si="81"/>
        <v>0</v>
      </c>
      <c r="Y233" s="9">
        <f t="shared" si="82"/>
        <v>0</v>
      </c>
    </row>
    <row r="234" spans="2:25" x14ac:dyDescent="0.3">
      <c r="B234" s="6">
        <v>197</v>
      </c>
      <c r="C234" s="79" t="str">
        <f t="shared" si="83"/>
        <v/>
      </c>
      <c r="D234" s="6" t="str">
        <f t="shared" si="63"/>
        <v/>
      </c>
      <c r="E234" s="79" t="str">
        <f t="shared" si="75"/>
        <v/>
      </c>
      <c r="F234" s="79" t="str">
        <f>IF(B233&gt;$C$18,"",IF(COUNTIF(Feriados!$A$2:$B$17,EDATE($C$38,B233))=0,EDATE($C$38,B233),EDATE($C$38,B233)+VLOOKUP(EDATE($C$38,B233),Feriados!$A$2:$B$17,2,FALSE)))</f>
        <v/>
      </c>
      <c r="G234" s="6" t="str">
        <f t="shared" si="76"/>
        <v/>
      </c>
      <c r="H234" s="6" t="str">
        <f t="shared" si="77"/>
        <v/>
      </c>
      <c r="I234" s="8" t="str">
        <f t="shared" si="78"/>
        <v/>
      </c>
      <c r="J234" s="8" t="str">
        <f t="shared" si="79"/>
        <v/>
      </c>
      <c r="K234" s="9" t="str">
        <f t="shared" si="64"/>
        <v/>
      </c>
      <c r="L234" s="9" t="str">
        <f t="shared" si="80"/>
        <v/>
      </c>
      <c r="M234" s="10" t="str">
        <f t="shared" si="65"/>
        <v/>
      </c>
      <c r="N234" s="6" t="str">
        <f t="shared" si="66"/>
        <v/>
      </c>
      <c r="O234" s="9" t="str">
        <f t="shared" si="67"/>
        <v/>
      </c>
      <c r="P234" s="9" t="str">
        <f t="shared" si="68"/>
        <v/>
      </c>
      <c r="Q234" s="9" t="str">
        <f t="shared" si="69"/>
        <v/>
      </c>
      <c r="R234" s="9" t="str">
        <f t="shared" ca="1" si="70"/>
        <v/>
      </c>
      <c r="T234" s="6" t="str">
        <f t="shared" si="71"/>
        <v/>
      </c>
      <c r="U234" s="6" t="str">
        <f t="shared" si="72"/>
        <v/>
      </c>
      <c r="V234" s="10" t="str">
        <f t="shared" si="73"/>
        <v/>
      </c>
      <c r="W234" s="8" t="str">
        <f t="shared" si="74"/>
        <v/>
      </c>
      <c r="X234" s="9">
        <f t="shared" si="81"/>
        <v>0</v>
      </c>
      <c r="Y234" s="9">
        <f t="shared" si="82"/>
        <v>0</v>
      </c>
    </row>
    <row r="235" spans="2:25" x14ac:dyDescent="0.3">
      <c r="B235" s="6">
        <v>198</v>
      </c>
      <c r="C235" s="79" t="str">
        <f t="shared" si="83"/>
        <v/>
      </c>
      <c r="D235" s="6" t="str">
        <f t="shared" si="63"/>
        <v/>
      </c>
      <c r="E235" s="79" t="str">
        <f t="shared" si="75"/>
        <v/>
      </c>
      <c r="F235" s="79" t="str">
        <f>IF(B234&gt;$C$18,"",IF(COUNTIF(Feriados!$A$2:$B$17,EDATE($C$38,B234))=0,EDATE($C$38,B234),EDATE($C$38,B234)+VLOOKUP(EDATE($C$38,B234),Feriados!$A$2:$B$17,2,FALSE)))</f>
        <v/>
      </c>
      <c r="G235" s="6" t="str">
        <f t="shared" si="76"/>
        <v/>
      </c>
      <c r="H235" s="6" t="str">
        <f t="shared" si="77"/>
        <v/>
      </c>
      <c r="I235" s="8" t="str">
        <f t="shared" si="78"/>
        <v/>
      </c>
      <c r="J235" s="8" t="str">
        <f t="shared" si="79"/>
        <v/>
      </c>
      <c r="K235" s="9" t="str">
        <f t="shared" si="64"/>
        <v/>
      </c>
      <c r="L235" s="9" t="str">
        <f t="shared" si="80"/>
        <v/>
      </c>
      <c r="M235" s="10" t="str">
        <f t="shared" si="65"/>
        <v/>
      </c>
      <c r="N235" s="6" t="str">
        <f t="shared" si="66"/>
        <v/>
      </c>
      <c r="O235" s="9" t="str">
        <f t="shared" si="67"/>
        <v/>
      </c>
      <c r="P235" s="9" t="str">
        <f t="shared" si="68"/>
        <v/>
      </c>
      <c r="Q235" s="9" t="str">
        <f t="shared" si="69"/>
        <v/>
      </c>
      <c r="R235" s="9" t="str">
        <f t="shared" ca="1" si="70"/>
        <v/>
      </c>
      <c r="T235" s="6" t="str">
        <f t="shared" si="71"/>
        <v/>
      </c>
      <c r="U235" s="6" t="str">
        <f t="shared" si="72"/>
        <v/>
      </c>
      <c r="V235" s="10" t="str">
        <f t="shared" si="73"/>
        <v/>
      </c>
      <c r="W235" s="8" t="str">
        <f t="shared" si="74"/>
        <v/>
      </c>
      <c r="X235" s="9">
        <f t="shared" si="81"/>
        <v>0</v>
      </c>
      <c r="Y235" s="9">
        <f t="shared" si="82"/>
        <v>0</v>
      </c>
    </row>
    <row r="236" spans="2:25" x14ac:dyDescent="0.3">
      <c r="B236" s="6">
        <v>199</v>
      </c>
      <c r="C236" s="79" t="str">
        <f t="shared" si="83"/>
        <v/>
      </c>
      <c r="D236" s="6" t="str">
        <f t="shared" si="63"/>
        <v/>
      </c>
      <c r="E236" s="79" t="str">
        <f t="shared" si="75"/>
        <v/>
      </c>
      <c r="F236" s="79" t="str">
        <f>IF(B235&gt;$C$18,"",IF(COUNTIF(Feriados!$A$2:$B$17,EDATE($C$38,B235))=0,EDATE($C$38,B235),EDATE($C$38,B235)+VLOOKUP(EDATE($C$38,B235),Feriados!$A$2:$B$17,2,FALSE)))</f>
        <v/>
      </c>
      <c r="G236" s="6" t="str">
        <f t="shared" si="76"/>
        <v/>
      </c>
      <c r="H236" s="6" t="str">
        <f t="shared" si="77"/>
        <v/>
      </c>
      <c r="I236" s="8" t="str">
        <f t="shared" si="78"/>
        <v/>
      </c>
      <c r="J236" s="8" t="str">
        <f t="shared" si="79"/>
        <v/>
      </c>
      <c r="K236" s="9" t="str">
        <f t="shared" si="64"/>
        <v/>
      </c>
      <c r="L236" s="9" t="str">
        <f t="shared" si="80"/>
        <v/>
      </c>
      <c r="M236" s="10" t="str">
        <f t="shared" si="65"/>
        <v/>
      </c>
      <c r="N236" s="6" t="str">
        <f t="shared" si="66"/>
        <v/>
      </c>
      <c r="O236" s="9" t="str">
        <f t="shared" si="67"/>
        <v/>
      </c>
      <c r="P236" s="9" t="str">
        <f t="shared" si="68"/>
        <v/>
      </c>
      <c r="Q236" s="9" t="str">
        <f t="shared" si="69"/>
        <v/>
      </c>
      <c r="R236" s="9" t="str">
        <f t="shared" ca="1" si="70"/>
        <v/>
      </c>
      <c r="T236" s="6" t="str">
        <f t="shared" si="71"/>
        <v/>
      </c>
      <c r="U236" s="6" t="str">
        <f t="shared" si="72"/>
        <v/>
      </c>
      <c r="V236" s="10" t="str">
        <f t="shared" si="73"/>
        <v/>
      </c>
      <c r="W236" s="8" t="str">
        <f t="shared" si="74"/>
        <v/>
      </c>
      <c r="X236" s="9">
        <f t="shared" si="81"/>
        <v>0</v>
      </c>
      <c r="Y236" s="9">
        <f t="shared" si="82"/>
        <v>0</v>
      </c>
    </row>
    <row r="237" spans="2:25" x14ac:dyDescent="0.3">
      <c r="B237" s="6">
        <v>200</v>
      </c>
      <c r="C237" s="79" t="str">
        <f t="shared" si="83"/>
        <v/>
      </c>
      <c r="D237" s="6" t="str">
        <f t="shared" si="63"/>
        <v/>
      </c>
      <c r="E237" s="79" t="str">
        <f t="shared" si="75"/>
        <v/>
      </c>
      <c r="F237" s="79" t="str">
        <f>IF(B236&gt;$C$18,"",IF(COUNTIF(Feriados!$A$2:$B$17,EDATE($C$38,B236))=0,EDATE($C$38,B236),EDATE($C$38,B236)+VLOOKUP(EDATE($C$38,B236),Feriados!$A$2:$B$17,2,FALSE)))</f>
        <v/>
      </c>
      <c r="G237" s="6" t="str">
        <f t="shared" si="76"/>
        <v/>
      </c>
      <c r="H237" s="6" t="str">
        <f t="shared" si="77"/>
        <v/>
      </c>
      <c r="I237" s="8" t="str">
        <f t="shared" si="78"/>
        <v/>
      </c>
      <c r="J237" s="8" t="str">
        <f t="shared" si="79"/>
        <v/>
      </c>
      <c r="K237" s="9" t="str">
        <f t="shared" si="64"/>
        <v/>
      </c>
      <c r="L237" s="9" t="str">
        <f t="shared" si="80"/>
        <v/>
      </c>
      <c r="M237" s="10" t="str">
        <f t="shared" si="65"/>
        <v/>
      </c>
      <c r="N237" s="6" t="str">
        <f t="shared" si="66"/>
        <v/>
      </c>
      <c r="O237" s="9" t="str">
        <f t="shared" si="67"/>
        <v/>
      </c>
      <c r="P237" s="9" t="str">
        <f t="shared" si="68"/>
        <v/>
      </c>
      <c r="Q237" s="9" t="str">
        <f t="shared" si="69"/>
        <v/>
      </c>
      <c r="R237" s="9" t="str">
        <f t="shared" ca="1" si="70"/>
        <v/>
      </c>
      <c r="T237" s="6" t="str">
        <f t="shared" si="71"/>
        <v/>
      </c>
      <c r="U237" s="6" t="str">
        <f t="shared" si="72"/>
        <v/>
      </c>
      <c r="V237" s="10" t="str">
        <f t="shared" si="73"/>
        <v/>
      </c>
      <c r="W237" s="8" t="str">
        <f t="shared" si="74"/>
        <v/>
      </c>
      <c r="X237" s="9">
        <f t="shared" si="81"/>
        <v>0</v>
      </c>
      <c r="Y237" s="9">
        <f t="shared" si="82"/>
        <v>0</v>
      </c>
    </row>
    <row r="238" spans="2:25" x14ac:dyDescent="0.3">
      <c r="B238" s="6">
        <v>201</v>
      </c>
      <c r="C238" s="79" t="str">
        <f t="shared" si="83"/>
        <v/>
      </c>
      <c r="D238" s="6" t="str">
        <f t="shared" si="63"/>
        <v/>
      </c>
      <c r="E238" s="79" t="str">
        <f t="shared" si="75"/>
        <v/>
      </c>
      <c r="F238" s="79" t="str">
        <f>IF(B237&gt;$C$18,"",IF(COUNTIF(Feriados!$A$2:$B$17,EDATE($C$38,B237))=0,EDATE($C$38,B237),EDATE($C$38,B237)+VLOOKUP(EDATE($C$38,B237),Feriados!$A$2:$B$17,2,FALSE)))</f>
        <v/>
      </c>
      <c r="G238" s="6" t="str">
        <f t="shared" si="76"/>
        <v/>
      </c>
      <c r="H238" s="6" t="str">
        <f t="shared" si="77"/>
        <v/>
      </c>
      <c r="I238" s="8" t="str">
        <f t="shared" si="78"/>
        <v/>
      </c>
      <c r="J238" s="8" t="str">
        <f t="shared" si="79"/>
        <v/>
      </c>
      <c r="K238" s="9" t="str">
        <f t="shared" si="64"/>
        <v/>
      </c>
      <c r="L238" s="9" t="str">
        <f t="shared" si="80"/>
        <v/>
      </c>
      <c r="M238" s="10" t="str">
        <f t="shared" si="65"/>
        <v/>
      </c>
      <c r="N238" s="6" t="str">
        <f t="shared" si="66"/>
        <v/>
      </c>
      <c r="O238" s="9" t="str">
        <f t="shared" si="67"/>
        <v/>
      </c>
      <c r="P238" s="9" t="str">
        <f t="shared" si="68"/>
        <v/>
      </c>
      <c r="Q238" s="9" t="str">
        <f t="shared" si="69"/>
        <v/>
      </c>
      <c r="R238" s="9" t="str">
        <f t="shared" ca="1" si="70"/>
        <v/>
      </c>
      <c r="T238" s="6" t="str">
        <f t="shared" si="71"/>
        <v/>
      </c>
      <c r="U238" s="6" t="str">
        <f t="shared" si="72"/>
        <v/>
      </c>
      <c r="V238" s="10" t="str">
        <f t="shared" si="73"/>
        <v/>
      </c>
      <c r="W238" s="8" t="str">
        <f t="shared" si="74"/>
        <v/>
      </c>
      <c r="X238" s="9">
        <f t="shared" si="81"/>
        <v>0</v>
      </c>
      <c r="Y238" s="9">
        <f t="shared" si="82"/>
        <v>0</v>
      </c>
    </row>
    <row r="239" spans="2:25" x14ac:dyDescent="0.3">
      <c r="B239" s="6">
        <v>202</v>
      </c>
      <c r="C239" s="79" t="str">
        <f t="shared" si="83"/>
        <v/>
      </c>
      <c r="D239" s="6" t="str">
        <f t="shared" si="63"/>
        <v/>
      </c>
      <c r="E239" s="79" t="str">
        <f t="shared" si="75"/>
        <v/>
      </c>
      <c r="F239" s="79" t="str">
        <f>IF(B238&gt;$C$18,"",IF(COUNTIF(Feriados!$A$2:$B$17,EDATE($C$38,B238))=0,EDATE($C$38,B238),EDATE($C$38,B238)+VLOOKUP(EDATE($C$38,B238),Feriados!$A$2:$B$17,2,FALSE)))</f>
        <v/>
      </c>
      <c r="G239" s="6" t="str">
        <f t="shared" si="76"/>
        <v/>
      </c>
      <c r="H239" s="6" t="str">
        <f t="shared" si="77"/>
        <v/>
      </c>
      <c r="I239" s="8" t="str">
        <f t="shared" si="78"/>
        <v/>
      </c>
      <c r="J239" s="8" t="str">
        <f t="shared" si="79"/>
        <v/>
      </c>
      <c r="K239" s="9" t="str">
        <f t="shared" si="64"/>
        <v/>
      </c>
      <c r="L239" s="9" t="str">
        <f t="shared" si="80"/>
        <v/>
      </c>
      <c r="M239" s="10" t="str">
        <f t="shared" si="65"/>
        <v/>
      </c>
      <c r="N239" s="6" t="str">
        <f t="shared" si="66"/>
        <v/>
      </c>
      <c r="O239" s="9" t="str">
        <f t="shared" si="67"/>
        <v/>
      </c>
      <c r="P239" s="9" t="str">
        <f t="shared" si="68"/>
        <v/>
      </c>
      <c r="Q239" s="9" t="str">
        <f t="shared" si="69"/>
        <v/>
      </c>
      <c r="R239" s="9" t="str">
        <f t="shared" ca="1" si="70"/>
        <v/>
      </c>
      <c r="T239" s="6" t="str">
        <f t="shared" si="71"/>
        <v/>
      </c>
      <c r="U239" s="6" t="str">
        <f t="shared" si="72"/>
        <v/>
      </c>
      <c r="V239" s="10" t="str">
        <f t="shared" si="73"/>
        <v/>
      </c>
      <c r="W239" s="8" t="str">
        <f t="shared" si="74"/>
        <v/>
      </c>
      <c r="X239" s="9">
        <f t="shared" si="81"/>
        <v>0</v>
      </c>
      <c r="Y239" s="9">
        <f t="shared" si="82"/>
        <v>0</v>
      </c>
    </row>
    <row r="240" spans="2:25" x14ac:dyDescent="0.3">
      <c r="B240" s="6">
        <v>203</v>
      </c>
      <c r="C240" s="79" t="str">
        <f t="shared" si="83"/>
        <v/>
      </c>
      <c r="D240" s="6" t="str">
        <f t="shared" si="63"/>
        <v/>
      </c>
      <c r="E240" s="79" t="str">
        <f t="shared" si="75"/>
        <v/>
      </c>
      <c r="F240" s="79" t="str">
        <f>IF(B239&gt;$C$18,"",IF(COUNTIF(Feriados!$A$2:$B$17,EDATE($C$38,B239))=0,EDATE($C$38,B239),EDATE($C$38,B239)+VLOOKUP(EDATE($C$38,B239),Feriados!$A$2:$B$17,2,FALSE)))</f>
        <v/>
      </c>
      <c r="G240" s="6" t="str">
        <f t="shared" si="76"/>
        <v/>
      </c>
      <c r="H240" s="6" t="str">
        <f t="shared" si="77"/>
        <v/>
      </c>
      <c r="I240" s="8" t="str">
        <f t="shared" si="78"/>
        <v/>
      </c>
      <c r="J240" s="8" t="str">
        <f t="shared" si="79"/>
        <v/>
      </c>
      <c r="K240" s="9" t="str">
        <f t="shared" si="64"/>
        <v/>
      </c>
      <c r="L240" s="9" t="str">
        <f t="shared" si="80"/>
        <v/>
      </c>
      <c r="M240" s="10" t="str">
        <f t="shared" si="65"/>
        <v/>
      </c>
      <c r="N240" s="6" t="str">
        <f t="shared" si="66"/>
        <v/>
      </c>
      <c r="O240" s="9" t="str">
        <f t="shared" si="67"/>
        <v/>
      </c>
      <c r="P240" s="9" t="str">
        <f t="shared" si="68"/>
        <v/>
      </c>
      <c r="Q240" s="9" t="str">
        <f t="shared" si="69"/>
        <v/>
      </c>
      <c r="R240" s="9" t="str">
        <f t="shared" ca="1" si="70"/>
        <v/>
      </c>
      <c r="T240" s="6" t="str">
        <f t="shared" si="71"/>
        <v/>
      </c>
      <c r="U240" s="6" t="str">
        <f t="shared" si="72"/>
        <v/>
      </c>
      <c r="V240" s="10" t="str">
        <f t="shared" si="73"/>
        <v/>
      </c>
      <c r="W240" s="8" t="str">
        <f t="shared" si="74"/>
        <v/>
      </c>
      <c r="X240" s="9">
        <f t="shared" si="81"/>
        <v>0</v>
      </c>
      <c r="Y240" s="9">
        <f t="shared" si="82"/>
        <v>0</v>
      </c>
    </row>
    <row r="241" spans="2:25" x14ac:dyDescent="0.3">
      <c r="B241" s="6">
        <v>204</v>
      </c>
      <c r="C241" s="79" t="str">
        <f t="shared" si="83"/>
        <v/>
      </c>
      <c r="D241" s="6" t="str">
        <f t="shared" si="63"/>
        <v/>
      </c>
      <c r="E241" s="79" t="str">
        <f t="shared" si="75"/>
        <v/>
      </c>
      <c r="F241" s="79" t="str">
        <f>IF(B240&gt;$C$18,"",IF(COUNTIF(Feriados!$A$2:$B$17,EDATE($C$38,B240))=0,EDATE($C$38,B240),EDATE($C$38,B240)+VLOOKUP(EDATE($C$38,B240),Feriados!$A$2:$B$17,2,FALSE)))</f>
        <v/>
      </c>
      <c r="G241" s="6" t="str">
        <f t="shared" si="76"/>
        <v/>
      </c>
      <c r="H241" s="6" t="str">
        <f t="shared" si="77"/>
        <v/>
      </c>
      <c r="I241" s="8" t="str">
        <f t="shared" si="78"/>
        <v/>
      </c>
      <c r="J241" s="8" t="str">
        <f t="shared" si="79"/>
        <v/>
      </c>
      <c r="K241" s="9" t="str">
        <f t="shared" si="64"/>
        <v/>
      </c>
      <c r="L241" s="9" t="str">
        <f t="shared" si="80"/>
        <v/>
      </c>
      <c r="M241" s="10" t="str">
        <f t="shared" si="65"/>
        <v/>
      </c>
      <c r="N241" s="6" t="str">
        <f t="shared" si="66"/>
        <v/>
      </c>
      <c r="O241" s="9" t="str">
        <f t="shared" si="67"/>
        <v/>
      </c>
      <c r="P241" s="9" t="str">
        <f t="shared" si="68"/>
        <v/>
      </c>
      <c r="Q241" s="9" t="str">
        <f t="shared" si="69"/>
        <v/>
      </c>
      <c r="R241" s="9" t="str">
        <f t="shared" ca="1" si="70"/>
        <v/>
      </c>
      <c r="T241" s="6" t="str">
        <f t="shared" si="71"/>
        <v/>
      </c>
      <c r="U241" s="6" t="str">
        <f t="shared" si="72"/>
        <v/>
      </c>
      <c r="V241" s="10" t="str">
        <f t="shared" si="73"/>
        <v/>
      </c>
      <c r="W241" s="8" t="str">
        <f t="shared" si="74"/>
        <v/>
      </c>
      <c r="X241" s="9">
        <f t="shared" si="81"/>
        <v>0</v>
      </c>
      <c r="Y241" s="9">
        <f t="shared" si="82"/>
        <v>0</v>
      </c>
    </row>
    <row r="242" spans="2:25" x14ac:dyDescent="0.3">
      <c r="B242" s="6">
        <v>205</v>
      </c>
      <c r="C242" s="79" t="str">
        <f t="shared" si="83"/>
        <v/>
      </c>
      <c r="D242" s="6" t="str">
        <f t="shared" si="63"/>
        <v/>
      </c>
      <c r="E242" s="79" t="str">
        <f t="shared" si="75"/>
        <v/>
      </c>
      <c r="F242" s="79" t="str">
        <f>IF(B241&gt;$C$18,"",IF(COUNTIF(Feriados!$A$2:$B$17,EDATE($C$38,B241))=0,EDATE($C$38,B241),EDATE($C$38,B241)+VLOOKUP(EDATE($C$38,B241),Feriados!$A$2:$B$17,2,FALSE)))</f>
        <v/>
      </c>
      <c r="G242" s="6" t="str">
        <f t="shared" si="76"/>
        <v/>
      </c>
      <c r="H242" s="6" t="str">
        <f t="shared" si="77"/>
        <v/>
      </c>
      <c r="I242" s="8" t="str">
        <f t="shared" si="78"/>
        <v/>
      </c>
      <c r="J242" s="8" t="str">
        <f t="shared" si="79"/>
        <v/>
      </c>
      <c r="K242" s="9" t="str">
        <f t="shared" si="64"/>
        <v/>
      </c>
      <c r="L242" s="9" t="str">
        <f t="shared" si="80"/>
        <v/>
      </c>
      <c r="M242" s="10" t="str">
        <f t="shared" si="65"/>
        <v/>
      </c>
      <c r="N242" s="6" t="str">
        <f t="shared" si="66"/>
        <v/>
      </c>
      <c r="O242" s="9" t="str">
        <f t="shared" si="67"/>
        <v/>
      </c>
      <c r="P242" s="9" t="str">
        <f t="shared" si="68"/>
        <v/>
      </c>
      <c r="Q242" s="9" t="str">
        <f t="shared" si="69"/>
        <v/>
      </c>
      <c r="R242" s="9" t="str">
        <f t="shared" ca="1" si="70"/>
        <v/>
      </c>
      <c r="T242" s="6" t="str">
        <f t="shared" si="71"/>
        <v/>
      </c>
      <c r="U242" s="6" t="str">
        <f t="shared" si="72"/>
        <v/>
      </c>
      <c r="V242" s="10" t="str">
        <f t="shared" si="73"/>
        <v/>
      </c>
      <c r="W242" s="8" t="str">
        <f t="shared" si="74"/>
        <v/>
      </c>
      <c r="X242" s="9">
        <f t="shared" si="81"/>
        <v>0</v>
      </c>
      <c r="Y242" s="9">
        <f t="shared" si="82"/>
        <v>0</v>
      </c>
    </row>
    <row r="243" spans="2:25" x14ac:dyDescent="0.3">
      <c r="B243" s="6">
        <v>206</v>
      </c>
      <c r="C243" s="79" t="str">
        <f t="shared" si="83"/>
        <v/>
      </c>
      <c r="D243" s="6" t="str">
        <f t="shared" si="63"/>
        <v/>
      </c>
      <c r="E243" s="79" t="str">
        <f t="shared" si="75"/>
        <v/>
      </c>
      <c r="F243" s="79" t="str">
        <f>IF(B242&gt;$C$18,"",IF(COUNTIF(Feriados!$A$2:$B$17,EDATE($C$38,B242))=0,EDATE($C$38,B242),EDATE($C$38,B242)+VLOOKUP(EDATE($C$38,B242),Feriados!$A$2:$B$17,2,FALSE)))</f>
        <v/>
      </c>
      <c r="G243" s="6" t="str">
        <f t="shared" si="76"/>
        <v/>
      </c>
      <c r="H243" s="6" t="str">
        <f t="shared" si="77"/>
        <v/>
      </c>
      <c r="I243" s="8" t="str">
        <f t="shared" si="78"/>
        <v/>
      </c>
      <c r="J243" s="8" t="str">
        <f t="shared" si="79"/>
        <v/>
      </c>
      <c r="K243" s="9" t="str">
        <f t="shared" si="64"/>
        <v/>
      </c>
      <c r="L243" s="9" t="str">
        <f t="shared" si="80"/>
        <v/>
      </c>
      <c r="M243" s="10" t="str">
        <f t="shared" si="65"/>
        <v/>
      </c>
      <c r="N243" s="6" t="str">
        <f t="shared" si="66"/>
        <v/>
      </c>
      <c r="O243" s="9" t="str">
        <f t="shared" si="67"/>
        <v/>
      </c>
      <c r="P243" s="9" t="str">
        <f t="shared" si="68"/>
        <v/>
      </c>
      <c r="Q243" s="9" t="str">
        <f t="shared" si="69"/>
        <v/>
      </c>
      <c r="R243" s="9" t="str">
        <f t="shared" ca="1" si="70"/>
        <v/>
      </c>
      <c r="T243" s="6" t="str">
        <f t="shared" si="71"/>
        <v/>
      </c>
      <c r="U243" s="6" t="str">
        <f t="shared" si="72"/>
        <v/>
      </c>
      <c r="V243" s="10" t="str">
        <f t="shared" si="73"/>
        <v/>
      </c>
      <c r="W243" s="8" t="str">
        <f t="shared" si="74"/>
        <v/>
      </c>
      <c r="X243" s="9">
        <f t="shared" si="81"/>
        <v>0</v>
      </c>
      <c r="Y243" s="9">
        <f t="shared" si="82"/>
        <v>0</v>
      </c>
    </row>
    <row r="244" spans="2:25" x14ac:dyDescent="0.3">
      <c r="B244" s="6">
        <v>207</v>
      </c>
      <c r="C244" s="79" t="str">
        <f t="shared" si="83"/>
        <v/>
      </c>
      <c r="D244" s="6" t="str">
        <f t="shared" si="63"/>
        <v/>
      </c>
      <c r="E244" s="79" t="str">
        <f t="shared" si="75"/>
        <v/>
      </c>
      <c r="F244" s="79" t="str">
        <f>IF(B243&gt;$C$18,"",IF(COUNTIF(Feriados!$A$2:$B$17,EDATE($C$38,B243))=0,EDATE($C$38,B243),EDATE($C$38,B243)+VLOOKUP(EDATE($C$38,B243),Feriados!$A$2:$B$17,2,FALSE)))</f>
        <v/>
      </c>
      <c r="G244" s="6" t="str">
        <f t="shared" si="76"/>
        <v/>
      </c>
      <c r="H244" s="6" t="str">
        <f t="shared" si="77"/>
        <v/>
      </c>
      <c r="I244" s="8" t="str">
        <f t="shared" si="78"/>
        <v/>
      </c>
      <c r="J244" s="8" t="str">
        <f t="shared" si="79"/>
        <v/>
      </c>
      <c r="K244" s="9" t="str">
        <f t="shared" si="64"/>
        <v/>
      </c>
      <c r="L244" s="9" t="str">
        <f t="shared" si="80"/>
        <v/>
      </c>
      <c r="M244" s="10" t="str">
        <f t="shared" si="65"/>
        <v/>
      </c>
      <c r="N244" s="6" t="str">
        <f t="shared" si="66"/>
        <v/>
      </c>
      <c r="O244" s="9" t="str">
        <f t="shared" si="67"/>
        <v/>
      </c>
      <c r="P244" s="9" t="str">
        <f t="shared" si="68"/>
        <v/>
      </c>
      <c r="Q244" s="9" t="str">
        <f t="shared" si="69"/>
        <v/>
      </c>
      <c r="R244" s="9" t="str">
        <f t="shared" ca="1" si="70"/>
        <v/>
      </c>
      <c r="T244" s="6" t="str">
        <f t="shared" si="71"/>
        <v/>
      </c>
      <c r="U244" s="6" t="str">
        <f t="shared" si="72"/>
        <v/>
      </c>
      <c r="V244" s="10" t="str">
        <f t="shared" si="73"/>
        <v/>
      </c>
      <c r="W244" s="8" t="str">
        <f t="shared" si="74"/>
        <v/>
      </c>
      <c r="X244" s="9">
        <f t="shared" si="81"/>
        <v>0</v>
      </c>
      <c r="Y244" s="9">
        <f t="shared" si="82"/>
        <v>0</v>
      </c>
    </row>
    <row r="245" spans="2:25" x14ac:dyDescent="0.3">
      <c r="B245" s="6">
        <v>208</v>
      </c>
      <c r="C245" s="79" t="str">
        <f t="shared" si="83"/>
        <v/>
      </c>
      <c r="D245" s="6" t="str">
        <f t="shared" si="63"/>
        <v/>
      </c>
      <c r="E245" s="79" t="str">
        <f t="shared" si="75"/>
        <v/>
      </c>
      <c r="F245" s="79" t="str">
        <f>IF(B244&gt;$C$18,"",IF(COUNTIF(Feriados!$A$2:$B$17,EDATE($C$38,B244))=0,EDATE($C$38,B244),EDATE($C$38,B244)+VLOOKUP(EDATE($C$38,B244),Feriados!$A$2:$B$17,2,FALSE)))</f>
        <v/>
      </c>
      <c r="G245" s="6" t="str">
        <f t="shared" si="76"/>
        <v/>
      </c>
      <c r="H245" s="6" t="str">
        <f t="shared" si="77"/>
        <v/>
      </c>
      <c r="I245" s="8" t="str">
        <f t="shared" si="78"/>
        <v/>
      </c>
      <c r="J245" s="8" t="str">
        <f t="shared" si="79"/>
        <v/>
      </c>
      <c r="K245" s="9" t="str">
        <f t="shared" si="64"/>
        <v/>
      </c>
      <c r="L245" s="9" t="str">
        <f t="shared" si="80"/>
        <v/>
      </c>
      <c r="M245" s="10" t="str">
        <f t="shared" si="65"/>
        <v/>
      </c>
      <c r="N245" s="6" t="str">
        <f t="shared" si="66"/>
        <v/>
      </c>
      <c r="O245" s="9" t="str">
        <f t="shared" si="67"/>
        <v/>
      </c>
      <c r="P245" s="9" t="str">
        <f t="shared" si="68"/>
        <v/>
      </c>
      <c r="Q245" s="9" t="str">
        <f t="shared" si="69"/>
        <v/>
      </c>
      <c r="R245" s="9" t="str">
        <f t="shared" ca="1" si="70"/>
        <v/>
      </c>
      <c r="T245" s="6" t="str">
        <f t="shared" si="71"/>
        <v/>
      </c>
      <c r="U245" s="6" t="str">
        <f t="shared" si="72"/>
        <v/>
      </c>
      <c r="V245" s="10" t="str">
        <f t="shared" si="73"/>
        <v/>
      </c>
      <c r="W245" s="8" t="str">
        <f t="shared" si="74"/>
        <v/>
      </c>
      <c r="X245" s="9">
        <f t="shared" si="81"/>
        <v>0</v>
      </c>
      <c r="Y245" s="9">
        <f t="shared" si="82"/>
        <v>0</v>
      </c>
    </row>
    <row r="246" spans="2:25" x14ac:dyDescent="0.3">
      <c r="B246" s="6">
        <v>209</v>
      </c>
      <c r="C246" s="79" t="str">
        <f t="shared" si="83"/>
        <v/>
      </c>
      <c r="D246" s="6" t="str">
        <f t="shared" si="63"/>
        <v/>
      </c>
      <c r="E246" s="79" t="str">
        <f t="shared" si="75"/>
        <v/>
      </c>
      <c r="F246" s="79" t="str">
        <f>IF(B245&gt;$C$18,"",IF(COUNTIF(Feriados!$A$2:$B$17,EDATE($C$38,B245))=0,EDATE($C$38,B245),EDATE($C$38,B245)+VLOOKUP(EDATE($C$38,B245),Feriados!$A$2:$B$17,2,FALSE)))</f>
        <v/>
      </c>
      <c r="G246" s="6" t="str">
        <f t="shared" si="76"/>
        <v/>
      </c>
      <c r="H246" s="6" t="str">
        <f t="shared" si="77"/>
        <v/>
      </c>
      <c r="I246" s="8" t="str">
        <f t="shared" si="78"/>
        <v/>
      </c>
      <c r="J246" s="8" t="str">
        <f t="shared" si="79"/>
        <v/>
      </c>
      <c r="K246" s="9" t="str">
        <f t="shared" si="64"/>
        <v/>
      </c>
      <c r="L246" s="9" t="str">
        <f t="shared" si="80"/>
        <v/>
      </c>
      <c r="M246" s="10" t="str">
        <f t="shared" si="65"/>
        <v/>
      </c>
      <c r="N246" s="6" t="str">
        <f t="shared" si="66"/>
        <v/>
      </c>
      <c r="O246" s="9" t="str">
        <f t="shared" si="67"/>
        <v/>
      </c>
      <c r="P246" s="9" t="str">
        <f t="shared" si="68"/>
        <v/>
      </c>
      <c r="Q246" s="9" t="str">
        <f t="shared" si="69"/>
        <v/>
      </c>
      <c r="R246" s="9" t="str">
        <f t="shared" ca="1" si="70"/>
        <v/>
      </c>
      <c r="T246" s="6" t="str">
        <f t="shared" si="71"/>
        <v/>
      </c>
      <c r="U246" s="6" t="str">
        <f t="shared" si="72"/>
        <v/>
      </c>
      <c r="V246" s="10" t="str">
        <f t="shared" si="73"/>
        <v/>
      </c>
      <c r="W246" s="8" t="str">
        <f t="shared" si="74"/>
        <v/>
      </c>
      <c r="X246" s="9">
        <f t="shared" si="81"/>
        <v>0</v>
      </c>
      <c r="Y246" s="9">
        <f t="shared" si="82"/>
        <v>0</v>
      </c>
    </row>
    <row r="247" spans="2:25" x14ac:dyDescent="0.3">
      <c r="B247" s="6">
        <v>210</v>
      </c>
      <c r="C247" s="79" t="str">
        <f t="shared" si="83"/>
        <v/>
      </c>
      <c r="D247" s="6" t="str">
        <f t="shared" si="63"/>
        <v/>
      </c>
      <c r="E247" s="79" t="str">
        <f t="shared" si="75"/>
        <v/>
      </c>
      <c r="F247" s="79" t="str">
        <f>IF(B246&gt;$C$18,"",IF(COUNTIF(Feriados!$A$2:$B$17,EDATE($C$38,B246))=0,EDATE($C$38,B246),EDATE($C$38,B246)+VLOOKUP(EDATE($C$38,B246),Feriados!$A$2:$B$17,2,FALSE)))</f>
        <v/>
      </c>
      <c r="G247" s="6" t="str">
        <f t="shared" si="76"/>
        <v/>
      </c>
      <c r="H247" s="6" t="str">
        <f t="shared" si="77"/>
        <v/>
      </c>
      <c r="I247" s="8" t="str">
        <f t="shared" si="78"/>
        <v/>
      </c>
      <c r="J247" s="8" t="str">
        <f t="shared" si="79"/>
        <v/>
      </c>
      <c r="K247" s="9" t="str">
        <f t="shared" si="64"/>
        <v/>
      </c>
      <c r="L247" s="9" t="str">
        <f t="shared" si="80"/>
        <v/>
      </c>
      <c r="M247" s="10" t="str">
        <f t="shared" si="65"/>
        <v/>
      </c>
      <c r="N247" s="6" t="str">
        <f t="shared" si="66"/>
        <v/>
      </c>
      <c r="O247" s="9" t="str">
        <f t="shared" si="67"/>
        <v/>
      </c>
      <c r="P247" s="9" t="str">
        <f t="shared" si="68"/>
        <v/>
      </c>
      <c r="Q247" s="9" t="str">
        <f t="shared" si="69"/>
        <v/>
      </c>
      <c r="R247" s="9" t="str">
        <f t="shared" ca="1" si="70"/>
        <v/>
      </c>
      <c r="T247" s="6" t="str">
        <f t="shared" si="71"/>
        <v/>
      </c>
      <c r="U247" s="6" t="str">
        <f t="shared" si="72"/>
        <v/>
      </c>
      <c r="V247" s="10" t="str">
        <f t="shared" si="73"/>
        <v/>
      </c>
      <c r="W247" s="8" t="str">
        <f t="shared" si="74"/>
        <v/>
      </c>
      <c r="X247" s="9">
        <f t="shared" si="81"/>
        <v>0</v>
      </c>
      <c r="Y247" s="9">
        <f t="shared" si="82"/>
        <v>0</v>
      </c>
    </row>
    <row r="248" spans="2:25" x14ac:dyDescent="0.3">
      <c r="B248" s="6">
        <v>211</v>
      </c>
      <c r="C248" s="79" t="str">
        <f t="shared" si="83"/>
        <v/>
      </c>
      <c r="D248" s="6" t="str">
        <f t="shared" si="63"/>
        <v/>
      </c>
      <c r="E248" s="79" t="str">
        <f t="shared" si="75"/>
        <v/>
      </c>
      <c r="F248" s="79" t="str">
        <f>IF(B247&gt;$C$18,"",IF(COUNTIF(Feriados!$A$2:$B$17,EDATE($C$38,B247))=0,EDATE($C$38,B247),EDATE($C$38,B247)+VLOOKUP(EDATE($C$38,B247),Feriados!$A$2:$B$17,2,FALSE)))</f>
        <v/>
      </c>
      <c r="G248" s="6" t="str">
        <f t="shared" si="76"/>
        <v/>
      </c>
      <c r="H248" s="6" t="str">
        <f t="shared" si="77"/>
        <v/>
      </c>
      <c r="I248" s="8" t="str">
        <f t="shared" si="78"/>
        <v/>
      </c>
      <c r="J248" s="8" t="str">
        <f t="shared" si="79"/>
        <v/>
      </c>
      <c r="K248" s="9" t="str">
        <f t="shared" si="64"/>
        <v/>
      </c>
      <c r="L248" s="9" t="str">
        <f t="shared" si="80"/>
        <v/>
      </c>
      <c r="M248" s="10" t="str">
        <f t="shared" si="65"/>
        <v/>
      </c>
      <c r="N248" s="6" t="str">
        <f t="shared" si="66"/>
        <v/>
      </c>
      <c r="O248" s="9" t="str">
        <f t="shared" si="67"/>
        <v/>
      </c>
      <c r="P248" s="9" t="str">
        <f t="shared" si="68"/>
        <v/>
      </c>
      <c r="Q248" s="9" t="str">
        <f t="shared" si="69"/>
        <v/>
      </c>
      <c r="R248" s="9" t="str">
        <f t="shared" ca="1" si="70"/>
        <v/>
      </c>
      <c r="T248" s="6" t="str">
        <f t="shared" si="71"/>
        <v/>
      </c>
      <c r="U248" s="6" t="str">
        <f t="shared" si="72"/>
        <v/>
      </c>
      <c r="V248" s="10" t="str">
        <f t="shared" si="73"/>
        <v/>
      </c>
      <c r="W248" s="8" t="str">
        <f t="shared" si="74"/>
        <v/>
      </c>
      <c r="X248" s="9">
        <f t="shared" si="81"/>
        <v>0</v>
      </c>
      <c r="Y248" s="9">
        <f t="shared" si="82"/>
        <v>0</v>
      </c>
    </row>
    <row r="249" spans="2:25" x14ac:dyDescent="0.3">
      <c r="B249" s="6">
        <v>212</v>
      </c>
      <c r="C249" s="79" t="str">
        <f t="shared" si="83"/>
        <v/>
      </c>
      <c r="D249" s="6" t="str">
        <f t="shared" si="63"/>
        <v/>
      </c>
      <c r="E249" s="79" t="str">
        <f t="shared" si="75"/>
        <v/>
      </c>
      <c r="F249" s="79" t="str">
        <f>IF(B248&gt;$C$18,"",IF(COUNTIF(Feriados!$A$2:$B$17,EDATE($C$38,B248))=0,EDATE($C$38,B248),EDATE($C$38,B248)+VLOOKUP(EDATE($C$38,B248),Feriados!$A$2:$B$17,2,FALSE)))</f>
        <v/>
      </c>
      <c r="G249" s="6" t="str">
        <f t="shared" si="76"/>
        <v/>
      </c>
      <c r="H249" s="6" t="str">
        <f t="shared" si="77"/>
        <v/>
      </c>
      <c r="I249" s="8" t="str">
        <f t="shared" si="78"/>
        <v/>
      </c>
      <c r="J249" s="8" t="str">
        <f t="shared" si="79"/>
        <v/>
      </c>
      <c r="K249" s="9" t="str">
        <f t="shared" si="64"/>
        <v/>
      </c>
      <c r="L249" s="9" t="str">
        <f t="shared" si="80"/>
        <v/>
      </c>
      <c r="M249" s="10" t="str">
        <f t="shared" si="65"/>
        <v/>
      </c>
      <c r="N249" s="6" t="str">
        <f t="shared" si="66"/>
        <v/>
      </c>
      <c r="O249" s="9" t="str">
        <f t="shared" si="67"/>
        <v/>
      </c>
      <c r="P249" s="9" t="str">
        <f t="shared" si="68"/>
        <v/>
      </c>
      <c r="Q249" s="9" t="str">
        <f t="shared" si="69"/>
        <v/>
      </c>
      <c r="R249" s="9" t="str">
        <f t="shared" ca="1" si="70"/>
        <v/>
      </c>
      <c r="T249" s="6" t="str">
        <f t="shared" si="71"/>
        <v/>
      </c>
      <c r="U249" s="6" t="str">
        <f t="shared" si="72"/>
        <v/>
      </c>
      <c r="V249" s="10" t="str">
        <f t="shared" si="73"/>
        <v/>
      </c>
      <c r="W249" s="8" t="str">
        <f t="shared" si="74"/>
        <v/>
      </c>
      <c r="X249" s="9">
        <f t="shared" si="81"/>
        <v>0</v>
      </c>
      <c r="Y249" s="9">
        <f t="shared" si="82"/>
        <v>0</v>
      </c>
    </row>
    <row r="250" spans="2:25" x14ac:dyDescent="0.3">
      <c r="B250" s="6">
        <v>213</v>
      </c>
      <c r="C250" s="79" t="str">
        <f t="shared" si="83"/>
        <v/>
      </c>
      <c r="D250" s="6" t="str">
        <f t="shared" si="63"/>
        <v/>
      </c>
      <c r="E250" s="79" t="str">
        <f t="shared" si="75"/>
        <v/>
      </c>
      <c r="F250" s="79" t="str">
        <f>IF(B249&gt;$C$18,"",IF(COUNTIF(Feriados!$A$2:$B$17,EDATE($C$38,B249))=0,EDATE($C$38,B249),EDATE($C$38,B249)+VLOOKUP(EDATE($C$38,B249),Feriados!$A$2:$B$17,2,FALSE)))</f>
        <v/>
      </c>
      <c r="G250" s="6" t="str">
        <f t="shared" si="76"/>
        <v/>
      </c>
      <c r="H250" s="6" t="str">
        <f t="shared" si="77"/>
        <v/>
      </c>
      <c r="I250" s="8" t="str">
        <f t="shared" si="78"/>
        <v/>
      </c>
      <c r="J250" s="8" t="str">
        <f t="shared" si="79"/>
        <v/>
      </c>
      <c r="K250" s="9" t="str">
        <f t="shared" si="64"/>
        <v/>
      </c>
      <c r="L250" s="9" t="str">
        <f t="shared" si="80"/>
        <v/>
      </c>
      <c r="M250" s="10" t="str">
        <f t="shared" si="65"/>
        <v/>
      </c>
      <c r="N250" s="6" t="str">
        <f t="shared" si="66"/>
        <v/>
      </c>
      <c r="O250" s="9" t="str">
        <f t="shared" si="67"/>
        <v/>
      </c>
      <c r="P250" s="9" t="str">
        <f t="shared" si="68"/>
        <v/>
      </c>
      <c r="Q250" s="9" t="str">
        <f t="shared" si="69"/>
        <v/>
      </c>
      <c r="R250" s="9" t="str">
        <f t="shared" ca="1" si="70"/>
        <v/>
      </c>
      <c r="T250" s="6" t="str">
        <f t="shared" si="71"/>
        <v/>
      </c>
      <c r="U250" s="6" t="str">
        <f t="shared" si="72"/>
        <v/>
      </c>
      <c r="V250" s="10" t="str">
        <f t="shared" si="73"/>
        <v/>
      </c>
      <c r="W250" s="8" t="str">
        <f t="shared" si="74"/>
        <v/>
      </c>
      <c r="X250" s="9">
        <f t="shared" si="81"/>
        <v>0</v>
      </c>
      <c r="Y250" s="9">
        <f t="shared" si="82"/>
        <v>0</v>
      </c>
    </row>
    <row r="251" spans="2:25" x14ac:dyDescent="0.3">
      <c r="B251" s="6">
        <v>214</v>
      </c>
      <c r="C251" s="79" t="str">
        <f t="shared" si="83"/>
        <v/>
      </c>
      <c r="D251" s="6" t="str">
        <f t="shared" si="63"/>
        <v/>
      </c>
      <c r="E251" s="79" t="str">
        <f t="shared" si="75"/>
        <v/>
      </c>
      <c r="F251" s="79" t="str">
        <f>IF(B250&gt;$C$18,"",IF(COUNTIF(Feriados!$A$2:$B$17,EDATE($C$38,B250))=0,EDATE($C$38,B250),EDATE($C$38,B250)+VLOOKUP(EDATE($C$38,B250),Feriados!$A$2:$B$17,2,FALSE)))</f>
        <v/>
      </c>
      <c r="G251" s="6" t="str">
        <f t="shared" si="76"/>
        <v/>
      </c>
      <c r="H251" s="6" t="str">
        <f t="shared" si="77"/>
        <v/>
      </c>
      <c r="I251" s="8" t="str">
        <f t="shared" si="78"/>
        <v/>
      </c>
      <c r="J251" s="8" t="str">
        <f t="shared" si="79"/>
        <v/>
      </c>
      <c r="K251" s="9" t="str">
        <f t="shared" si="64"/>
        <v/>
      </c>
      <c r="L251" s="9" t="str">
        <f t="shared" si="80"/>
        <v/>
      </c>
      <c r="M251" s="10" t="str">
        <f t="shared" si="65"/>
        <v/>
      </c>
      <c r="N251" s="6" t="str">
        <f t="shared" si="66"/>
        <v/>
      </c>
      <c r="O251" s="9" t="str">
        <f t="shared" si="67"/>
        <v/>
      </c>
      <c r="P251" s="9" t="str">
        <f t="shared" si="68"/>
        <v/>
      </c>
      <c r="Q251" s="9" t="str">
        <f t="shared" si="69"/>
        <v/>
      </c>
      <c r="R251" s="9" t="str">
        <f t="shared" ca="1" si="70"/>
        <v/>
      </c>
      <c r="T251" s="6" t="str">
        <f t="shared" si="71"/>
        <v/>
      </c>
      <c r="U251" s="6" t="str">
        <f t="shared" si="72"/>
        <v/>
      </c>
      <c r="V251" s="10" t="str">
        <f t="shared" si="73"/>
        <v/>
      </c>
      <c r="W251" s="8" t="str">
        <f t="shared" si="74"/>
        <v/>
      </c>
      <c r="X251" s="9">
        <f t="shared" si="81"/>
        <v>0</v>
      </c>
      <c r="Y251" s="9">
        <f t="shared" si="82"/>
        <v>0</v>
      </c>
    </row>
    <row r="252" spans="2:25" x14ac:dyDescent="0.3">
      <c r="B252" s="6">
        <v>215</v>
      </c>
      <c r="C252" s="79" t="str">
        <f t="shared" si="83"/>
        <v/>
      </c>
      <c r="D252" s="6" t="str">
        <f t="shared" si="63"/>
        <v/>
      </c>
      <c r="E252" s="79" t="str">
        <f t="shared" si="75"/>
        <v/>
      </c>
      <c r="F252" s="79" t="str">
        <f>IF(B251&gt;$C$18,"",IF(COUNTIF(Feriados!$A$2:$B$17,EDATE($C$38,B251))=0,EDATE($C$38,B251),EDATE($C$38,B251)+VLOOKUP(EDATE($C$38,B251),Feriados!$A$2:$B$17,2,FALSE)))</f>
        <v/>
      </c>
      <c r="G252" s="6" t="str">
        <f t="shared" si="76"/>
        <v/>
      </c>
      <c r="H252" s="6" t="str">
        <f t="shared" si="77"/>
        <v/>
      </c>
      <c r="I252" s="8" t="str">
        <f t="shared" si="78"/>
        <v/>
      </c>
      <c r="J252" s="8" t="str">
        <f t="shared" si="79"/>
        <v/>
      </c>
      <c r="K252" s="9" t="str">
        <f t="shared" si="64"/>
        <v/>
      </c>
      <c r="L252" s="9" t="str">
        <f t="shared" si="80"/>
        <v/>
      </c>
      <c r="M252" s="10" t="str">
        <f t="shared" si="65"/>
        <v/>
      </c>
      <c r="N252" s="6" t="str">
        <f t="shared" si="66"/>
        <v/>
      </c>
      <c r="O252" s="9" t="str">
        <f t="shared" si="67"/>
        <v/>
      </c>
      <c r="P252" s="9" t="str">
        <f t="shared" si="68"/>
        <v/>
      </c>
      <c r="Q252" s="9" t="str">
        <f t="shared" si="69"/>
        <v/>
      </c>
      <c r="R252" s="9" t="str">
        <f t="shared" ca="1" si="70"/>
        <v/>
      </c>
      <c r="T252" s="6" t="str">
        <f t="shared" si="71"/>
        <v/>
      </c>
      <c r="U252" s="6" t="str">
        <f t="shared" si="72"/>
        <v/>
      </c>
      <c r="V252" s="10" t="str">
        <f t="shared" si="73"/>
        <v/>
      </c>
      <c r="W252" s="8" t="str">
        <f t="shared" si="74"/>
        <v/>
      </c>
      <c r="X252" s="9">
        <f t="shared" si="81"/>
        <v>0</v>
      </c>
      <c r="Y252" s="9">
        <f t="shared" si="82"/>
        <v>0</v>
      </c>
    </row>
    <row r="253" spans="2:25" x14ac:dyDescent="0.3">
      <c r="B253" s="6">
        <v>216</v>
      </c>
      <c r="C253" s="79" t="str">
        <f t="shared" si="83"/>
        <v/>
      </c>
      <c r="D253" s="6" t="str">
        <f t="shared" si="63"/>
        <v/>
      </c>
      <c r="E253" s="79" t="str">
        <f t="shared" si="75"/>
        <v/>
      </c>
      <c r="F253" s="79" t="str">
        <f>IF(B252&gt;$C$18,"",IF(COUNTIF(Feriados!$A$2:$B$17,EDATE($C$38,B252))=0,EDATE($C$38,B252),EDATE($C$38,B252)+VLOOKUP(EDATE($C$38,B252),Feriados!$A$2:$B$17,2,FALSE)))</f>
        <v/>
      </c>
      <c r="G253" s="6" t="str">
        <f t="shared" si="76"/>
        <v/>
      </c>
      <c r="H253" s="6" t="str">
        <f t="shared" si="77"/>
        <v/>
      </c>
      <c r="I253" s="8" t="str">
        <f t="shared" si="78"/>
        <v/>
      </c>
      <c r="J253" s="8" t="str">
        <f t="shared" si="79"/>
        <v/>
      </c>
      <c r="K253" s="9" t="str">
        <f t="shared" si="64"/>
        <v/>
      </c>
      <c r="L253" s="9" t="str">
        <f t="shared" si="80"/>
        <v/>
      </c>
      <c r="M253" s="10" t="str">
        <f t="shared" si="65"/>
        <v/>
      </c>
      <c r="N253" s="6" t="str">
        <f t="shared" si="66"/>
        <v/>
      </c>
      <c r="O253" s="9" t="str">
        <f t="shared" si="67"/>
        <v/>
      </c>
      <c r="P253" s="9" t="str">
        <f t="shared" si="68"/>
        <v/>
      </c>
      <c r="Q253" s="9" t="str">
        <f t="shared" si="69"/>
        <v/>
      </c>
      <c r="R253" s="9" t="str">
        <f t="shared" ca="1" si="70"/>
        <v/>
      </c>
      <c r="T253" s="6" t="str">
        <f t="shared" si="71"/>
        <v/>
      </c>
      <c r="U253" s="6" t="str">
        <f t="shared" si="72"/>
        <v/>
      </c>
      <c r="V253" s="10" t="str">
        <f t="shared" si="73"/>
        <v/>
      </c>
      <c r="W253" s="8" t="str">
        <f t="shared" si="74"/>
        <v/>
      </c>
      <c r="X253" s="9">
        <f t="shared" si="81"/>
        <v>0</v>
      </c>
      <c r="Y253" s="9">
        <f t="shared" si="82"/>
        <v>0</v>
      </c>
    </row>
    <row r="254" spans="2:25" x14ac:dyDescent="0.3">
      <c r="B254" s="6">
        <v>217</v>
      </c>
      <c r="C254" s="79" t="str">
        <f t="shared" si="83"/>
        <v/>
      </c>
      <c r="D254" s="6" t="str">
        <f t="shared" si="63"/>
        <v/>
      </c>
      <c r="E254" s="79" t="str">
        <f t="shared" si="75"/>
        <v/>
      </c>
      <c r="F254" s="79" t="str">
        <f>IF(B253&gt;$C$18,"",IF(COUNTIF(Feriados!$A$2:$B$17,EDATE($C$38,B253))=0,EDATE($C$38,B253),EDATE($C$38,B253)+VLOOKUP(EDATE($C$38,B253),Feriados!$A$2:$B$17,2,FALSE)))</f>
        <v/>
      </c>
      <c r="G254" s="6" t="str">
        <f t="shared" si="76"/>
        <v/>
      </c>
      <c r="H254" s="6" t="str">
        <f t="shared" si="77"/>
        <v/>
      </c>
      <c r="I254" s="8" t="str">
        <f t="shared" si="78"/>
        <v/>
      </c>
      <c r="J254" s="8" t="str">
        <f t="shared" si="79"/>
        <v/>
      </c>
      <c r="K254" s="9" t="str">
        <f t="shared" si="64"/>
        <v/>
      </c>
      <c r="L254" s="9" t="str">
        <f t="shared" si="80"/>
        <v/>
      </c>
      <c r="M254" s="10" t="str">
        <f t="shared" si="65"/>
        <v/>
      </c>
      <c r="N254" s="6" t="str">
        <f t="shared" si="66"/>
        <v/>
      </c>
      <c r="O254" s="9" t="str">
        <f t="shared" si="67"/>
        <v/>
      </c>
      <c r="P254" s="9" t="str">
        <f t="shared" si="68"/>
        <v/>
      </c>
      <c r="Q254" s="9" t="str">
        <f t="shared" si="69"/>
        <v/>
      </c>
      <c r="R254" s="9" t="str">
        <f t="shared" ca="1" si="70"/>
        <v/>
      </c>
      <c r="T254" s="6" t="str">
        <f t="shared" si="71"/>
        <v/>
      </c>
      <c r="U254" s="6" t="str">
        <f t="shared" si="72"/>
        <v/>
      </c>
      <c r="V254" s="10" t="str">
        <f t="shared" si="73"/>
        <v/>
      </c>
      <c r="W254" s="8" t="str">
        <f t="shared" si="74"/>
        <v/>
      </c>
      <c r="X254" s="9">
        <f t="shared" si="81"/>
        <v>0</v>
      </c>
      <c r="Y254" s="9">
        <f t="shared" si="82"/>
        <v>0</v>
      </c>
    </row>
    <row r="255" spans="2:25" x14ac:dyDescent="0.3">
      <c r="B255" s="6">
        <v>218</v>
      </c>
      <c r="C255" s="79" t="str">
        <f t="shared" si="83"/>
        <v/>
      </c>
      <c r="D255" s="6" t="str">
        <f t="shared" si="63"/>
        <v/>
      </c>
      <c r="E255" s="79" t="str">
        <f t="shared" si="75"/>
        <v/>
      </c>
      <c r="F255" s="79" t="str">
        <f>IF(B254&gt;$C$18,"",IF(COUNTIF(Feriados!$A$2:$B$17,EDATE($C$38,B254))=0,EDATE($C$38,B254),EDATE($C$38,B254)+VLOOKUP(EDATE($C$38,B254),Feriados!$A$2:$B$17,2,FALSE)))</f>
        <v/>
      </c>
      <c r="G255" s="6" t="str">
        <f t="shared" si="76"/>
        <v/>
      </c>
      <c r="H255" s="6" t="str">
        <f t="shared" si="77"/>
        <v/>
      </c>
      <c r="I255" s="8" t="str">
        <f t="shared" si="78"/>
        <v/>
      </c>
      <c r="J255" s="8" t="str">
        <f t="shared" si="79"/>
        <v/>
      </c>
      <c r="K255" s="9" t="str">
        <f t="shared" si="64"/>
        <v/>
      </c>
      <c r="L255" s="9" t="str">
        <f t="shared" si="80"/>
        <v/>
      </c>
      <c r="M255" s="10" t="str">
        <f t="shared" si="65"/>
        <v/>
      </c>
      <c r="N255" s="6" t="str">
        <f t="shared" si="66"/>
        <v/>
      </c>
      <c r="O255" s="9" t="str">
        <f t="shared" si="67"/>
        <v/>
      </c>
      <c r="P255" s="9" t="str">
        <f t="shared" si="68"/>
        <v/>
      </c>
      <c r="Q255" s="9" t="str">
        <f t="shared" si="69"/>
        <v/>
      </c>
      <c r="R255" s="9" t="str">
        <f t="shared" ca="1" si="70"/>
        <v/>
      </c>
      <c r="T255" s="6" t="str">
        <f t="shared" si="71"/>
        <v/>
      </c>
      <c r="U255" s="6" t="str">
        <f t="shared" si="72"/>
        <v/>
      </c>
      <c r="V255" s="10" t="str">
        <f t="shared" si="73"/>
        <v/>
      </c>
      <c r="W255" s="8" t="str">
        <f t="shared" si="74"/>
        <v/>
      </c>
      <c r="X255" s="9">
        <f t="shared" si="81"/>
        <v>0</v>
      </c>
      <c r="Y255" s="9">
        <f t="shared" si="82"/>
        <v>0</v>
      </c>
    </row>
    <row r="256" spans="2:25" x14ac:dyDescent="0.3">
      <c r="B256" s="6">
        <v>219</v>
      </c>
      <c r="C256" s="79" t="str">
        <f t="shared" si="83"/>
        <v/>
      </c>
      <c r="D256" s="6" t="str">
        <f t="shared" si="63"/>
        <v/>
      </c>
      <c r="E256" s="79" t="str">
        <f t="shared" si="75"/>
        <v/>
      </c>
      <c r="F256" s="79" t="str">
        <f>IF(B255&gt;$C$18,"",IF(COUNTIF(Feriados!$A$2:$B$17,EDATE($C$38,B255))=0,EDATE($C$38,B255),EDATE($C$38,B255)+VLOOKUP(EDATE($C$38,B255),Feriados!$A$2:$B$17,2,FALSE)))</f>
        <v/>
      </c>
      <c r="G256" s="6" t="str">
        <f t="shared" si="76"/>
        <v/>
      </c>
      <c r="H256" s="6" t="str">
        <f t="shared" si="77"/>
        <v/>
      </c>
      <c r="I256" s="8" t="str">
        <f t="shared" si="78"/>
        <v/>
      </c>
      <c r="J256" s="8" t="str">
        <f t="shared" si="79"/>
        <v/>
      </c>
      <c r="K256" s="9" t="str">
        <f t="shared" si="64"/>
        <v/>
      </c>
      <c r="L256" s="9" t="str">
        <f t="shared" si="80"/>
        <v/>
      </c>
      <c r="M256" s="10" t="str">
        <f t="shared" si="65"/>
        <v/>
      </c>
      <c r="N256" s="6" t="str">
        <f t="shared" si="66"/>
        <v/>
      </c>
      <c r="O256" s="9" t="str">
        <f t="shared" si="67"/>
        <v/>
      </c>
      <c r="P256" s="9" t="str">
        <f t="shared" si="68"/>
        <v/>
      </c>
      <c r="Q256" s="9" t="str">
        <f t="shared" si="69"/>
        <v/>
      </c>
      <c r="R256" s="9" t="str">
        <f t="shared" ca="1" si="70"/>
        <v/>
      </c>
      <c r="T256" s="6" t="str">
        <f t="shared" si="71"/>
        <v/>
      </c>
      <c r="U256" s="6" t="str">
        <f t="shared" si="72"/>
        <v/>
      </c>
      <c r="V256" s="10" t="str">
        <f t="shared" si="73"/>
        <v/>
      </c>
      <c r="W256" s="8" t="str">
        <f t="shared" si="74"/>
        <v/>
      </c>
      <c r="X256" s="9">
        <f t="shared" si="81"/>
        <v>0</v>
      </c>
      <c r="Y256" s="9">
        <f t="shared" si="82"/>
        <v>0</v>
      </c>
    </row>
    <row r="257" spans="2:25" x14ac:dyDescent="0.3">
      <c r="B257" s="6">
        <v>220</v>
      </c>
      <c r="C257" s="79" t="str">
        <f t="shared" si="83"/>
        <v/>
      </c>
      <c r="D257" s="6" t="str">
        <f t="shared" si="63"/>
        <v/>
      </c>
      <c r="E257" s="79" t="str">
        <f t="shared" si="75"/>
        <v/>
      </c>
      <c r="F257" s="79" t="str">
        <f>IF(B256&gt;$C$18,"",IF(COUNTIF(Feriados!$A$2:$B$17,EDATE($C$38,B256))=0,EDATE($C$38,B256),EDATE($C$38,B256)+VLOOKUP(EDATE($C$38,B256),Feriados!$A$2:$B$17,2,FALSE)))</f>
        <v/>
      </c>
      <c r="G257" s="6" t="str">
        <f t="shared" si="76"/>
        <v/>
      </c>
      <c r="H257" s="6" t="str">
        <f t="shared" si="77"/>
        <v/>
      </c>
      <c r="I257" s="8" t="str">
        <f t="shared" si="78"/>
        <v/>
      </c>
      <c r="J257" s="8" t="str">
        <f t="shared" si="79"/>
        <v/>
      </c>
      <c r="K257" s="9" t="str">
        <f t="shared" si="64"/>
        <v/>
      </c>
      <c r="L257" s="9" t="str">
        <f t="shared" si="80"/>
        <v/>
      </c>
      <c r="M257" s="10" t="str">
        <f t="shared" si="65"/>
        <v/>
      </c>
      <c r="N257" s="6" t="str">
        <f t="shared" si="66"/>
        <v/>
      </c>
      <c r="O257" s="9" t="str">
        <f t="shared" si="67"/>
        <v/>
      </c>
      <c r="P257" s="9" t="str">
        <f t="shared" si="68"/>
        <v/>
      </c>
      <c r="Q257" s="9" t="str">
        <f t="shared" si="69"/>
        <v/>
      </c>
      <c r="R257" s="9" t="str">
        <f t="shared" ca="1" si="70"/>
        <v/>
      </c>
      <c r="T257" s="6" t="str">
        <f t="shared" si="71"/>
        <v/>
      </c>
      <c r="U257" s="6" t="str">
        <f t="shared" si="72"/>
        <v/>
      </c>
      <c r="V257" s="10" t="str">
        <f t="shared" si="73"/>
        <v/>
      </c>
      <c r="W257" s="8" t="str">
        <f t="shared" si="74"/>
        <v/>
      </c>
      <c r="X257" s="9">
        <f t="shared" si="81"/>
        <v>0</v>
      </c>
      <c r="Y257" s="9">
        <f t="shared" si="82"/>
        <v>0</v>
      </c>
    </row>
    <row r="258" spans="2:25" x14ac:dyDescent="0.3">
      <c r="B258" s="6">
        <v>221</v>
      </c>
      <c r="C258" s="79" t="str">
        <f t="shared" si="83"/>
        <v/>
      </c>
      <c r="D258" s="6" t="str">
        <f t="shared" si="63"/>
        <v/>
      </c>
      <c r="E258" s="79" t="str">
        <f t="shared" si="75"/>
        <v/>
      </c>
      <c r="F258" s="79" t="str">
        <f>IF(B257&gt;$C$18,"",IF(COUNTIF(Feriados!$A$2:$B$17,EDATE($C$38,B257))=0,EDATE($C$38,B257),EDATE($C$38,B257)+VLOOKUP(EDATE($C$38,B257),Feriados!$A$2:$B$17,2,FALSE)))</f>
        <v/>
      </c>
      <c r="G258" s="6" t="str">
        <f t="shared" si="76"/>
        <v/>
      </c>
      <c r="H258" s="6" t="str">
        <f t="shared" si="77"/>
        <v/>
      </c>
      <c r="I258" s="8" t="str">
        <f t="shared" si="78"/>
        <v/>
      </c>
      <c r="J258" s="8" t="str">
        <f t="shared" si="79"/>
        <v/>
      </c>
      <c r="K258" s="9" t="str">
        <f t="shared" si="64"/>
        <v/>
      </c>
      <c r="L258" s="9" t="str">
        <f t="shared" si="80"/>
        <v/>
      </c>
      <c r="M258" s="10" t="str">
        <f t="shared" si="65"/>
        <v/>
      </c>
      <c r="N258" s="6" t="str">
        <f t="shared" si="66"/>
        <v/>
      </c>
      <c r="O258" s="9" t="str">
        <f t="shared" si="67"/>
        <v/>
      </c>
      <c r="P258" s="9" t="str">
        <f t="shared" si="68"/>
        <v/>
      </c>
      <c r="Q258" s="9" t="str">
        <f t="shared" si="69"/>
        <v/>
      </c>
      <c r="R258" s="9" t="str">
        <f t="shared" ca="1" si="70"/>
        <v/>
      </c>
      <c r="T258" s="6" t="str">
        <f t="shared" si="71"/>
        <v/>
      </c>
      <c r="U258" s="6" t="str">
        <f t="shared" si="72"/>
        <v/>
      </c>
      <c r="V258" s="10" t="str">
        <f t="shared" si="73"/>
        <v/>
      </c>
      <c r="W258" s="8" t="str">
        <f t="shared" si="74"/>
        <v/>
      </c>
      <c r="X258" s="9">
        <f t="shared" si="81"/>
        <v>0</v>
      </c>
      <c r="Y258" s="9">
        <f t="shared" si="82"/>
        <v>0</v>
      </c>
    </row>
    <row r="259" spans="2:25" x14ac:dyDescent="0.3">
      <c r="B259" s="6">
        <v>222</v>
      </c>
      <c r="C259" s="79" t="str">
        <f t="shared" si="83"/>
        <v/>
      </c>
      <c r="D259" s="6" t="str">
        <f t="shared" si="63"/>
        <v/>
      </c>
      <c r="E259" s="79" t="str">
        <f t="shared" si="75"/>
        <v/>
      </c>
      <c r="F259" s="79" t="str">
        <f>IF(B258&gt;$C$18,"",IF(COUNTIF(Feriados!$A$2:$B$17,EDATE($C$38,B258))=0,EDATE($C$38,B258),EDATE($C$38,B258)+VLOOKUP(EDATE($C$38,B258),Feriados!$A$2:$B$17,2,FALSE)))</f>
        <v/>
      </c>
      <c r="G259" s="6" t="str">
        <f t="shared" si="76"/>
        <v/>
      </c>
      <c r="H259" s="6" t="str">
        <f t="shared" si="77"/>
        <v/>
      </c>
      <c r="I259" s="8" t="str">
        <f t="shared" si="78"/>
        <v/>
      </c>
      <c r="J259" s="8" t="str">
        <f t="shared" si="79"/>
        <v/>
      </c>
      <c r="K259" s="9" t="str">
        <f t="shared" si="64"/>
        <v/>
      </c>
      <c r="L259" s="9" t="str">
        <f t="shared" si="80"/>
        <v/>
      </c>
      <c r="M259" s="10" t="str">
        <f t="shared" si="65"/>
        <v/>
      </c>
      <c r="N259" s="6" t="str">
        <f t="shared" si="66"/>
        <v/>
      </c>
      <c r="O259" s="9" t="str">
        <f t="shared" si="67"/>
        <v/>
      </c>
      <c r="P259" s="9" t="str">
        <f t="shared" si="68"/>
        <v/>
      </c>
      <c r="Q259" s="9" t="str">
        <f t="shared" si="69"/>
        <v/>
      </c>
      <c r="R259" s="9" t="str">
        <f t="shared" ca="1" si="70"/>
        <v/>
      </c>
      <c r="T259" s="6" t="str">
        <f t="shared" si="71"/>
        <v/>
      </c>
      <c r="U259" s="6" t="str">
        <f t="shared" si="72"/>
        <v/>
      </c>
      <c r="V259" s="10" t="str">
        <f t="shared" si="73"/>
        <v/>
      </c>
      <c r="W259" s="8" t="str">
        <f t="shared" si="74"/>
        <v/>
      </c>
      <c r="X259" s="9">
        <f t="shared" si="81"/>
        <v>0</v>
      </c>
      <c r="Y259" s="9">
        <f t="shared" si="82"/>
        <v>0</v>
      </c>
    </row>
    <row r="260" spans="2:25" x14ac:dyDescent="0.3">
      <c r="B260" s="6">
        <v>223</v>
      </c>
      <c r="C260" s="79" t="str">
        <f t="shared" si="83"/>
        <v/>
      </c>
      <c r="D260" s="6" t="str">
        <f t="shared" si="63"/>
        <v/>
      </c>
      <c r="E260" s="79" t="str">
        <f t="shared" si="75"/>
        <v/>
      </c>
      <c r="F260" s="79" t="str">
        <f>IF(B259&gt;$C$18,"",IF(COUNTIF(Feriados!$A$2:$B$17,EDATE($C$38,B259))=0,EDATE($C$38,B259),EDATE($C$38,B259)+VLOOKUP(EDATE($C$38,B259),Feriados!$A$2:$B$17,2,FALSE)))</f>
        <v/>
      </c>
      <c r="G260" s="6" t="str">
        <f t="shared" si="76"/>
        <v/>
      </c>
      <c r="H260" s="6" t="str">
        <f t="shared" si="77"/>
        <v/>
      </c>
      <c r="I260" s="8" t="str">
        <f t="shared" si="78"/>
        <v/>
      </c>
      <c r="J260" s="8" t="str">
        <f t="shared" si="79"/>
        <v/>
      </c>
      <c r="K260" s="9" t="str">
        <f t="shared" si="64"/>
        <v/>
      </c>
      <c r="L260" s="9" t="str">
        <f t="shared" si="80"/>
        <v/>
      </c>
      <c r="M260" s="10" t="str">
        <f t="shared" si="65"/>
        <v/>
      </c>
      <c r="N260" s="6" t="str">
        <f t="shared" si="66"/>
        <v/>
      </c>
      <c r="O260" s="9" t="str">
        <f t="shared" si="67"/>
        <v/>
      </c>
      <c r="P260" s="9" t="str">
        <f t="shared" si="68"/>
        <v/>
      </c>
      <c r="Q260" s="9" t="str">
        <f t="shared" si="69"/>
        <v/>
      </c>
      <c r="R260" s="9" t="str">
        <f t="shared" ca="1" si="70"/>
        <v/>
      </c>
      <c r="T260" s="6" t="str">
        <f t="shared" si="71"/>
        <v/>
      </c>
      <c r="U260" s="6" t="str">
        <f t="shared" si="72"/>
        <v/>
      </c>
      <c r="V260" s="10" t="str">
        <f t="shared" si="73"/>
        <v/>
      </c>
      <c r="W260" s="8" t="str">
        <f t="shared" si="74"/>
        <v/>
      </c>
      <c r="X260" s="9">
        <f t="shared" si="81"/>
        <v>0</v>
      </c>
      <c r="Y260" s="9">
        <f t="shared" si="82"/>
        <v>0</v>
      </c>
    </row>
    <row r="261" spans="2:25" x14ac:dyDescent="0.3">
      <c r="B261" s="6">
        <v>224</v>
      </c>
      <c r="C261" s="79" t="str">
        <f t="shared" si="83"/>
        <v/>
      </c>
      <c r="D261" s="6" t="str">
        <f t="shared" si="63"/>
        <v/>
      </c>
      <c r="E261" s="79" t="str">
        <f t="shared" si="75"/>
        <v/>
      </c>
      <c r="F261" s="79" t="str">
        <f>IF(B260&gt;$C$18,"",IF(COUNTIF(Feriados!$A$2:$B$17,EDATE($C$38,B260))=0,EDATE($C$38,B260),EDATE($C$38,B260)+VLOOKUP(EDATE($C$38,B260),Feriados!$A$2:$B$17,2,FALSE)))</f>
        <v/>
      </c>
      <c r="G261" s="6" t="str">
        <f t="shared" si="76"/>
        <v/>
      </c>
      <c r="H261" s="6" t="str">
        <f t="shared" si="77"/>
        <v/>
      </c>
      <c r="I261" s="8" t="str">
        <f t="shared" si="78"/>
        <v/>
      </c>
      <c r="J261" s="8" t="str">
        <f t="shared" si="79"/>
        <v/>
      </c>
      <c r="K261" s="9" t="str">
        <f t="shared" si="64"/>
        <v/>
      </c>
      <c r="L261" s="9" t="str">
        <f t="shared" si="80"/>
        <v/>
      </c>
      <c r="M261" s="10" t="str">
        <f t="shared" si="65"/>
        <v/>
      </c>
      <c r="N261" s="6" t="str">
        <f t="shared" si="66"/>
        <v/>
      </c>
      <c r="O261" s="9" t="str">
        <f t="shared" si="67"/>
        <v/>
      </c>
      <c r="P261" s="9" t="str">
        <f t="shared" si="68"/>
        <v/>
      </c>
      <c r="Q261" s="9" t="str">
        <f t="shared" si="69"/>
        <v/>
      </c>
      <c r="R261" s="9" t="str">
        <f t="shared" ca="1" si="70"/>
        <v/>
      </c>
      <c r="T261" s="6" t="str">
        <f t="shared" si="71"/>
        <v/>
      </c>
      <c r="U261" s="6" t="str">
        <f t="shared" si="72"/>
        <v/>
      </c>
      <c r="V261" s="10" t="str">
        <f t="shared" si="73"/>
        <v/>
      </c>
      <c r="W261" s="8" t="str">
        <f t="shared" si="74"/>
        <v/>
      </c>
      <c r="X261" s="9">
        <f t="shared" si="81"/>
        <v>0</v>
      </c>
      <c r="Y261" s="9">
        <f t="shared" si="82"/>
        <v>0</v>
      </c>
    </row>
    <row r="262" spans="2:25" x14ac:dyDescent="0.3">
      <c r="B262" s="6">
        <v>225</v>
      </c>
      <c r="C262" s="79" t="str">
        <f t="shared" si="83"/>
        <v/>
      </c>
      <c r="D262" s="6" t="str">
        <f t="shared" si="63"/>
        <v/>
      </c>
      <c r="E262" s="79" t="str">
        <f t="shared" si="75"/>
        <v/>
      </c>
      <c r="F262" s="79" t="str">
        <f>IF(B261&gt;$C$18,"",IF(COUNTIF(Feriados!$A$2:$B$17,EDATE($C$38,B261))=0,EDATE($C$38,B261),EDATE($C$38,B261)+VLOOKUP(EDATE($C$38,B261),Feriados!$A$2:$B$17,2,FALSE)))</f>
        <v/>
      </c>
      <c r="G262" s="6" t="str">
        <f t="shared" si="76"/>
        <v/>
      </c>
      <c r="H262" s="6" t="str">
        <f t="shared" si="77"/>
        <v/>
      </c>
      <c r="I262" s="8" t="str">
        <f t="shared" si="78"/>
        <v/>
      </c>
      <c r="J262" s="8" t="str">
        <f t="shared" si="79"/>
        <v/>
      </c>
      <c r="K262" s="9" t="str">
        <f t="shared" si="64"/>
        <v/>
      </c>
      <c r="L262" s="9" t="str">
        <f t="shared" si="80"/>
        <v/>
      </c>
      <c r="M262" s="10" t="str">
        <f t="shared" si="65"/>
        <v/>
      </c>
      <c r="N262" s="6" t="str">
        <f t="shared" si="66"/>
        <v/>
      </c>
      <c r="O262" s="9" t="str">
        <f t="shared" si="67"/>
        <v/>
      </c>
      <c r="P262" s="9" t="str">
        <f t="shared" si="68"/>
        <v/>
      </c>
      <c r="Q262" s="9" t="str">
        <f t="shared" si="69"/>
        <v/>
      </c>
      <c r="R262" s="9" t="str">
        <f t="shared" ca="1" si="70"/>
        <v/>
      </c>
      <c r="T262" s="6" t="str">
        <f t="shared" si="71"/>
        <v/>
      </c>
      <c r="U262" s="6" t="str">
        <f t="shared" si="72"/>
        <v/>
      </c>
      <c r="V262" s="10" t="str">
        <f t="shared" si="73"/>
        <v/>
      </c>
      <c r="W262" s="8" t="str">
        <f t="shared" si="74"/>
        <v/>
      </c>
      <c r="X262" s="9">
        <f t="shared" si="81"/>
        <v>0</v>
      </c>
      <c r="Y262" s="9">
        <f t="shared" si="82"/>
        <v>0</v>
      </c>
    </row>
    <row r="263" spans="2:25" x14ac:dyDescent="0.3">
      <c r="B263" s="6">
        <v>226</v>
      </c>
      <c r="C263" s="79" t="str">
        <f t="shared" si="83"/>
        <v/>
      </c>
      <c r="D263" s="6" t="str">
        <f t="shared" si="63"/>
        <v/>
      </c>
      <c r="E263" s="79" t="str">
        <f t="shared" si="75"/>
        <v/>
      </c>
      <c r="F263" s="79" t="str">
        <f>IF(B262&gt;$C$18,"",IF(COUNTIF(Feriados!$A$2:$B$17,EDATE($C$38,B262))=0,EDATE($C$38,B262),EDATE($C$38,B262)+VLOOKUP(EDATE($C$38,B262),Feriados!$A$2:$B$17,2,FALSE)))</f>
        <v/>
      </c>
      <c r="G263" s="6" t="str">
        <f t="shared" si="76"/>
        <v/>
      </c>
      <c r="H263" s="6" t="str">
        <f t="shared" si="77"/>
        <v/>
      </c>
      <c r="I263" s="8" t="str">
        <f t="shared" si="78"/>
        <v/>
      </c>
      <c r="J263" s="8" t="str">
        <f t="shared" si="79"/>
        <v/>
      </c>
      <c r="K263" s="9" t="str">
        <f t="shared" si="64"/>
        <v/>
      </c>
      <c r="L263" s="9" t="str">
        <f t="shared" si="80"/>
        <v/>
      </c>
      <c r="M263" s="10" t="str">
        <f t="shared" si="65"/>
        <v/>
      </c>
      <c r="N263" s="6" t="str">
        <f t="shared" si="66"/>
        <v/>
      </c>
      <c r="O263" s="9" t="str">
        <f t="shared" si="67"/>
        <v/>
      </c>
      <c r="P263" s="9" t="str">
        <f t="shared" si="68"/>
        <v/>
      </c>
      <c r="Q263" s="9" t="str">
        <f t="shared" si="69"/>
        <v/>
      </c>
      <c r="R263" s="9" t="str">
        <f t="shared" ca="1" si="70"/>
        <v/>
      </c>
      <c r="T263" s="6" t="str">
        <f t="shared" si="71"/>
        <v/>
      </c>
      <c r="U263" s="6" t="str">
        <f t="shared" si="72"/>
        <v/>
      </c>
      <c r="V263" s="10" t="str">
        <f t="shared" si="73"/>
        <v/>
      </c>
      <c r="W263" s="8" t="str">
        <f t="shared" si="74"/>
        <v/>
      </c>
      <c r="X263" s="9">
        <f t="shared" si="81"/>
        <v>0</v>
      </c>
      <c r="Y263" s="9">
        <f t="shared" si="82"/>
        <v>0</v>
      </c>
    </row>
    <row r="264" spans="2:25" x14ac:dyDescent="0.3">
      <c r="B264" s="6">
        <v>227</v>
      </c>
      <c r="C264" s="79" t="str">
        <f t="shared" si="83"/>
        <v/>
      </c>
      <c r="D264" s="6" t="str">
        <f t="shared" si="63"/>
        <v/>
      </c>
      <c r="E264" s="79" t="str">
        <f t="shared" si="75"/>
        <v/>
      </c>
      <c r="F264" s="79" t="str">
        <f>IF(B263&gt;$C$18,"",IF(COUNTIF(Feriados!$A$2:$B$17,EDATE($C$38,B263))=0,EDATE($C$38,B263),EDATE($C$38,B263)+VLOOKUP(EDATE($C$38,B263),Feriados!$A$2:$B$17,2,FALSE)))</f>
        <v/>
      </c>
      <c r="G264" s="6" t="str">
        <f t="shared" si="76"/>
        <v/>
      </c>
      <c r="H264" s="6" t="str">
        <f t="shared" si="77"/>
        <v/>
      </c>
      <c r="I264" s="8" t="str">
        <f t="shared" si="78"/>
        <v/>
      </c>
      <c r="J264" s="8" t="str">
        <f t="shared" si="79"/>
        <v/>
      </c>
      <c r="K264" s="9" t="str">
        <f t="shared" si="64"/>
        <v/>
      </c>
      <c r="L264" s="9" t="str">
        <f t="shared" si="80"/>
        <v/>
      </c>
      <c r="M264" s="10" t="str">
        <f t="shared" si="65"/>
        <v/>
      </c>
      <c r="N264" s="6" t="str">
        <f t="shared" si="66"/>
        <v/>
      </c>
      <c r="O264" s="9" t="str">
        <f t="shared" si="67"/>
        <v/>
      </c>
      <c r="P264" s="9" t="str">
        <f t="shared" si="68"/>
        <v/>
      </c>
      <c r="Q264" s="9" t="str">
        <f t="shared" si="69"/>
        <v/>
      </c>
      <c r="R264" s="9" t="str">
        <f t="shared" ca="1" si="70"/>
        <v/>
      </c>
      <c r="T264" s="6" t="str">
        <f t="shared" si="71"/>
        <v/>
      </c>
      <c r="U264" s="6" t="str">
        <f t="shared" si="72"/>
        <v/>
      </c>
      <c r="V264" s="10" t="str">
        <f t="shared" si="73"/>
        <v/>
      </c>
      <c r="W264" s="8" t="str">
        <f t="shared" si="74"/>
        <v/>
      </c>
      <c r="X264" s="9">
        <f t="shared" si="81"/>
        <v>0</v>
      </c>
      <c r="Y264" s="9">
        <f t="shared" si="82"/>
        <v>0</v>
      </c>
    </row>
    <row r="265" spans="2:25" x14ac:dyDescent="0.3">
      <c r="B265" s="6">
        <v>228</v>
      </c>
      <c r="C265" s="79" t="str">
        <f t="shared" si="83"/>
        <v/>
      </c>
      <c r="D265" s="6" t="str">
        <f t="shared" si="63"/>
        <v/>
      </c>
      <c r="E265" s="79" t="str">
        <f t="shared" si="75"/>
        <v/>
      </c>
      <c r="F265" s="79" t="str">
        <f>IF(B264&gt;$C$18,"",IF(COUNTIF(Feriados!$A$2:$B$17,EDATE($C$38,B264))=0,EDATE($C$38,B264),EDATE($C$38,B264)+VLOOKUP(EDATE($C$38,B264),Feriados!$A$2:$B$17,2,FALSE)))</f>
        <v/>
      </c>
      <c r="G265" s="6" t="str">
        <f t="shared" si="76"/>
        <v/>
      </c>
      <c r="H265" s="6" t="str">
        <f t="shared" si="77"/>
        <v/>
      </c>
      <c r="I265" s="8" t="str">
        <f t="shared" si="78"/>
        <v/>
      </c>
      <c r="J265" s="8" t="str">
        <f t="shared" si="79"/>
        <v/>
      </c>
      <c r="K265" s="9" t="str">
        <f t="shared" si="64"/>
        <v/>
      </c>
      <c r="L265" s="9" t="str">
        <f t="shared" si="80"/>
        <v/>
      </c>
      <c r="M265" s="10" t="str">
        <f t="shared" si="65"/>
        <v/>
      </c>
      <c r="N265" s="6" t="str">
        <f t="shared" si="66"/>
        <v/>
      </c>
      <c r="O265" s="9" t="str">
        <f t="shared" si="67"/>
        <v/>
      </c>
      <c r="P265" s="9" t="str">
        <f t="shared" si="68"/>
        <v/>
      </c>
      <c r="Q265" s="9" t="str">
        <f t="shared" si="69"/>
        <v/>
      </c>
      <c r="R265" s="9" t="str">
        <f t="shared" ca="1" si="70"/>
        <v/>
      </c>
      <c r="T265" s="6" t="str">
        <f t="shared" si="71"/>
        <v/>
      </c>
      <c r="U265" s="6" t="str">
        <f t="shared" si="72"/>
        <v/>
      </c>
      <c r="V265" s="10" t="str">
        <f t="shared" si="73"/>
        <v/>
      </c>
      <c r="W265" s="8" t="str">
        <f t="shared" si="74"/>
        <v/>
      </c>
      <c r="X265" s="9">
        <f t="shared" si="81"/>
        <v>0</v>
      </c>
      <c r="Y265" s="9">
        <f t="shared" si="82"/>
        <v>0</v>
      </c>
    </row>
    <row r="266" spans="2:25" x14ac:dyDescent="0.3">
      <c r="B266" s="6">
        <v>229</v>
      </c>
      <c r="C266" s="79" t="str">
        <f t="shared" si="83"/>
        <v/>
      </c>
      <c r="D266" s="6" t="str">
        <f t="shared" si="63"/>
        <v/>
      </c>
      <c r="E266" s="79" t="str">
        <f t="shared" si="75"/>
        <v/>
      </c>
      <c r="F266" s="79" t="str">
        <f>IF(B265&gt;$C$18,"",IF(COUNTIF(Feriados!$A$2:$B$17,EDATE($C$38,B265))=0,EDATE($C$38,B265),EDATE($C$38,B265)+VLOOKUP(EDATE($C$38,B265),Feriados!$A$2:$B$17,2,FALSE)))</f>
        <v/>
      </c>
      <c r="G266" s="6" t="str">
        <f t="shared" si="76"/>
        <v/>
      </c>
      <c r="H266" s="6" t="str">
        <f t="shared" si="77"/>
        <v/>
      </c>
      <c r="I266" s="8" t="str">
        <f t="shared" si="78"/>
        <v/>
      </c>
      <c r="J266" s="8" t="str">
        <f t="shared" si="79"/>
        <v/>
      </c>
      <c r="K266" s="9" t="str">
        <f t="shared" si="64"/>
        <v/>
      </c>
      <c r="L266" s="9" t="str">
        <f t="shared" si="80"/>
        <v/>
      </c>
      <c r="M266" s="10" t="str">
        <f t="shared" si="65"/>
        <v/>
      </c>
      <c r="N266" s="6" t="str">
        <f t="shared" si="66"/>
        <v/>
      </c>
      <c r="O266" s="9" t="str">
        <f t="shared" si="67"/>
        <v/>
      </c>
      <c r="P266" s="9" t="str">
        <f t="shared" si="68"/>
        <v/>
      </c>
      <c r="Q266" s="9" t="str">
        <f t="shared" si="69"/>
        <v/>
      </c>
      <c r="R266" s="9" t="str">
        <f t="shared" ca="1" si="70"/>
        <v/>
      </c>
      <c r="T266" s="6" t="str">
        <f t="shared" si="71"/>
        <v/>
      </c>
      <c r="U266" s="6" t="str">
        <f t="shared" si="72"/>
        <v/>
      </c>
      <c r="V266" s="10" t="str">
        <f t="shared" si="73"/>
        <v/>
      </c>
      <c r="W266" s="8" t="str">
        <f t="shared" si="74"/>
        <v/>
      </c>
      <c r="X266" s="9">
        <f t="shared" si="81"/>
        <v>0</v>
      </c>
      <c r="Y266" s="9">
        <f t="shared" si="82"/>
        <v>0</v>
      </c>
    </row>
    <row r="267" spans="2:25" x14ac:dyDescent="0.3">
      <c r="B267" s="6">
        <v>230</v>
      </c>
      <c r="C267" s="79" t="str">
        <f t="shared" si="83"/>
        <v/>
      </c>
      <c r="D267" s="6" t="str">
        <f t="shared" si="63"/>
        <v/>
      </c>
      <c r="E267" s="79" t="str">
        <f t="shared" si="75"/>
        <v/>
      </c>
      <c r="F267" s="79" t="str">
        <f>IF(B266&gt;$C$18,"",IF(COUNTIF(Feriados!$A$2:$B$17,EDATE($C$38,B266))=0,EDATE($C$38,B266),EDATE($C$38,B266)+VLOOKUP(EDATE($C$38,B266),Feriados!$A$2:$B$17,2,FALSE)))</f>
        <v/>
      </c>
      <c r="G267" s="6" t="str">
        <f t="shared" si="76"/>
        <v/>
      </c>
      <c r="H267" s="6" t="str">
        <f t="shared" si="77"/>
        <v/>
      </c>
      <c r="I267" s="8" t="str">
        <f t="shared" si="78"/>
        <v/>
      </c>
      <c r="J267" s="8" t="str">
        <f t="shared" si="79"/>
        <v/>
      </c>
      <c r="K267" s="9" t="str">
        <f t="shared" si="64"/>
        <v/>
      </c>
      <c r="L267" s="9" t="str">
        <f t="shared" si="80"/>
        <v/>
      </c>
      <c r="M267" s="10" t="str">
        <f t="shared" si="65"/>
        <v/>
      </c>
      <c r="N267" s="6" t="str">
        <f t="shared" si="66"/>
        <v/>
      </c>
      <c r="O267" s="9" t="str">
        <f t="shared" si="67"/>
        <v/>
      </c>
      <c r="P267" s="9" t="str">
        <f t="shared" si="68"/>
        <v/>
      </c>
      <c r="Q267" s="9" t="str">
        <f t="shared" si="69"/>
        <v/>
      </c>
      <c r="R267" s="9" t="str">
        <f t="shared" ca="1" si="70"/>
        <v/>
      </c>
      <c r="T267" s="6" t="str">
        <f t="shared" si="71"/>
        <v/>
      </c>
      <c r="U267" s="6" t="str">
        <f t="shared" si="72"/>
        <v/>
      </c>
      <c r="V267" s="10" t="str">
        <f t="shared" si="73"/>
        <v/>
      </c>
      <c r="W267" s="8" t="str">
        <f t="shared" si="74"/>
        <v/>
      </c>
      <c r="X267" s="9">
        <f t="shared" si="81"/>
        <v>0</v>
      </c>
      <c r="Y267" s="9">
        <f t="shared" si="82"/>
        <v>0</v>
      </c>
    </row>
    <row r="268" spans="2:25" x14ac:dyDescent="0.3">
      <c r="B268" s="6">
        <v>231</v>
      </c>
      <c r="C268" s="79" t="str">
        <f t="shared" si="83"/>
        <v/>
      </c>
      <c r="D268" s="6" t="str">
        <f t="shared" si="63"/>
        <v/>
      </c>
      <c r="E268" s="79" t="str">
        <f t="shared" si="75"/>
        <v/>
      </c>
      <c r="F268" s="79" t="str">
        <f>IF(B267&gt;$C$18,"",IF(COUNTIF(Feriados!$A$2:$B$17,EDATE($C$38,B267))=0,EDATE($C$38,B267),EDATE($C$38,B267)+VLOOKUP(EDATE($C$38,B267),Feriados!$A$2:$B$17,2,FALSE)))</f>
        <v/>
      </c>
      <c r="G268" s="6" t="str">
        <f t="shared" si="76"/>
        <v/>
      </c>
      <c r="H268" s="6" t="str">
        <f t="shared" si="77"/>
        <v/>
      </c>
      <c r="I268" s="8" t="str">
        <f t="shared" si="78"/>
        <v/>
      </c>
      <c r="J268" s="8" t="str">
        <f t="shared" si="79"/>
        <v/>
      </c>
      <c r="K268" s="9" t="str">
        <f t="shared" si="64"/>
        <v/>
      </c>
      <c r="L268" s="9" t="str">
        <f t="shared" si="80"/>
        <v/>
      </c>
      <c r="M268" s="10" t="str">
        <f t="shared" si="65"/>
        <v/>
      </c>
      <c r="N268" s="6" t="str">
        <f t="shared" si="66"/>
        <v/>
      </c>
      <c r="O268" s="9" t="str">
        <f t="shared" si="67"/>
        <v/>
      </c>
      <c r="P268" s="9" t="str">
        <f t="shared" si="68"/>
        <v/>
      </c>
      <c r="Q268" s="9" t="str">
        <f t="shared" si="69"/>
        <v/>
      </c>
      <c r="R268" s="9" t="str">
        <f t="shared" ca="1" si="70"/>
        <v/>
      </c>
      <c r="T268" s="6" t="str">
        <f t="shared" si="71"/>
        <v/>
      </c>
      <c r="U268" s="6" t="str">
        <f t="shared" si="72"/>
        <v/>
      </c>
      <c r="V268" s="10" t="str">
        <f t="shared" si="73"/>
        <v/>
      </c>
      <c r="W268" s="8" t="str">
        <f t="shared" si="74"/>
        <v/>
      </c>
      <c r="X268" s="9">
        <f t="shared" si="81"/>
        <v>0</v>
      </c>
      <c r="Y268" s="9">
        <f t="shared" si="82"/>
        <v>0</v>
      </c>
    </row>
    <row r="269" spans="2:25" x14ac:dyDescent="0.3">
      <c r="B269" s="6">
        <v>232</v>
      </c>
      <c r="C269" s="79" t="str">
        <f t="shared" si="83"/>
        <v/>
      </c>
      <c r="D269" s="6" t="str">
        <f t="shared" si="63"/>
        <v/>
      </c>
      <c r="E269" s="79" t="str">
        <f t="shared" si="75"/>
        <v/>
      </c>
      <c r="F269" s="79" t="str">
        <f>IF(B268&gt;$C$18,"",IF(COUNTIF(Feriados!$A$2:$B$17,EDATE($C$38,B268))=0,EDATE($C$38,B268),EDATE($C$38,B268)+VLOOKUP(EDATE($C$38,B268),Feriados!$A$2:$B$17,2,FALSE)))</f>
        <v/>
      </c>
      <c r="G269" s="6" t="str">
        <f t="shared" si="76"/>
        <v/>
      </c>
      <c r="H269" s="6" t="str">
        <f t="shared" si="77"/>
        <v/>
      </c>
      <c r="I269" s="8" t="str">
        <f t="shared" si="78"/>
        <v/>
      </c>
      <c r="J269" s="8" t="str">
        <f t="shared" si="79"/>
        <v/>
      </c>
      <c r="K269" s="9" t="str">
        <f t="shared" si="64"/>
        <v/>
      </c>
      <c r="L269" s="9" t="str">
        <f t="shared" si="80"/>
        <v/>
      </c>
      <c r="M269" s="10" t="str">
        <f t="shared" si="65"/>
        <v/>
      </c>
      <c r="N269" s="6" t="str">
        <f t="shared" si="66"/>
        <v/>
      </c>
      <c r="O269" s="9" t="str">
        <f t="shared" si="67"/>
        <v/>
      </c>
      <c r="P269" s="9" t="str">
        <f t="shared" si="68"/>
        <v/>
      </c>
      <c r="Q269" s="9" t="str">
        <f t="shared" si="69"/>
        <v/>
      </c>
      <c r="R269" s="9" t="str">
        <f t="shared" ca="1" si="70"/>
        <v/>
      </c>
      <c r="T269" s="6" t="str">
        <f t="shared" si="71"/>
        <v/>
      </c>
      <c r="U269" s="6" t="str">
        <f t="shared" si="72"/>
        <v/>
      </c>
      <c r="V269" s="10" t="str">
        <f t="shared" si="73"/>
        <v/>
      </c>
      <c r="W269" s="8" t="str">
        <f t="shared" si="74"/>
        <v/>
      </c>
      <c r="X269" s="9">
        <f t="shared" si="81"/>
        <v>0</v>
      </c>
      <c r="Y269" s="9">
        <f t="shared" si="82"/>
        <v>0</v>
      </c>
    </row>
    <row r="270" spans="2:25" x14ac:dyDescent="0.3">
      <c r="B270" s="6">
        <v>233</v>
      </c>
      <c r="C270" s="79" t="str">
        <f t="shared" si="83"/>
        <v/>
      </c>
      <c r="D270" s="6" t="str">
        <f t="shared" si="63"/>
        <v/>
      </c>
      <c r="E270" s="79" t="str">
        <f t="shared" si="75"/>
        <v/>
      </c>
      <c r="F270" s="79" t="str">
        <f>IF(B269&gt;$C$18,"",IF(COUNTIF(Feriados!$A$2:$B$17,EDATE($C$38,B269))=0,EDATE($C$38,B269),EDATE($C$38,B269)+VLOOKUP(EDATE($C$38,B269),Feriados!$A$2:$B$17,2,FALSE)))</f>
        <v/>
      </c>
      <c r="G270" s="6" t="str">
        <f t="shared" si="76"/>
        <v/>
      </c>
      <c r="H270" s="6" t="str">
        <f t="shared" si="77"/>
        <v/>
      </c>
      <c r="I270" s="8" t="str">
        <f t="shared" si="78"/>
        <v/>
      </c>
      <c r="J270" s="8" t="str">
        <f t="shared" si="79"/>
        <v/>
      </c>
      <c r="K270" s="9" t="str">
        <f t="shared" si="64"/>
        <v/>
      </c>
      <c r="L270" s="9" t="str">
        <f t="shared" si="80"/>
        <v/>
      </c>
      <c r="M270" s="10" t="str">
        <f t="shared" si="65"/>
        <v/>
      </c>
      <c r="N270" s="6" t="str">
        <f t="shared" si="66"/>
        <v/>
      </c>
      <c r="O270" s="9" t="str">
        <f t="shared" si="67"/>
        <v/>
      </c>
      <c r="P270" s="9" t="str">
        <f t="shared" si="68"/>
        <v/>
      </c>
      <c r="Q270" s="9" t="str">
        <f t="shared" si="69"/>
        <v/>
      </c>
      <c r="R270" s="9" t="str">
        <f t="shared" ca="1" si="70"/>
        <v/>
      </c>
      <c r="T270" s="6" t="str">
        <f t="shared" si="71"/>
        <v/>
      </c>
      <c r="U270" s="6" t="str">
        <f t="shared" si="72"/>
        <v/>
      </c>
      <c r="V270" s="10" t="str">
        <f t="shared" si="73"/>
        <v/>
      </c>
      <c r="W270" s="8" t="str">
        <f t="shared" si="74"/>
        <v/>
      </c>
      <c r="X270" s="9">
        <f t="shared" si="81"/>
        <v>0</v>
      </c>
      <c r="Y270" s="9">
        <f t="shared" si="82"/>
        <v>0</v>
      </c>
    </row>
    <row r="271" spans="2:25" x14ac:dyDescent="0.3">
      <c r="B271" s="6">
        <v>234</v>
      </c>
      <c r="C271" s="79" t="str">
        <f t="shared" si="83"/>
        <v/>
      </c>
      <c r="D271" s="6" t="str">
        <f t="shared" si="63"/>
        <v/>
      </c>
      <c r="E271" s="79" t="str">
        <f t="shared" si="75"/>
        <v/>
      </c>
      <c r="F271" s="79" t="str">
        <f>IF(B270&gt;$C$18,"",IF(COUNTIF(Feriados!$A$2:$B$17,EDATE($C$38,B270))=0,EDATE($C$38,B270),EDATE($C$38,B270)+VLOOKUP(EDATE($C$38,B270),Feriados!$A$2:$B$17,2,FALSE)))</f>
        <v/>
      </c>
      <c r="G271" s="6" t="str">
        <f t="shared" si="76"/>
        <v/>
      </c>
      <c r="H271" s="6" t="str">
        <f t="shared" si="77"/>
        <v/>
      </c>
      <c r="I271" s="8" t="str">
        <f t="shared" si="78"/>
        <v/>
      </c>
      <c r="J271" s="8" t="str">
        <f t="shared" si="79"/>
        <v/>
      </c>
      <c r="K271" s="9" t="str">
        <f t="shared" si="64"/>
        <v/>
      </c>
      <c r="L271" s="9" t="str">
        <f t="shared" si="80"/>
        <v/>
      </c>
      <c r="M271" s="10" t="str">
        <f t="shared" si="65"/>
        <v/>
      </c>
      <c r="N271" s="6" t="str">
        <f t="shared" si="66"/>
        <v/>
      </c>
      <c r="O271" s="9" t="str">
        <f t="shared" si="67"/>
        <v/>
      </c>
      <c r="P271" s="9" t="str">
        <f t="shared" si="68"/>
        <v/>
      </c>
      <c r="Q271" s="9" t="str">
        <f t="shared" si="69"/>
        <v/>
      </c>
      <c r="R271" s="9" t="str">
        <f t="shared" ca="1" si="70"/>
        <v/>
      </c>
      <c r="T271" s="6" t="str">
        <f t="shared" si="71"/>
        <v/>
      </c>
      <c r="U271" s="6" t="str">
        <f t="shared" si="72"/>
        <v/>
      </c>
      <c r="V271" s="10" t="str">
        <f t="shared" si="73"/>
        <v/>
      </c>
      <c r="W271" s="8" t="str">
        <f t="shared" si="74"/>
        <v/>
      </c>
      <c r="X271" s="9">
        <f t="shared" si="81"/>
        <v>0</v>
      </c>
      <c r="Y271" s="9">
        <f t="shared" si="82"/>
        <v>0</v>
      </c>
    </row>
    <row r="272" spans="2:25" x14ac:dyDescent="0.3">
      <c r="B272" s="6">
        <v>235</v>
      </c>
      <c r="C272" s="79" t="str">
        <f t="shared" si="83"/>
        <v/>
      </c>
      <c r="D272" s="6" t="str">
        <f t="shared" si="63"/>
        <v/>
      </c>
      <c r="E272" s="79" t="str">
        <f t="shared" si="75"/>
        <v/>
      </c>
      <c r="F272" s="79" t="str">
        <f>IF(B271&gt;$C$18,"",IF(COUNTIF(Feriados!$A$2:$B$17,EDATE($C$38,B271))=0,EDATE($C$38,B271),EDATE($C$38,B271)+VLOOKUP(EDATE($C$38,B271),Feriados!$A$2:$B$17,2,FALSE)))</f>
        <v/>
      </c>
      <c r="G272" s="6" t="str">
        <f t="shared" si="76"/>
        <v/>
      </c>
      <c r="H272" s="6" t="str">
        <f t="shared" si="77"/>
        <v/>
      </c>
      <c r="I272" s="8" t="str">
        <f t="shared" si="78"/>
        <v/>
      </c>
      <c r="J272" s="8" t="str">
        <f t="shared" si="79"/>
        <v/>
      </c>
      <c r="K272" s="9" t="str">
        <f t="shared" si="64"/>
        <v/>
      </c>
      <c r="L272" s="9" t="str">
        <f t="shared" si="80"/>
        <v/>
      </c>
      <c r="M272" s="10" t="str">
        <f t="shared" si="65"/>
        <v/>
      </c>
      <c r="N272" s="6" t="str">
        <f t="shared" si="66"/>
        <v/>
      </c>
      <c r="O272" s="9" t="str">
        <f t="shared" si="67"/>
        <v/>
      </c>
      <c r="P272" s="9" t="str">
        <f t="shared" si="68"/>
        <v/>
      </c>
      <c r="Q272" s="9" t="str">
        <f t="shared" si="69"/>
        <v/>
      </c>
      <c r="R272" s="9" t="str">
        <f t="shared" ca="1" si="70"/>
        <v/>
      </c>
      <c r="T272" s="6" t="str">
        <f t="shared" si="71"/>
        <v/>
      </c>
      <c r="U272" s="6" t="str">
        <f t="shared" si="72"/>
        <v/>
      </c>
      <c r="V272" s="10" t="str">
        <f t="shared" si="73"/>
        <v/>
      </c>
      <c r="W272" s="8" t="str">
        <f t="shared" si="74"/>
        <v/>
      </c>
      <c r="X272" s="9">
        <f t="shared" si="81"/>
        <v>0</v>
      </c>
      <c r="Y272" s="9">
        <f t="shared" si="82"/>
        <v>0</v>
      </c>
    </row>
    <row r="273" spans="2:25" x14ac:dyDescent="0.3">
      <c r="B273" s="6">
        <v>236</v>
      </c>
      <c r="C273" s="79" t="str">
        <f t="shared" si="83"/>
        <v/>
      </c>
      <c r="D273" s="6" t="str">
        <f t="shared" si="63"/>
        <v/>
      </c>
      <c r="E273" s="79" t="str">
        <f t="shared" si="75"/>
        <v/>
      </c>
      <c r="F273" s="79" t="str">
        <f>IF(B272&gt;$C$18,"",IF(COUNTIF(Feriados!$A$2:$B$17,EDATE($C$38,B272))=0,EDATE($C$38,B272),EDATE($C$38,B272)+VLOOKUP(EDATE($C$38,B272),Feriados!$A$2:$B$17,2,FALSE)))</f>
        <v/>
      </c>
      <c r="G273" s="6" t="str">
        <f t="shared" si="76"/>
        <v/>
      </c>
      <c r="H273" s="6" t="str">
        <f t="shared" si="77"/>
        <v/>
      </c>
      <c r="I273" s="8" t="str">
        <f t="shared" si="78"/>
        <v/>
      </c>
      <c r="J273" s="8" t="str">
        <f t="shared" si="79"/>
        <v/>
      </c>
      <c r="K273" s="9" t="str">
        <f t="shared" si="64"/>
        <v/>
      </c>
      <c r="L273" s="9" t="str">
        <f t="shared" si="80"/>
        <v/>
      </c>
      <c r="M273" s="10" t="str">
        <f t="shared" si="65"/>
        <v/>
      </c>
      <c r="N273" s="6" t="str">
        <f t="shared" si="66"/>
        <v/>
      </c>
      <c r="O273" s="9" t="str">
        <f t="shared" si="67"/>
        <v/>
      </c>
      <c r="P273" s="9" t="str">
        <f t="shared" si="68"/>
        <v/>
      </c>
      <c r="Q273" s="9" t="str">
        <f t="shared" si="69"/>
        <v/>
      </c>
      <c r="R273" s="9" t="str">
        <f t="shared" ca="1" si="70"/>
        <v/>
      </c>
      <c r="T273" s="6" t="str">
        <f t="shared" si="71"/>
        <v/>
      </c>
      <c r="U273" s="6" t="str">
        <f t="shared" si="72"/>
        <v/>
      </c>
      <c r="V273" s="10" t="str">
        <f t="shared" si="73"/>
        <v/>
      </c>
      <c r="W273" s="8" t="str">
        <f t="shared" si="74"/>
        <v/>
      </c>
      <c r="X273" s="9">
        <f t="shared" si="81"/>
        <v>0</v>
      </c>
      <c r="Y273" s="9">
        <f t="shared" si="82"/>
        <v>0</v>
      </c>
    </row>
    <row r="274" spans="2:25" x14ac:dyDescent="0.3">
      <c r="B274" s="6">
        <v>237</v>
      </c>
      <c r="C274" s="79" t="str">
        <f t="shared" si="83"/>
        <v/>
      </c>
      <c r="D274" s="6" t="str">
        <f t="shared" si="63"/>
        <v/>
      </c>
      <c r="E274" s="79" t="str">
        <f t="shared" si="75"/>
        <v/>
      </c>
      <c r="F274" s="79" t="str">
        <f>IF(B273&gt;$C$18,"",IF(COUNTIF(Feriados!$A$2:$B$17,EDATE($C$38,B273))=0,EDATE($C$38,B273),EDATE($C$38,B273)+VLOOKUP(EDATE($C$38,B273),Feriados!$A$2:$B$17,2,FALSE)))</f>
        <v/>
      </c>
      <c r="G274" s="6" t="str">
        <f t="shared" si="76"/>
        <v/>
      </c>
      <c r="H274" s="6" t="str">
        <f t="shared" si="77"/>
        <v/>
      </c>
      <c r="I274" s="8" t="str">
        <f t="shared" si="78"/>
        <v/>
      </c>
      <c r="J274" s="8" t="str">
        <f t="shared" si="79"/>
        <v/>
      </c>
      <c r="K274" s="9" t="str">
        <f t="shared" si="64"/>
        <v/>
      </c>
      <c r="L274" s="9" t="str">
        <f t="shared" si="80"/>
        <v/>
      </c>
      <c r="M274" s="10" t="str">
        <f t="shared" si="65"/>
        <v/>
      </c>
      <c r="N274" s="6" t="str">
        <f t="shared" si="66"/>
        <v/>
      </c>
      <c r="O274" s="9" t="str">
        <f t="shared" si="67"/>
        <v/>
      </c>
      <c r="P274" s="9" t="str">
        <f t="shared" si="68"/>
        <v/>
      </c>
      <c r="Q274" s="9" t="str">
        <f t="shared" si="69"/>
        <v/>
      </c>
      <c r="R274" s="9" t="str">
        <f t="shared" ca="1" si="70"/>
        <v/>
      </c>
      <c r="T274" s="6" t="str">
        <f t="shared" si="71"/>
        <v/>
      </c>
      <c r="U274" s="6" t="str">
        <f t="shared" si="72"/>
        <v/>
      </c>
      <c r="V274" s="10" t="str">
        <f t="shared" si="73"/>
        <v/>
      </c>
      <c r="W274" s="8" t="str">
        <f t="shared" si="74"/>
        <v/>
      </c>
      <c r="X274" s="9">
        <f t="shared" si="81"/>
        <v>0</v>
      </c>
      <c r="Y274" s="9">
        <f t="shared" si="82"/>
        <v>0</v>
      </c>
    </row>
    <row r="275" spans="2:25" x14ac:dyDescent="0.3">
      <c r="B275" s="6">
        <v>238</v>
      </c>
      <c r="C275" s="79" t="str">
        <f t="shared" si="83"/>
        <v/>
      </c>
      <c r="D275" s="6" t="str">
        <f t="shared" si="63"/>
        <v/>
      </c>
      <c r="E275" s="79" t="str">
        <f t="shared" si="75"/>
        <v/>
      </c>
      <c r="F275" s="79" t="str">
        <f>IF(B274&gt;$C$18,"",IF(COUNTIF(Feriados!$A$2:$B$17,EDATE($C$38,B274))=0,EDATE($C$38,B274),EDATE($C$38,B274)+VLOOKUP(EDATE($C$38,B274),Feriados!$A$2:$B$17,2,FALSE)))</f>
        <v/>
      </c>
      <c r="G275" s="6" t="str">
        <f t="shared" si="76"/>
        <v/>
      </c>
      <c r="H275" s="6" t="str">
        <f t="shared" si="77"/>
        <v/>
      </c>
      <c r="I275" s="8" t="str">
        <f t="shared" si="78"/>
        <v/>
      </c>
      <c r="J275" s="8" t="str">
        <f t="shared" si="79"/>
        <v/>
      </c>
      <c r="K275" s="9" t="str">
        <f t="shared" si="64"/>
        <v/>
      </c>
      <c r="L275" s="9" t="str">
        <f t="shared" si="80"/>
        <v/>
      </c>
      <c r="M275" s="10" t="str">
        <f t="shared" si="65"/>
        <v/>
      </c>
      <c r="N275" s="6" t="str">
        <f t="shared" si="66"/>
        <v/>
      </c>
      <c r="O275" s="9" t="str">
        <f t="shared" si="67"/>
        <v/>
      </c>
      <c r="P275" s="9" t="str">
        <f t="shared" si="68"/>
        <v/>
      </c>
      <c r="Q275" s="9" t="str">
        <f t="shared" si="69"/>
        <v/>
      </c>
      <c r="R275" s="9" t="str">
        <f t="shared" ca="1" si="70"/>
        <v/>
      </c>
      <c r="T275" s="6" t="str">
        <f t="shared" si="71"/>
        <v/>
      </c>
      <c r="U275" s="6" t="str">
        <f t="shared" si="72"/>
        <v/>
      </c>
      <c r="V275" s="10" t="str">
        <f t="shared" si="73"/>
        <v/>
      </c>
      <c r="W275" s="8" t="str">
        <f t="shared" si="74"/>
        <v/>
      </c>
      <c r="X275" s="9">
        <f t="shared" si="81"/>
        <v>0</v>
      </c>
      <c r="Y275" s="9">
        <f t="shared" si="82"/>
        <v>0</v>
      </c>
    </row>
    <row r="276" spans="2:25" x14ac:dyDescent="0.3">
      <c r="B276" s="6">
        <v>239</v>
      </c>
      <c r="C276" s="79" t="str">
        <f t="shared" si="83"/>
        <v/>
      </c>
      <c r="D276" s="6" t="str">
        <f t="shared" si="63"/>
        <v/>
      </c>
      <c r="E276" s="79" t="str">
        <f t="shared" si="75"/>
        <v/>
      </c>
      <c r="F276" s="79" t="str">
        <f>IF(B275&gt;$C$18,"",IF(COUNTIF(Feriados!$A$2:$B$17,EDATE($C$38,B275))=0,EDATE($C$38,B275),EDATE($C$38,B275)+VLOOKUP(EDATE($C$38,B275),Feriados!$A$2:$B$17,2,FALSE)))</f>
        <v/>
      </c>
      <c r="G276" s="6" t="str">
        <f t="shared" si="76"/>
        <v/>
      </c>
      <c r="H276" s="6" t="str">
        <f t="shared" si="77"/>
        <v/>
      </c>
      <c r="I276" s="8" t="str">
        <f t="shared" si="78"/>
        <v/>
      </c>
      <c r="J276" s="8" t="str">
        <f t="shared" si="79"/>
        <v/>
      </c>
      <c r="K276" s="9" t="str">
        <f t="shared" si="64"/>
        <v/>
      </c>
      <c r="L276" s="9" t="str">
        <f t="shared" si="80"/>
        <v/>
      </c>
      <c r="M276" s="10" t="str">
        <f t="shared" si="65"/>
        <v/>
      </c>
      <c r="N276" s="6" t="str">
        <f t="shared" si="66"/>
        <v/>
      </c>
      <c r="O276" s="9" t="str">
        <f t="shared" si="67"/>
        <v/>
      </c>
      <c r="P276" s="9" t="str">
        <f t="shared" si="68"/>
        <v/>
      </c>
      <c r="Q276" s="9" t="str">
        <f t="shared" si="69"/>
        <v/>
      </c>
      <c r="R276" s="9" t="str">
        <f t="shared" ca="1" si="70"/>
        <v/>
      </c>
      <c r="T276" s="6" t="str">
        <f t="shared" si="71"/>
        <v/>
      </c>
      <c r="U276" s="6" t="str">
        <f t="shared" si="72"/>
        <v/>
      </c>
      <c r="V276" s="10" t="str">
        <f t="shared" si="73"/>
        <v/>
      </c>
      <c r="W276" s="8" t="str">
        <f t="shared" si="74"/>
        <v/>
      </c>
      <c r="X276" s="9">
        <f t="shared" si="81"/>
        <v>0</v>
      </c>
      <c r="Y276" s="9">
        <f t="shared" si="82"/>
        <v>0</v>
      </c>
    </row>
    <row r="277" spans="2:25" x14ac:dyDescent="0.3">
      <c r="B277" s="6">
        <v>240</v>
      </c>
      <c r="C277" s="79" t="str">
        <f t="shared" si="83"/>
        <v/>
      </c>
      <c r="D277" s="6" t="str">
        <f t="shared" si="63"/>
        <v/>
      </c>
      <c r="E277" s="79" t="str">
        <f t="shared" si="75"/>
        <v/>
      </c>
      <c r="F277" s="79" t="str">
        <f>IF(B276&gt;$C$18,"",IF(COUNTIF(Feriados!$A$2:$B$17,EDATE($C$38,B276))=0,EDATE($C$38,B276),EDATE($C$38,B276)+VLOOKUP(EDATE($C$38,B276),Feriados!$A$2:$B$17,2,FALSE)))</f>
        <v/>
      </c>
      <c r="G277" s="6" t="str">
        <f t="shared" si="76"/>
        <v/>
      </c>
      <c r="H277" s="6" t="str">
        <f t="shared" si="77"/>
        <v/>
      </c>
      <c r="I277" s="8" t="str">
        <f t="shared" si="78"/>
        <v/>
      </c>
      <c r="J277" s="8" t="str">
        <f t="shared" si="79"/>
        <v/>
      </c>
      <c r="K277" s="9" t="str">
        <f t="shared" si="64"/>
        <v/>
      </c>
      <c r="L277" s="9" t="str">
        <f t="shared" si="80"/>
        <v/>
      </c>
      <c r="M277" s="10" t="str">
        <f t="shared" si="65"/>
        <v/>
      </c>
      <c r="N277" s="6" t="str">
        <f t="shared" si="66"/>
        <v/>
      </c>
      <c r="O277" s="9" t="str">
        <f t="shared" si="67"/>
        <v/>
      </c>
      <c r="P277" s="9" t="str">
        <f t="shared" si="68"/>
        <v/>
      </c>
      <c r="Q277" s="9" t="str">
        <f t="shared" si="69"/>
        <v/>
      </c>
      <c r="R277" s="9" t="str">
        <f t="shared" ca="1" si="70"/>
        <v/>
      </c>
      <c r="T277" s="6" t="str">
        <f t="shared" si="71"/>
        <v/>
      </c>
      <c r="U277" s="6" t="str">
        <f t="shared" si="72"/>
        <v/>
      </c>
      <c r="V277" s="10" t="str">
        <f t="shared" si="73"/>
        <v/>
      </c>
      <c r="W277" s="8" t="str">
        <f t="shared" si="74"/>
        <v/>
      </c>
      <c r="X277" s="9">
        <f t="shared" si="81"/>
        <v>0</v>
      </c>
      <c r="Y277" s="9">
        <f t="shared" si="82"/>
        <v>0</v>
      </c>
    </row>
    <row r="278" spans="2:25" x14ac:dyDescent="0.3">
      <c r="B278" s="6">
        <v>241</v>
      </c>
      <c r="C278" s="79" t="str">
        <f t="shared" si="83"/>
        <v/>
      </c>
      <c r="D278" s="6" t="str">
        <f t="shared" si="63"/>
        <v/>
      </c>
      <c r="E278" s="79" t="str">
        <f t="shared" si="75"/>
        <v/>
      </c>
      <c r="F278" s="79" t="str">
        <f>IF(B277&gt;$C$18,"",IF(COUNTIF(Feriados!$A$2:$B$17,EDATE($C$38,B277))=0,EDATE($C$38,B277),EDATE($C$38,B277)+VLOOKUP(EDATE($C$38,B277),Feriados!$A$2:$B$17,2,FALSE)))</f>
        <v/>
      </c>
      <c r="G278" s="6" t="str">
        <f t="shared" si="76"/>
        <v/>
      </c>
      <c r="H278" s="6" t="str">
        <f t="shared" si="77"/>
        <v/>
      </c>
      <c r="I278" s="8" t="str">
        <f t="shared" si="78"/>
        <v/>
      </c>
      <c r="J278" s="8" t="str">
        <f t="shared" si="79"/>
        <v/>
      </c>
      <c r="K278" s="9" t="str">
        <f t="shared" si="64"/>
        <v/>
      </c>
      <c r="L278" s="9" t="str">
        <f t="shared" si="80"/>
        <v/>
      </c>
      <c r="M278" s="10" t="str">
        <f t="shared" si="65"/>
        <v/>
      </c>
      <c r="N278" s="6" t="str">
        <f t="shared" si="66"/>
        <v/>
      </c>
      <c r="O278" s="9" t="str">
        <f t="shared" si="67"/>
        <v/>
      </c>
      <c r="P278" s="9" t="str">
        <f t="shared" si="68"/>
        <v/>
      </c>
      <c r="Q278" s="9" t="str">
        <f t="shared" si="69"/>
        <v/>
      </c>
      <c r="R278" s="9" t="str">
        <f t="shared" ca="1" si="70"/>
        <v/>
      </c>
      <c r="T278" s="6" t="str">
        <f t="shared" si="71"/>
        <v/>
      </c>
      <c r="U278" s="6" t="str">
        <f t="shared" si="72"/>
        <v/>
      </c>
      <c r="V278" s="10" t="str">
        <f t="shared" si="73"/>
        <v/>
      </c>
      <c r="W278" s="8" t="str">
        <f t="shared" si="74"/>
        <v/>
      </c>
      <c r="X278" s="9">
        <f t="shared" si="81"/>
        <v>0</v>
      </c>
      <c r="Y278" s="9">
        <f t="shared" si="82"/>
        <v>0</v>
      </c>
    </row>
    <row r="279" spans="2:25" x14ac:dyDescent="0.3">
      <c r="B279" s="6">
        <v>242</v>
      </c>
      <c r="C279" s="79" t="str">
        <f t="shared" si="83"/>
        <v/>
      </c>
      <c r="D279" s="6" t="str">
        <f t="shared" si="63"/>
        <v/>
      </c>
      <c r="E279" s="79" t="str">
        <f t="shared" si="75"/>
        <v/>
      </c>
      <c r="F279" s="79" t="str">
        <f>IF(B278&gt;$C$18,"",IF(COUNTIF(Feriados!$A$2:$B$17,EDATE($C$38,B278))=0,EDATE($C$38,B278),EDATE($C$38,B278)+VLOOKUP(EDATE($C$38,B278),Feriados!$A$2:$B$17,2,FALSE)))</f>
        <v/>
      </c>
      <c r="G279" s="6" t="str">
        <f t="shared" si="76"/>
        <v/>
      </c>
      <c r="H279" s="6" t="str">
        <f t="shared" si="77"/>
        <v/>
      </c>
      <c r="I279" s="8" t="str">
        <f t="shared" si="78"/>
        <v/>
      </c>
      <c r="J279" s="8" t="str">
        <f t="shared" si="79"/>
        <v/>
      </c>
      <c r="K279" s="9" t="str">
        <f t="shared" si="64"/>
        <v/>
      </c>
      <c r="L279" s="9" t="str">
        <f t="shared" si="80"/>
        <v/>
      </c>
      <c r="M279" s="10" t="str">
        <f t="shared" si="65"/>
        <v/>
      </c>
      <c r="N279" s="6" t="str">
        <f t="shared" si="66"/>
        <v/>
      </c>
      <c r="O279" s="9" t="str">
        <f t="shared" si="67"/>
        <v/>
      </c>
      <c r="P279" s="9" t="str">
        <f t="shared" si="68"/>
        <v/>
      </c>
      <c r="Q279" s="9" t="str">
        <f t="shared" si="69"/>
        <v/>
      </c>
      <c r="R279" s="9" t="str">
        <f t="shared" ca="1" si="70"/>
        <v/>
      </c>
      <c r="T279" s="6" t="str">
        <f t="shared" si="71"/>
        <v/>
      </c>
      <c r="U279" s="6" t="str">
        <f t="shared" si="72"/>
        <v/>
      </c>
      <c r="V279" s="10" t="str">
        <f t="shared" si="73"/>
        <v/>
      </c>
      <c r="W279" s="8" t="str">
        <f t="shared" si="74"/>
        <v/>
      </c>
      <c r="X279" s="9">
        <f t="shared" si="81"/>
        <v>0</v>
      </c>
      <c r="Y279" s="9">
        <f t="shared" si="82"/>
        <v>0</v>
      </c>
    </row>
    <row r="280" spans="2:25" x14ac:dyDescent="0.3">
      <c r="B280" s="6">
        <v>243</v>
      </c>
      <c r="C280" s="79" t="str">
        <f t="shared" si="83"/>
        <v/>
      </c>
      <c r="D280" s="6" t="str">
        <f t="shared" si="63"/>
        <v/>
      </c>
      <c r="E280" s="79" t="str">
        <f t="shared" si="75"/>
        <v/>
      </c>
      <c r="F280" s="79" t="str">
        <f>IF(B279&gt;$C$18,"",IF(COUNTIF(Feriados!$A$2:$B$17,EDATE($C$38,B279))=0,EDATE($C$38,B279),EDATE($C$38,B279)+VLOOKUP(EDATE($C$38,B279),Feriados!$A$2:$B$17,2,FALSE)))</f>
        <v/>
      </c>
      <c r="G280" s="6" t="str">
        <f t="shared" si="76"/>
        <v/>
      </c>
      <c r="H280" s="6" t="str">
        <f t="shared" si="77"/>
        <v/>
      </c>
      <c r="I280" s="8" t="str">
        <f t="shared" si="78"/>
        <v/>
      </c>
      <c r="J280" s="8" t="str">
        <f t="shared" si="79"/>
        <v/>
      </c>
      <c r="K280" s="9" t="str">
        <f t="shared" si="64"/>
        <v/>
      </c>
      <c r="L280" s="9" t="str">
        <f t="shared" si="80"/>
        <v/>
      </c>
      <c r="M280" s="10" t="str">
        <f t="shared" si="65"/>
        <v/>
      </c>
      <c r="N280" s="6" t="str">
        <f t="shared" si="66"/>
        <v/>
      </c>
      <c r="O280" s="9" t="str">
        <f t="shared" si="67"/>
        <v/>
      </c>
      <c r="P280" s="9" t="str">
        <f t="shared" si="68"/>
        <v/>
      </c>
      <c r="Q280" s="9" t="str">
        <f t="shared" si="69"/>
        <v/>
      </c>
      <c r="R280" s="9" t="str">
        <f t="shared" ca="1" si="70"/>
        <v/>
      </c>
      <c r="T280" s="6" t="str">
        <f t="shared" si="71"/>
        <v/>
      </c>
      <c r="U280" s="6" t="str">
        <f t="shared" si="72"/>
        <v/>
      </c>
      <c r="V280" s="10" t="str">
        <f t="shared" si="73"/>
        <v/>
      </c>
      <c r="W280" s="8" t="str">
        <f t="shared" si="74"/>
        <v/>
      </c>
      <c r="X280" s="9">
        <f t="shared" si="81"/>
        <v>0</v>
      </c>
      <c r="Y280" s="9">
        <f t="shared" si="82"/>
        <v>0</v>
      </c>
    </row>
    <row r="281" spans="2:25" x14ac:dyDescent="0.3">
      <c r="B281" s="6">
        <v>244</v>
      </c>
      <c r="C281" s="79" t="str">
        <f t="shared" si="83"/>
        <v/>
      </c>
      <c r="D281" s="6" t="str">
        <f t="shared" si="63"/>
        <v/>
      </c>
      <c r="E281" s="79" t="str">
        <f t="shared" si="75"/>
        <v/>
      </c>
      <c r="F281" s="79" t="str">
        <f>IF(B280&gt;$C$18,"",IF(COUNTIF(Feriados!$A$2:$B$17,EDATE($C$38,B280))=0,EDATE($C$38,B280),EDATE($C$38,B280)+VLOOKUP(EDATE($C$38,B280),Feriados!$A$2:$B$17,2,FALSE)))</f>
        <v/>
      </c>
      <c r="G281" s="6" t="str">
        <f t="shared" si="76"/>
        <v/>
      </c>
      <c r="H281" s="6" t="str">
        <f t="shared" si="77"/>
        <v/>
      </c>
      <c r="I281" s="8" t="str">
        <f t="shared" si="78"/>
        <v/>
      </c>
      <c r="J281" s="8" t="str">
        <f t="shared" si="79"/>
        <v/>
      </c>
      <c r="K281" s="9" t="str">
        <f t="shared" si="64"/>
        <v/>
      </c>
      <c r="L281" s="9" t="str">
        <f t="shared" si="80"/>
        <v/>
      </c>
      <c r="M281" s="10" t="str">
        <f t="shared" si="65"/>
        <v/>
      </c>
      <c r="N281" s="6" t="str">
        <f t="shared" si="66"/>
        <v/>
      </c>
      <c r="O281" s="9" t="str">
        <f t="shared" si="67"/>
        <v/>
      </c>
      <c r="P281" s="9" t="str">
        <f t="shared" si="68"/>
        <v/>
      </c>
      <c r="Q281" s="9" t="str">
        <f t="shared" si="69"/>
        <v/>
      </c>
      <c r="R281" s="9" t="str">
        <f t="shared" ca="1" si="70"/>
        <v/>
      </c>
      <c r="T281" s="6" t="str">
        <f t="shared" si="71"/>
        <v/>
      </c>
      <c r="U281" s="6" t="str">
        <f t="shared" si="72"/>
        <v/>
      </c>
      <c r="V281" s="10" t="str">
        <f t="shared" si="73"/>
        <v/>
      </c>
      <c r="W281" s="8" t="str">
        <f t="shared" si="74"/>
        <v/>
      </c>
      <c r="X281" s="9">
        <f t="shared" si="81"/>
        <v>0</v>
      </c>
      <c r="Y281" s="9">
        <f t="shared" si="82"/>
        <v>0</v>
      </c>
    </row>
    <row r="282" spans="2:25" x14ac:dyDescent="0.3">
      <c r="B282" s="6">
        <v>245</v>
      </c>
      <c r="C282" s="79" t="str">
        <f t="shared" si="83"/>
        <v/>
      </c>
      <c r="D282" s="6" t="str">
        <f t="shared" si="63"/>
        <v/>
      </c>
      <c r="E282" s="79" t="str">
        <f t="shared" si="75"/>
        <v/>
      </c>
      <c r="F282" s="79" t="str">
        <f>IF(B281&gt;$C$18,"",IF(COUNTIF(Feriados!$A$2:$B$17,EDATE($C$38,B281))=0,EDATE($C$38,B281),EDATE($C$38,B281)+VLOOKUP(EDATE($C$38,B281),Feriados!$A$2:$B$17,2,FALSE)))</f>
        <v/>
      </c>
      <c r="G282" s="6" t="str">
        <f t="shared" si="76"/>
        <v/>
      </c>
      <c r="H282" s="6" t="str">
        <f t="shared" si="77"/>
        <v/>
      </c>
      <c r="I282" s="8" t="str">
        <f t="shared" si="78"/>
        <v/>
      </c>
      <c r="J282" s="8" t="str">
        <f t="shared" si="79"/>
        <v/>
      </c>
      <c r="K282" s="9" t="str">
        <f t="shared" si="64"/>
        <v/>
      </c>
      <c r="L282" s="9" t="str">
        <f t="shared" si="80"/>
        <v/>
      </c>
      <c r="M282" s="10" t="str">
        <f t="shared" si="65"/>
        <v/>
      </c>
      <c r="N282" s="6" t="str">
        <f t="shared" si="66"/>
        <v/>
      </c>
      <c r="O282" s="9" t="str">
        <f t="shared" si="67"/>
        <v/>
      </c>
      <c r="P282" s="9" t="str">
        <f t="shared" si="68"/>
        <v/>
      </c>
      <c r="Q282" s="9" t="str">
        <f t="shared" si="69"/>
        <v/>
      </c>
      <c r="R282" s="9" t="str">
        <f t="shared" ca="1" si="70"/>
        <v/>
      </c>
      <c r="T282" s="6" t="str">
        <f t="shared" si="71"/>
        <v/>
      </c>
      <c r="U282" s="6" t="str">
        <f t="shared" si="72"/>
        <v/>
      </c>
      <c r="V282" s="10" t="str">
        <f t="shared" si="73"/>
        <v/>
      </c>
      <c r="W282" s="8" t="str">
        <f t="shared" si="74"/>
        <v/>
      </c>
      <c r="X282" s="9">
        <f t="shared" si="81"/>
        <v>0</v>
      </c>
      <c r="Y282" s="9">
        <f t="shared" si="82"/>
        <v>0</v>
      </c>
    </row>
    <row r="283" spans="2:25" x14ac:dyDescent="0.3">
      <c r="B283" s="6">
        <v>246</v>
      </c>
      <c r="C283" s="79" t="str">
        <f t="shared" si="83"/>
        <v/>
      </c>
      <c r="D283" s="6" t="str">
        <f t="shared" si="63"/>
        <v/>
      </c>
      <c r="E283" s="79" t="str">
        <f t="shared" si="75"/>
        <v/>
      </c>
      <c r="F283" s="79" t="str">
        <f>IF(B282&gt;$C$18,"",IF(COUNTIF(Feriados!$A$2:$B$17,EDATE($C$38,B282))=0,EDATE($C$38,B282),EDATE($C$38,B282)+VLOOKUP(EDATE($C$38,B282),Feriados!$A$2:$B$17,2,FALSE)))</f>
        <v/>
      </c>
      <c r="G283" s="6" t="str">
        <f t="shared" si="76"/>
        <v/>
      </c>
      <c r="H283" s="6" t="str">
        <f t="shared" si="77"/>
        <v/>
      </c>
      <c r="I283" s="8" t="str">
        <f t="shared" si="78"/>
        <v/>
      </c>
      <c r="J283" s="8" t="str">
        <f t="shared" si="79"/>
        <v/>
      </c>
      <c r="K283" s="9" t="str">
        <f t="shared" si="64"/>
        <v/>
      </c>
      <c r="L283" s="9" t="str">
        <f t="shared" si="80"/>
        <v/>
      </c>
      <c r="M283" s="10" t="str">
        <f t="shared" si="65"/>
        <v/>
      </c>
      <c r="N283" s="6" t="str">
        <f t="shared" si="66"/>
        <v/>
      </c>
      <c r="O283" s="9" t="str">
        <f t="shared" si="67"/>
        <v/>
      </c>
      <c r="P283" s="9" t="str">
        <f t="shared" si="68"/>
        <v/>
      </c>
      <c r="Q283" s="9" t="str">
        <f t="shared" si="69"/>
        <v/>
      </c>
      <c r="R283" s="9" t="str">
        <f t="shared" ca="1" si="70"/>
        <v/>
      </c>
      <c r="T283" s="6" t="str">
        <f t="shared" si="71"/>
        <v/>
      </c>
      <c r="U283" s="6" t="str">
        <f t="shared" si="72"/>
        <v/>
      </c>
      <c r="V283" s="10" t="str">
        <f t="shared" si="73"/>
        <v/>
      </c>
      <c r="W283" s="8" t="str">
        <f t="shared" si="74"/>
        <v/>
      </c>
      <c r="X283" s="9">
        <f t="shared" si="81"/>
        <v>0</v>
      </c>
      <c r="Y283" s="9">
        <f t="shared" si="82"/>
        <v>0</v>
      </c>
    </row>
    <row r="284" spans="2:25" x14ac:dyDescent="0.3">
      <c r="B284" s="6">
        <v>247</v>
      </c>
      <c r="C284" s="79" t="str">
        <f t="shared" si="83"/>
        <v/>
      </c>
      <c r="D284" s="6" t="str">
        <f t="shared" si="63"/>
        <v/>
      </c>
      <c r="E284" s="79" t="str">
        <f t="shared" si="75"/>
        <v/>
      </c>
      <c r="F284" s="79" t="str">
        <f>IF(B283&gt;$C$18,"",IF(COUNTIF(Feriados!$A$2:$B$17,EDATE($C$38,B283))=0,EDATE($C$38,B283),EDATE($C$38,B283)+VLOOKUP(EDATE($C$38,B283),Feriados!$A$2:$B$17,2,FALSE)))</f>
        <v/>
      </c>
      <c r="G284" s="6" t="str">
        <f t="shared" si="76"/>
        <v/>
      </c>
      <c r="H284" s="6" t="str">
        <f t="shared" si="77"/>
        <v/>
      </c>
      <c r="I284" s="8" t="str">
        <f t="shared" si="78"/>
        <v/>
      </c>
      <c r="J284" s="8" t="str">
        <f t="shared" si="79"/>
        <v/>
      </c>
      <c r="K284" s="9" t="str">
        <f t="shared" si="64"/>
        <v/>
      </c>
      <c r="L284" s="9" t="str">
        <f t="shared" si="80"/>
        <v/>
      </c>
      <c r="M284" s="10" t="str">
        <f t="shared" si="65"/>
        <v/>
      </c>
      <c r="N284" s="6" t="str">
        <f t="shared" si="66"/>
        <v/>
      </c>
      <c r="O284" s="9" t="str">
        <f t="shared" si="67"/>
        <v/>
      </c>
      <c r="P284" s="9" t="str">
        <f t="shared" si="68"/>
        <v/>
      </c>
      <c r="Q284" s="9" t="str">
        <f t="shared" si="69"/>
        <v/>
      </c>
      <c r="R284" s="9" t="str">
        <f t="shared" ca="1" si="70"/>
        <v/>
      </c>
      <c r="T284" s="6" t="str">
        <f t="shared" si="71"/>
        <v/>
      </c>
      <c r="U284" s="6" t="str">
        <f t="shared" si="72"/>
        <v/>
      </c>
      <c r="V284" s="10" t="str">
        <f t="shared" si="73"/>
        <v/>
      </c>
      <c r="W284" s="8" t="str">
        <f t="shared" si="74"/>
        <v/>
      </c>
      <c r="X284" s="9">
        <f t="shared" si="81"/>
        <v>0</v>
      </c>
      <c r="Y284" s="9">
        <f t="shared" si="82"/>
        <v>0</v>
      </c>
    </row>
    <row r="285" spans="2:25" x14ac:dyDescent="0.3">
      <c r="B285" s="6">
        <v>248</v>
      </c>
      <c r="C285" s="79" t="str">
        <f t="shared" si="83"/>
        <v/>
      </c>
      <c r="D285" s="6" t="str">
        <f t="shared" si="63"/>
        <v/>
      </c>
      <c r="E285" s="79" t="str">
        <f t="shared" si="75"/>
        <v/>
      </c>
      <c r="F285" s="79" t="str">
        <f>IF(B284&gt;$C$18,"",IF(COUNTIF(Feriados!$A$2:$B$17,EDATE($C$38,B284))=0,EDATE($C$38,B284),EDATE($C$38,B284)+VLOOKUP(EDATE($C$38,B284),Feriados!$A$2:$B$17,2,FALSE)))</f>
        <v/>
      </c>
      <c r="G285" s="6" t="str">
        <f t="shared" si="76"/>
        <v/>
      </c>
      <c r="H285" s="6" t="str">
        <f t="shared" si="77"/>
        <v/>
      </c>
      <c r="I285" s="8" t="str">
        <f t="shared" si="78"/>
        <v/>
      </c>
      <c r="J285" s="8" t="str">
        <f t="shared" si="79"/>
        <v/>
      </c>
      <c r="K285" s="9" t="str">
        <f t="shared" si="64"/>
        <v/>
      </c>
      <c r="L285" s="9" t="str">
        <f t="shared" si="80"/>
        <v/>
      </c>
      <c r="M285" s="10" t="str">
        <f t="shared" si="65"/>
        <v/>
      </c>
      <c r="N285" s="6" t="str">
        <f t="shared" si="66"/>
        <v/>
      </c>
      <c r="O285" s="9" t="str">
        <f t="shared" si="67"/>
        <v/>
      </c>
      <c r="P285" s="9" t="str">
        <f t="shared" si="68"/>
        <v/>
      </c>
      <c r="Q285" s="9" t="str">
        <f t="shared" si="69"/>
        <v/>
      </c>
      <c r="R285" s="9" t="str">
        <f t="shared" ca="1" si="70"/>
        <v/>
      </c>
      <c r="T285" s="6" t="str">
        <f t="shared" si="71"/>
        <v/>
      </c>
      <c r="U285" s="6" t="str">
        <f t="shared" si="72"/>
        <v/>
      </c>
      <c r="V285" s="10" t="str">
        <f t="shared" si="73"/>
        <v/>
      </c>
      <c r="W285" s="8" t="str">
        <f t="shared" si="74"/>
        <v/>
      </c>
      <c r="X285" s="9">
        <f t="shared" si="81"/>
        <v>0</v>
      </c>
      <c r="Y285" s="9">
        <f t="shared" si="82"/>
        <v>0</v>
      </c>
    </row>
    <row r="286" spans="2:25" x14ac:dyDescent="0.3">
      <c r="B286" s="6">
        <v>249</v>
      </c>
      <c r="C286" s="79" t="str">
        <f t="shared" si="83"/>
        <v/>
      </c>
      <c r="D286" s="6" t="str">
        <f t="shared" si="63"/>
        <v/>
      </c>
      <c r="E286" s="79" t="str">
        <f t="shared" si="75"/>
        <v/>
      </c>
      <c r="F286" s="79" t="str">
        <f>IF(B285&gt;$C$18,"",IF(COUNTIF(Feriados!$A$2:$B$17,EDATE($C$38,B285))=0,EDATE($C$38,B285),EDATE($C$38,B285)+VLOOKUP(EDATE($C$38,B285),Feriados!$A$2:$B$17,2,FALSE)))</f>
        <v/>
      </c>
      <c r="G286" s="6" t="str">
        <f t="shared" si="76"/>
        <v/>
      </c>
      <c r="H286" s="6" t="str">
        <f t="shared" si="77"/>
        <v/>
      </c>
      <c r="I286" s="8" t="str">
        <f t="shared" si="78"/>
        <v/>
      </c>
      <c r="J286" s="8" t="str">
        <f t="shared" si="79"/>
        <v/>
      </c>
      <c r="K286" s="9" t="str">
        <f t="shared" si="64"/>
        <v/>
      </c>
      <c r="L286" s="9" t="str">
        <f t="shared" si="80"/>
        <v/>
      </c>
      <c r="M286" s="10" t="str">
        <f t="shared" si="65"/>
        <v/>
      </c>
      <c r="N286" s="6" t="str">
        <f t="shared" si="66"/>
        <v/>
      </c>
      <c r="O286" s="9" t="str">
        <f t="shared" si="67"/>
        <v/>
      </c>
      <c r="P286" s="9" t="str">
        <f t="shared" si="68"/>
        <v/>
      </c>
      <c r="Q286" s="9" t="str">
        <f t="shared" si="69"/>
        <v/>
      </c>
      <c r="R286" s="9" t="str">
        <f t="shared" ca="1" si="70"/>
        <v/>
      </c>
      <c r="T286" s="6" t="str">
        <f t="shared" si="71"/>
        <v/>
      </c>
      <c r="U286" s="6" t="str">
        <f t="shared" si="72"/>
        <v/>
      </c>
      <c r="V286" s="10" t="str">
        <f t="shared" si="73"/>
        <v/>
      </c>
      <c r="W286" s="8" t="str">
        <f t="shared" si="74"/>
        <v/>
      </c>
      <c r="X286" s="9">
        <f t="shared" si="81"/>
        <v>0</v>
      </c>
      <c r="Y286" s="9">
        <f t="shared" si="82"/>
        <v>0</v>
      </c>
    </row>
    <row r="287" spans="2:25" x14ac:dyDescent="0.3">
      <c r="B287" s="6">
        <v>250</v>
      </c>
      <c r="C287" s="79" t="str">
        <f t="shared" si="83"/>
        <v/>
      </c>
      <c r="D287" s="6" t="str">
        <f t="shared" si="63"/>
        <v/>
      </c>
      <c r="E287" s="79" t="str">
        <f t="shared" si="75"/>
        <v/>
      </c>
      <c r="F287" s="79" t="str">
        <f>IF(B286&gt;$C$18,"",IF(COUNTIF(Feriados!$A$2:$B$17,EDATE($C$38,B286))=0,EDATE($C$38,B286),EDATE($C$38,B286)+VLOOKUP(EDATE($C$38,B286),Feriados!$A$2:$B$17,2,FALSE)))</f>
        <v/>
      </c>
      <c r="G287" s="6" t="str">
        <f t="shared" si="76"/>
        <v/>
      </c>
      <c r="H287" s="6" t="str">
        <f t="shared" si="77"/>
        <v/>
      </c>
      <c r="I287" s="8" t="str">
        <f t="shared" si="78"/>
        <v/>
      </c>
      <c r="J287" s="8" t="str">
        <f t="shared" si="79"/>
        <v/>
      </c>
      <c r="K287" s="9" t="str">
        <f t="shared" si="64"/>
        <v/>
      </c>
      <c r="L287" s="9" t="str">
        <f t="shared" si="80"/>
        <v/>
      </c>
      <c r="M287" s="10" t="str">
        <f t="shared" si="65"/>
        <v/>
      </c>
      <c r="N287" s="6" t="str">
        <f t="shared" si="66"/>
        <v/>
      </c>
      <c r="O287" s="9" t="str">
        <f t="shared" si="67"/>
        <v/>
      </c>
      <c r="P287" s="9" t="str">
        <f t="shared" si="68"/>
        <v/>
      </c>
      <c r="Q287" s="9" t="str">
        <f t="shared" si="69"/>
        <v/>
      </c>
      <c r="R287" s="9" t="str">
        <f t="shared" ca="1" si="70"/>
        <v/>
      </c>
      <c r="T287" s="6" t="str">
        <f t="shared" si="71"/>
        <v/>
      </c>
      <c r="U287" s="6" t="str">
        <f t="shared" si="72"/>
        <v/>
      </c>
      <c r="V287" s="10" t="str">
        <f t="shared" si="73"/>
        <v/>
      </c>
      <c r="W287" s="8" t="str">
        <f t="shared" si="74"/>
        <v/>
      </c>
      <c r="X287" s="9">
        <f t="shared" si="81"/>
        <v>0</v>
      </c>
      <c r="Y287" s="9">
        <f t="shared" si="82"/>
        <v>0</v>
      </c>
    </row>
    <row r="288" spans="2:25" x14ac:dyDescent="0.3">
      <c r="B288" s="6">
        <v>251</v>
      </c>
      <c r="C288" s="79" t="str">
        <f t="shared" si="83"/>
        <v/>
      </c>
      <c r="D288" s="6" t="str">
        <f t="shared" si="63"/>
        <v/>
      </c>
      <c r="E288" s="79" t="str">
        <f t="shared" si="75"/>
        <v/>
      </c>
      <c r="F288" s="79" t="str">
        <f>IF(B287&gt;$C$18,"",IF(COUNTIF(Feriados!$A$2:$B$17,EDATE($C$38,B287))=0,EDATE($C$38,B287),EDATE($C$38,B287)+VLOOKUP(EDATE($C$38,B287),Feriados!$A$2:$B$17,2,FALSE)))</f>
        <v/>
      </c>
      <c r="G288" s="6" t="str">
        <f t="shared" si="76"/>
        <v/>
      </c>
      <c r="H288" s="6" t="str">
        <f t="shared" si="77"/>
        <v/>
      </c>
      <c r="I288" s="8" t="str">
        <f t="shared" si="78"/>
        <v/>
      </c>
      <c r="J288" s="8" t="str">
        <f t="shared" si="79"/>
        <v/>
      </c>
      <c r="K288" s="9" t="str">
        <f t="shared" si="64"/>
        <v/>
      </c>
      <c r="L288" s="9" t="str">
        <f t="shared" si="80"/>
        <v/>
      </c>
      <c r="M288" s="10" t="str">
        <f t="shared" si="65"/>
        <v/>
      </c>
      <c r="N288" s="6" t="str">
        <f t="shared" si="66"/>
        <v/>
      </c>
      <c r="O288" s="9" t="str">
        <f t="shared" si="67"/>
        <v/>
      </c>
      <c r="P288" s="9" t="str">
        <f t="shared" si="68"/>
        <v/>
      </c>
      <c r="Q288" s="9" t="str">
        <f t="shared" si="69"/>
        <v/>
      </c>
      <c r="R288" s="9" t="str">
        <f t="shared" ca="1" si="70"/>
        <v/>
      </c>
      <c r="T288" s="6" t="str">
        <f t="shared" si="71"/>
        <v/>
      </c>
      <c r="U288" s="6" t="str">
        <f t="shared" si="72"/>
        <v/>
      </c>
      <c r="V288" s="10" t="str">
        <f t="shared" si="73"/>
        <v/>
      </c>
      <c r="W288" s="8" t="str">
        <f t="shared" si="74"/>
        <v/>
      </c>
      <c r="X288" s="9">
        <f t="shared" si="81"/>
        <v>0</v>
      </c>
      <c r="Y288" s="9">
        <f t="shared" si="82"/>
        <v>0</v>
      </c>
    </row>
    <row r="289" spans="2:25" x14ac:dyDescent="0.3">
      <c r="B289" s="6">
        <v>252</v>
      </c>
      <c r="C289" s="79" t="str">
        <f t="shared" si="83"/>
        <v/>
      </c>
      <c r="D289" s="6" t="str">
        <f t="shared" si="63"/>
        <v/>
      </c>
      <c r="E289" s="79" t="str">
        <f t="shared" si="75"/>
        <v/>
      </c>
      <c r="F289" s="79" t="str">
        <f>IF(B288&gt;$C$18,"",IF(COUNTIF(Feriados!$A$2:$B$17,EDATE($C$38,B288))=0,EDATE($C$38,B288),EDATE($C$38,B288)+VLOOKUP(EDATE($C$38,B288),Feriados!$A$2:$B$17,2,FALSE)))</f>
        <v/>
      </c>
      <c r="G289" s="6" t="str">
        <f t="shared" si="76"/>
        <v/>
      </c>
      <c r="H289" s="6" t="str">
        <f t="shared" si="77"/>
        <v/>
      </c>
      <c r="I289" s="8" t="str">
        <f t="shared" si="78"/>
        <v/>
      </c>
      <c r="J289" s="8" t="str">
        <f t="shared" si="79"/>
        <v/>
      </c>
      <c r="K289" s="9" t="str">
        <f t="shared" si="64"/>
        <v/>
      </c>
      <c r="L289" s="9" t="str">
        <f t="shared" si="80"/>
        <v/>
      </c>
      <c r="M289" s="10" t="str">
        <f t="shared" si="65"/>
        <v/>
      </c>
      <c r="N289" s="6" t="str">
        <f t="shared" si="66"/>
        <v/>
      </c>
      <c r="O289" s="9" t="str">
        <f t="shared" si="67"/>
        <v/>
      </c>
      <c r="P289" s="9" t="str">
        <f t="shared" si="68"/>
        <v/>
      </c>
      <c r="Q289" s="9" t="str">
        <f t="shared" si="69"/>
        <v/>
      </c>
      <c r="R289" s="9" t="str">
        <f t="shared" ca="1" si="70"/>
        <v/>
      </c>
      <c r="T289" s="6" t="str">
        <f t="shared" si="71"/>
        <v/>
      </c>
      <c r="U289" s="6" t="str">
        <f t="shared" si="72"/>
        <v/>
      </c>
      <c r="V289" s="10" t="str">
        <f t="shared" si="73"/>
        <v/>
      </c>
      <c r="W289" s="8" t="str">
        <f t="shared" si="74"/>
        <v/>
      </c>
      <c r="X289" s="9">
        <f t="shared" si="81"/>
        <v>0</v>
      </c>
      <c r="Y289" s="9">
        <f t="shared" si="82"/>
        <v>0</v>
      </c>
    </row>
    <row r="290" spans="2:25" x14ac:dyDescent="0.3">
      <c r="B290" s="6">
        <v>253</v>
      </c>
      <c r="C290" s="79" t="str">
        <f t="shared" si="83"/>
        <v/>
      </c>
      <c r="D290" s="6" t="str">
        <f t="shared" si="63"/>
        <v/>
      </c>
      <c r="E290" s="79" t="str">
        <f t="shared" si="75"/>
        <v/>
      </c>
      <c r="F290" s="79" t="str">
        <f>IF(B289&gt;$C$18,"",IF(COUNTIF(Feriados!$A$2:$B$17,EDATE($C$38,B289))=0,EDATE($C$38,B289),EDATE($C$38,B289)+VLOOKUP(EDATE($C$38,B289),Feriados!$A$2:$B$17,2,FALSE)))</f>
        <v/>
      </c>
      <c r="G290" s="6" t="str">
        <f t="shared" si="76"/>
        <v/>
      </c>
      <c r="H290" s="6" t="str">
        <f t="shared" si="77"/>
        <v/>
      </c>
      <c r="I290" s="8" t="str">
        <f t="shared" si="78"/>
        <v/>
      </c>
      <c r="J290" s="8" t="str">
        <f t="shared" si="79"/>
        <v/>
      </c>
      <c r="K290" s="9" t="str">
        <f t="shared" si="64"/>
        <v/>
      </c>
      <c r="L290" s="9" t="str">
        <f t="shared" si="80"/>
        <v/>
      </c>
      <c r="M290" s="10" t="str">
        <f t="shared" si="65"/>
        <v/>
      </c>
      <c r="N290" s="6" t="str">
        <f t="shared" si="66"/>
        <v/>
      </c>
      <c r="O290" s="9" t="str">
        <f t="shared" si="67"/>
        <v/>
      </c>
      <c r="P290" s="9" t="str">
        <f t="shared" si="68"/>
        <v/>
      </c>
      <c r="Q290" s="9" t="str">
        <f t="shared" si="69"/>
        <v/>
      </c>
      <c r="R290" s="9" t="str">
        <f t="shared" ca="1" si="70"/>
        <v/>
      </c>
      <c r="T290" s="6" t="str">
        <f t="shared" si="71"/>
        <v/>
      </c>
      <c r="U290" s="6" t="str">
        <f t="shared" si="72"/>
        <v/>
      </c>
      <c r="V290" s="10" t="str">
        <f t="shared" si="73"/>
        <v/>
      </c>
      <c r="W290" s="8" t="str">
        <f t="shared" si="74"/>
        <v/>
      </c>
      <c r="X290" s="9">
        <f t="shared" si="81"/>
        <v>0</v>
      </c>
      <c r="Y290" s="9">
        <f t="shared" si="82"/>
        <v>0</v>
      </c>
    </row>
    <row r="291" spans="2:25" x14ac:dyDescent="0.3">
      <c r="B291" s="6">
        <v>254</v>
      </c>
      <c r="C291" s="79" t="str">
        <f t="shared" si="83"/>
        <v/>
      </c>
      <c r="D291" s="6" t="str">
        <f t="shared" si="63"/>
        <v/>
      </c>
      <c r="E291" s="79" t="str">
        <f t="shared" si="75"/>
        <v/>
      </c>
      <c r="F291" s="79" t="str">
        <f>IF(B290&gt;$C$18,"",IF(COUNTIF(Feriados!$A$2:$B$17,EDATE($C$38,B290))=0,EDATE($C$38,B290),EDATE($C$38,B290)+VLOOKUP(EDATE($C$38,B290),Feriados!$A$2:$B$17,2,FALSE)))</f>
        <v/>
      </c>
      <c r="G291" s="6" t="str">
        <f t="shared" si="76"/>
        <v/>
      </c>
      <c r="H291" s="6" t="str">
        <f t="shared" si="77"/>
        <v/>
      </c>
      <c r="I291" s="8" t="str">
        <f t="shared" si="78"/>
        <v/>
      </c>
      <c r="J291" s="8" t="str">
        <f t="shared" si="79"/>
        <v/>
      </c>
      <c r="K291" s="9" t="str">
        <f t="shared" si="64"/>
        <v/>
      </c>
      <c r="L291" s="9" t="str">
        <f t="shared" si="80"/>
        <v/>
      </c>
      <c r="M291" s="10" t="str">
        <f t="shared" si="65"/>
        <v/>
      </c>
      <c r="N291" s="6" t="str">
        <f t="shared" si="66"/>
        <v/>
      </c>
      <c r="O291" s="9" t="str">
        <f t="shared" si="67"/>
        <v/>
      </c>
      <c r="P291" s="9" t="str">
        <f t="shared" si="68"/>
        <v/>
      </c>
      <c r="Q291" s="9" t="str">
        <f t="shared" si="69"/>
        <v/>
      </c>
      <c r="R291" s="9" t="str">
        <f t="shared" ca="1" si="70"/>
        <v/>
      </c>
      <c r="T291" s="6" t="str">
        <f t="shared" si="71"/>
        <v/>
      </c>
      <c r="U291" s="6" t="str">
        <f t="shared" si="72"/>
        <v/>
      </c>
      <c r="V291" s="10" t="str">
        <f t="shared" si="73"/>
        <v/>
      </c>
      <c r="W291" s="8" t="str">
        <f t="shared" si="74"/>
        <v/>
      </c>
      <c r="X291" s="9">
        <f t="shared" si="81"/>
        <v>0</v>
      </c>
      <c r="Y291" s="9">
        <f t="shared" si="82"/>
        <v>0</v>
      </c>
    </row>
    <row r="292" spans="2:25" x14ac:dyDescent="0.3">
      <c r="B292" s="6">
        <v>255</v>
      </c>
      <c r="C292" s="79" t="str">
        <f t="shared" si="83"/>
        <v/>
      </c>
      <c r="D292" s="6" t="str">
        <f t="shared" si="63"/>
        <v/>
      </c>
      <c r="E292" s="79" t="str">
        <f t="shared" si="75"/>
        <v/>
      </c>
      <c r="F292" s="79" t="str">
        <f>IF(B291&gt;$C$18,"",IF(COUNTIF(Feriados!$A$2:$B$17,EDATE($C$38,B291))=0,EDATE($C$38,B291),EDATE($C$38,B291)+VLOOKUP(EDATE($C$38,B291),Feriados!$A$2:$B$17,2,FALSE)))</f>
        <v/>
      </c>
      <c r="G292" s="6" t="str">
        <f t="shared" si="76"/>
        <v/>
      </c>
      <c r="H292" s="6" t="str">
        <f t="shared" si="77"/>
        <v/>
      </c>
      <c r="I292" s="8" t="str">
        <f t="shared" si="78"/>
        <v/>
      </c>
      <c r="J292" s="8" t="str">
        <f t="shared" si="79"/>
        <v/>
      </c>
      <c r="K292" s="9" t="str">
        <f t="shared" si="64"/>
        <v/>
      </c>
      <c r="L292" s="9" t="str">
        <f t="shared" si="80"/>
        <v/>
      </c>
      <c r="M292" s="10" t="str">
        <f t="shared" si="65"/>
        <v/>
      </c>
      <c r="N292" s="6" t="str">
        <f t="shared" si="66"/>
        <v/>
      </c>
      <c r="O292" s="9" t="str">
        <f t="shared" si="67"/>
        <v/>
      </c>
      <c r="P292" s="9" t="str">
        <f t="shared" si="68"/>
        <v/>
      </c>
      <c r="Q292" s="9" t="str">
        <f t="shared" si="69"/>
        <v/>
      </c>
      <c r="R292" s="9" t="str">
        <f t="shared" ca="1" si="70"/>
        <v/>
      </c>
      <c r="T292" s="6" t="str">
        <f t="shared" si="71"/>
        <v/>
      </c>
      <c r="U292" s="6" t="str">
        <f t="shared" si="72"/>
        <v/>
      </c>
      <c r="V292" s="10" t="str">
        <f t="shared" si="73"/>
        <v/>
      </c>
      <c r="W292" s="8" t="str">
        <f t="shared" si="74"/>
        <v/>
      </c>
      <c r="X292" s="9">
        <f t="shared" si="81"/>
        <v>0</v>
      </c>
      <c r="Y292" s="9">
        <f t="shared" si="82"/>
        <v>0</v>
      </c>
    </row>
    <row r="293" spans="2:25" x14ac:dyDescent="0.3">
      <c r="B293" s="6">
        <v>256</v>
      </c>
      <c r="C293" s="79" t="str">
        <f t="shared" si="83"/>
        <v/>
      </c>
      <c r="D293" s="6" t="str">
        <f t="shared" si="63"/>
        <v/>
      </c>
      <c r="E293" s="79" t="str">
        <f t="shared" si="75"/>
        <v/>
      </c>
      <c r="F293" s="79" t="str">
        <f>IF(B292&gt;$C$18,"",IF(COUNTIF(Feriados!$A$2:$B$17,EDATE($C$38,B292))=0,EDATE($C$38,B292),EDATE($C$38,B292)+VLOOKUP(EDATE($C$38,B292),Feriados!$A$2:$B$17,2,FALSE)))</f>
        <v/>
      </c>
      <c r="G293" s="6" t="str">
        <f t="shared" si="76"/>
        <v/>
      </c>
      <c r="H293" s="6" t="str">
        <f t="shared" si="77"/>
        <v/>
      </c>
      <c r="I293" s="8" t="str">
        <f t="shared" si="78"/>
        <v/>
      </c>
      <c r="J293" s="8" t="str">
        <f t="shared" si="79"/>
        <v/>
      </c>
      <c r="K293" s="9" t="str">
        <f t="shared" si="64"/>
        <v/>
      </c>
      <c r="L293" s="9" t="str">
        <f t="shared" si="80"/>
        <v/>
      </c>
      <c r="M293" s="10" t="str">
        <f t="shared" si="65"/>
        <v/>
      </c>
      <c r="N293" s="6" t="str">
        <f t="shared" si="66"/>
        <v/>
      </c>
      <c r="O293" s="9" t="str">
        <f t="shared" si="67"/>
        <v/>
      </c>
      <c r="P293" s="9" t="str">
        <f t="shared" si="68"/>
        <v/>
      </c>
      <c r="Q293" s="9" t="str">
        <f t="shared" si="69"/>
        <v/>
      </c>
      <c r="R293" s="9" t="str">
        <f t="shared" ca="1" si="70"/>
        <v/>
      </c>
      <c r="T293" s="6" t="str">
        <f t="shared" si="71"/>
        <v/>
      </c>
      <c r="U293" s="6" t="str">
        <f t="shared" si="72"/>
        <v/>
      </c>
      <c r="V293" s="10" t="str">
        <f t="shared" si="73"/>
        <v/>
      </c>
      <c r="W293" s="8" t="str">
        <f t="shared" si="74"/>
        <v/>
      </c>
      <c r="X293" s="9">
        <f t="shared" si="81"/>
        <v>0</v>
      </c>
      <c r="Y293" s="9">
        <f t="shared" si="82"/>
        <v>0</v>
      </c>
    </row>
    <row r="294" spans="2:25" x14ac:dyDescent="0.3">
      <c r="B294" s="6">
        <v>257</v>
      </c>
      <c r="C294" s="79" t="str">
        <f t="shared" si="83"/>
        <v/>
      </c>
      <c r="D294" s="6" t="str">
        <f t="shared" ref="D294:D357" si="84">IF(B294&lt;=$C$18,WEEKDAY(C294,2),"")</f>
        <v/>
      </c>
      <c r="E294" s="79" t="str">
        <f t="shared" si="75"/>
        <v/>
      </c>
      <c r="F294" s="79" t="str">
        <f>IF(B293&gt;$C$18,"",IF(COUNTIF(Feriados!$A$2:$B$17,EDATE($C$38,B293))=0,EDATE($C$38,B293),EDATE($C$38,B293)+VLOOKUP(EDATE($C$38,B293),Feriados!$A$2:$B$17,2,FALSE)))</f>
        <v/>
      </c>
      <c r="G294" s="6" t="str">
        <f t="shared" si="76"/>
        <v/>
      </c>
      <c r="H294" s="6" t="str">
        <f t="shared" si="77"/>
        <v/>
      </c>
      <c r="I294" s="8" t="str">
        <f t="shared" si="78"/>
        <v/>
      </c>
      <c r="J294" s="8" t="str">
        <f t="shared" si="79"/>
        <v/>
      </c>
      <c r="K294" s="9" t="str">
        <f t="shared" ref="K294:K357" si="85">IF(B294&gt;C$18,"",((1+C$25)^(G294/360)-1)*I294)</f>
        <v/>
      </c>
      <c r="L294" s="9" t="str">
        <f t="shared" si="80"/>
        <v/>
      </c>
      <c r="M294" s="10" t="str">
        <f t="shared" ref="M294:M357" si="86">IF(B294&gt;C$18,"",C$27*C$28)</f>
        <v/>
      </c>
      <c r="N294" s="6" t="str">
        <f t="shared" ref="N294:N357" si="87">IF(B294&gt;C$18,"",C$29)</f>
        <v/>
      </c>
      <c r="O294" s="9" t="str">
        <f t="shared" ref="O294:O357" si="88">IF(B294&gt;C$18,"",IF(B294=C$18,I294+K294+L294+M294+N294,IF(AND(C$23=2,MONTH(E294)=7),2*C$30,IF(AND(C$24=2,MONTH(E294)=12),2*C$30,C$30))))</f>
        <v/>
      </c>
      <c r="P294" s="9" t="str">
        <f t="shared" ref="P294:P357" si="89">IF(B294&gt;C$18,"",I294-J294)</f>
        <v/>
      </c>
      <c r="Q294" s="9" t="str">
        <f t="shared" ref="Q294:Q357" si="90">IFERROR(IF(AND(MONTH(E294)=7,C$23=2),2/(1+C$26)^(H294/360),IF(AND(MONTH(E294)=12,C$24=2),2/(1+C$26)^(H294/360),1/(1+C$26)^(H294/360))),"")</f>
        <v/>
      </c>
      <c r="R294" s="9" t="str">
        <f t="shared" ref="R294:R357" ca="1" si="91">IFERROR(1/(1+C$26)^(H294/360),"")</f>
        <v/>
      </c>
      <c r="T294" s="6" t="str">
        <f t="shared" ref="T294:T357" si="92">IFERROR(J294+K294+L294+M294+N294,"")</f>
        <v/>
      </c>
      <c r="U294" s="6" t="str">
        <f t="shared" ref="U294:U357" si="93">H294</f>
        <v/>
      </c>
      <c r="V294" s="10" t="str">
        <f t="shared" ref="V294:V357" si="94">IFERROR((1+C$32)^(U294/360),"")</f>
        <v/>
      </c>
      <c r="W294" s="8" t="str">
        <f t="shared" ref="W294:W357" si="95">IFERROR(ROUND(T294/V294,2),"")</f>
        <v/>
      </c>
      <c r="X294" s="9">
        <f t="shared" si="81"/>
        <v>0</v>
      </c>
      <c r="Y294" s="9">
        <f t="shared" si="82"/>
        <v>0</v>
      </c>
    </row>
    <row r="295" spans="2:25" x14ac:dyDescent="0.3">
      <c r="B295" s="6">
        <v>258</v>
      </c>
      <c r="C295" s="79" t="str">
        <f t="shared" si="83"/>
        <v/>
      </c>
      <c r="D295" s="6" t="str">
        <f t="shared" si="84"/>
        <v/>
      </c>
      <c r="E295" s="79" t="str">
        <f t="shared" ref="E295:E358" si="96">IF(D295=7,C295+1,C295)</f>
        <v/>
      </c>
      <c r="F295" s="79" t="str">
        <f>IF(B294&gt;$C$18,"",IF(COUNTIF(Feriados!$A$2:$B$17,EDATE($C$38,B294))=0,EDATE($C$38,B294),EDATE($C$38,B294)+VLOOKUP(EDATE($C$38,B294),Feriados!$A$2:$B$17,2,FALSE)))</f>
        <v/>
      </c>
      <c r="G295" s="6" t="str">
        <f t="shared" ref="G295:G358" si="97">IF(B295&gt;C$18,"",E295-E294)</f>
        <v/>
      </c>
      <c r="H295" s="6" t="str">
        <f t="shared" ref="H295:H358" si="98">IFERROR(G295+H294,"")</f>
        <v/>
      </c>
      <c r="I295" s="8" t="str">
        <f t="shared" ref="I295:I358" si="99">IF(B295&gt;C$18,"",P294)</f>
        <v/>
      </c>
      <c r="J295" s="8" t="str">
        <f t="shared" ref="J295:J358" si="100">IF(B295&gt;C$18,"",O295-N295-M295-L295-K295)</f>
        <v/>
      </c>
      <c r="K295" s="9" t="str">
        <f t="shared" si="85"/>
        <v/>
      </c>
      <c r="L295" s="9" t="str">
        <f t="shared" ref="L295:L358" si="101">IF(B295&gt;C$18,"",((1+C$13)^(G295/30)-1)*I295)</f>
        <v/>
      </c>
      <c r="M295" s="10" t="str">
        <f t="shared" si="86"/>
        <v/>
      </c>
      <c r="N295" s="6" t="str">
        <f t="shared" si="87"/>
        <v/>
      </c>
      <c r="O295" s="9" t="str">
        <f t="shared" si="88"/>
        <v/>
      </c>
      <c r="P295" s="9" t="str">
        <f t="shared" si="89"/>
        <v/>
      </c>
      <c r="Q295" s="9" t="str">
        <f t="shared" si="90"/>
        <v/>
      </c>
      <c r="R295" s="9" t="str">
        <f t="shared" ca="1" si="91"/>
        <v/>
      </c>
      <c r="T295" s="6" t="str">
        <f t="shared" si="92"/>
        <v/>
      </c>
      <c r="U295" s="6" t="str">
        <f t="shared" si="93"/>
        <v/>
      </c>
      <c r="V295" s="10" t="str">
        <f t="shared" si="94"/>
        <v/>
      </c>
      <c r="W295" s="8" t="str">
        <f t="shared" si="95"/>
        <v/>
      </c>
      <c r="X295" s="9">
        <f t="shared" ref="X295:X358" si="102">IF(O295="",0,L295/((1+$I$9)^B295))</f>
        <v>0</v>
      </c>
      <c r="Y295" s="9">
        <f t="shared" ref="Y295:Y358" si="103">IF(O295="",0,L295/((1+$Q$30)^B295))</f>
        <v>0</v>
      </c>
    </row>
    <row r="296" spans="2:25" x14ac:dyDescent="0.3">
      <c r="B296" s="6">
        <v>259</v>
      </c>
      <c r="C296" s="79" t="str">
        <f t="shared" ref="C296:C359" si="104">IF(B296&gt;$C$18,"",IF(WEEKDAY(F296,2)=7,F296+1,F296))</f>
        <v/>
      </c>
      <c r="D296" s="6" t="str">
        <f t="shared" si="84"/>
        <v/>
      </c>
      <c r="E296" s="79" t="str">
        <f t="shared" si="96"/>
        <v/>
      </c>
      <c r="F296" s="79" t="str">
        <f>IF(B295&gt;$C$18,"",IF(COUNTIF(Feriados!$A$2:$B$17,EDATE($C$38,B295))=0,EDATE($C$38,B295),EDATE($C$38,B295)+VLOOKUP(EDATE($C$38,B295),Feriados!$A$2:$B$17,2,FALSE)))</f>
        <v/>
      </c>
      <c r="G296" s="6" t="str">
        <f t="shared" si="97"/>
        <v/>
      </c>
      <c r="H296" s="6" t="str">
        <f t="shared" si="98"/>
        <v/>
      </c>
      <c r="I296" s="8" t="str">
        <f t="shared" si="99"/>
        <v/>
      </c>
      <c r="J296" s="8" t="str">
        <f t="shared" si="100"/>
        <v/>
      </c>
      <c r="K296" s="9" t="str">
        <f t="shared" si="85"/>
        <v/>
      </c>
      <c r="L296" s="9" t="str">
        <f t="shared" si="101"/>
        <v/>
      </c>
      <c r="M296" s="10" t="str">
        <f t="shared" si="86"/>
        <v/>
      </c>
      <c r="N296" s="6" t="str">
        <f t="shared" si="87"/>
        <v/>
      </c>
      <c r="O296" s="9" t="str">
        <f t="shared" si="88"/>
        <v/>
      </c>
      <c r="P296" s="9" t="str">
        <f t="shared" si="89"/>
        <v/>
      </c>
      <c r="Q296" s="9" t="str">
        <f t="shared" si="90"/>
        <v/>
      </c>
      <c r="R296" s="9" t="str">
        <f t="shared" ca="1" si="91"/>
        <v/>
      </c>
      <c r="T296" s="6" t="str">
        <f t="shared" si="92"/>
        <v/>
      </c>
      <c r="U296" s="6" t="str">
        <f t="shared" si="93"/>
        <v/>
      </c>
      <c r="V296" s="10" t="str">
        <f t="shared" si="94"/>
        <v/>
      </c>
      <c r="W296" s="8" t="str">
        <f t="shared" si="95"/>
        <v/>
      </c>
      <c r="X296" s="9">
        <f t="shared" si="102"/>
        <v>0</v>
      </c>
      <c r="Y296" s="9">
        <f t="shared" si="103"/>
        <v>0</v>
      </c>
    </row>
    <row r="297" spans="2:25" x14ac:dyDescent="0.3">
      <c r="B297" s="6">
        <v>260</v>
      </c>
      <c r="C297" s="79" t="str">
        <f t="shared" si="104"/>
        <v/>
      </c>
      <c r="D297" s="6" t="str">
        <f t="shared" si="84"/>
        <v/>
      </c>
      <c r="E297" s="79" t="str">
        <f t="shared" si="96"/>
        <v/>
      </c>
      <c r="F297" s="79" t="str">
        <f>IF(B296&gt;$C$18,"",IF(COUNTIF(Feriados!$A$2:$B$17,EDATE($C$38,B296))=0,EDATE($C$38,B296),EDATE($C$38,B296)+VLOOKUP(EDATE($C$38,B296),Feriados!$A$2:$B$17,2,FALSE)))</f>
        <v/>
      </c>
      <c r="G297" s="6" t="str">
        <f t="shared" si="97"/>
        <v/>
      </c>
      <c r="H297" s="6" t="str">
        <f t="shared" si="98"/>
        <v/>
      </c>
      <c r="I297" s="8" t="str">
        <f t="shared" si="99"/>
        <v/>
      </c>
      <c r="J297" s="8" t="str">
        <f t="shared" si="100"/>
        <v/>
      </c>
      <c r="K297" s="9" t="str">
        <f t="shared" si="85"/>
        <v/>
      </c>
      <c r="L297" s="9" t="str">
        <f t="shared" si="101"/>
        <v/>
      </c>
      <c r="M297" s="10" t="str">
        <f t="shared" si="86"/>
        <v/>
      </c>
      <c r="N297" s="6" t="str">
        <f t="shared" si="87"/>
        <v/>
      </c>
      <c r="O297" s="9" t="str">
        <f t="shared" si="88"/>
        <v/>
      </c>
      <c r="P297" s="9" t="str">
        <f t="shared" si="89"/>
        <v/>
      </c>
      <c r="Q297" s="9" t="str">
        <f t="shared" si="90"/>
        <v/>
      </c>
      <c r="R297" s="9" t="str">
        <f t="shared" ca="1" si="91"/>
        <v/>
      </c>
      <c r="T297" s="6" t="str">
        <f t="shared" si="92"/>
        <v/>
      </c>
      <c r="U297" s="6" t="str">
        <f t="shared" si="93"/>
        <v/>
      </c>
      <c r="V297" s="10" t="str">
        <f t="shared" si="94"/>
        <v/>
      </c>
      <c r="W297" s="8" t="str">
        <f t="shared" si="95"/>
        <v/>
      </c>
      <c r="X297" s="9">
        <f t="shared" si="102"/>
        <v>0</v>
      </c>
      <c r="Y297" s="9">
        <f t="shared" si="103"/>
        <v>0</v>
      </c>
    </row>
    <row r="298" spans="2:25" x14ac:dyDescent="0.3">
      <c r="B298" s="6">
        <v>261</v>
      </c>
      <c r="C298" s="79" t="str">
        <f t="shared" si="104"/>
        <v/>
      </c>
      <c r="D298" s="6" t="str">
        <f t="shared" si="84"/>
        <v/>
      </c>
      <c r="E298" s="79" t="str">
        <f t="shared" si="96"/>
        <v/>
      </c>
      <c r="F298" s="79" t="str">
        <f>IF(B297&gt;$C$18,"",IF(COUNTIF(Feriados!$A$2:$B$17,EDATE($C$38,B297))=0,EDATE($C$38,B297),EDATE($C$38,B297)+VLOOKUP(EDATE($C$38,B297),Feriados!$A$2:$B$17,2,FALSE)))</f>
        <v/>
      </c>
      <c r="G298" s="6" t="str">
        <f t="shared" si="97"/>
        <v/>
      </c>
      <c r="H298" s="6" t="str">
        <f t="shared" si="98"/>
        <v/>
      </c>
      <c r="I298" s="8" t="str">
        <f t="shared" si="99"/>
        <v/>
      </c>
      <c r="J298" s="8" t="str">
        <f t="shared" si="100"/>
        <v/>
      </c>
      <c r="K298" s="9" t="str">
        <f t="shared" si="85"/>
        <v/>
      </c>
      <c r="L298" s="9" t="str">
        <f t="shared" si="101"/>
        <v/>
      </c>
      <c r="M298" s="10" t="str">
        <f t="shared" si="86"/>
        <v/>
      </c>
      <c r="N298" s="6" t="str">
        <f t="shared" si="87"/>
        <v/>
      </c>
      <c r="O298" s="9" t="str">
        <f t="shared" si="88"/>
        <v/>
      </c>
      <c r="P298" s="9" t="str">
        <f t="shared" si="89"/>
        <v/>
      </c>
      <c r="Q298" s="9" t="str">
        <f t="shared" si="90"/>
        <v/>
      </c>
      <c r="R298" s="9" t="str">
        <f t="shared" ca="1" si="91"/>
        <v/>
      </c>
      <c r="T298" s="6" t="str">
        <f t="shared" si="92"/>
        <v/>
      </c>
      <c r="U298" s="6" t="str">
        <f t="shared" si="93"/>
        <v/>
      </c>
      <c r="V298" s="10" t="str">
        <f t="shared" si="94"/>
        <v/>
      </c>
      <c r="W298" s="8" t="str">
        <f t="shared" si="95"/>
        <v/>
      </c>
      <c r="X298" s="9">
        <f t="shared" si="102"/>
        <v>0</v>
      </c>
      <c r="Y298" s="9">
        <f t="shared" si="103"/>
        <v>0</v>
      </c>
    </row>
    <row r="299" spans="2:25" x14ac:dyDescent="0.3">
      <c r="B299" s="6">
        <v>262</v>
      </c>
      <c r="C299" s="79" t="str">
        <f t="shared" si="104"/>
        <v/>
      </c>
      <c r="D299" s="6" t="str">
        <f t="shared" si="84"/>
        <v/>
      </c>
      <c r="E299" s="79" t="str">
        <f t="shared" si="96"/>
        <v/>
      </c>
      <c r="F299" s="79" t="str">
        <f>IF(B298&gt;$C$18,"",IF(COUNTIF(Feriados!$A$2:$B$17,EDATE($C$38,B298))=0,EDATE($C$38,B298),EDATE($C$38,B298)+VLOOKUP(EDATE($C$38,B298),Feriados!$A$2:$B$17,2,FALSE)))</f>
        <v/>
      </c>
      <c r="G299" s="6" t="str">
        <f t="shared" si="97"/>
        <v/>
      </c>
      <c r="H299" s="6" t="str">
        <f t="shared" si="98"/>
        <v/>
      </c>
      <c r="I299" s="8" t="str">
        <f t="shared" si="99"/>
        <v/>
      </c>
      <c r="J299" s="8" t="str">
        <f t="shared" si="100"/>
        <v/>
      </c>
      <c r="K299" s="9" t="str">
        <f t="shared" si="85"/>
        <v/>
      </c>
      <c r="L299" s="9" t="str">
        <f t="shared" si="101"/>
        <v/>
      </c>
      <c r="M299" s="10" t="str">
        <f t="shared" si="86"/>
        <v/>
      </c>
      <c r="N299" s="6" t="str">
        <f t="shared" si="87"/>
        <v/>
      </c>
      <c r="O299" s="9" t="str">
        <f t="shared" si="88"/>
        <v/>
      </c>
      <c r="P299" s="9" t="str">
        <f t="shared" si="89"/>
        <v/>
      </c>
      <c r="Q299" s="9" t="str">
        <f t="shared" si="90"/>
        <v/>
      </c>
      <c r="R299" s="9" t="str">
        <f t="shared" ca="1" si="91"/>
        <v/>
      </c>
      <c r="T299" s="6" t="str">
        <f t="shared" si="92"/>
        <v/>
      </c>
      <c r="U299" s="6" t="str">
        <f t="shared" si="93"/>
        <v/>
      </c>
      <c r="V299" s="10" t="str">
        <f t="shared" si="94"/>
        <v/>
      </c>
      <c r="W299" s="8" t="str">
        <f t="shared" si="95"/>
        <v/>
      </c>
      <c r="X299" s="9">
        <f t="shared" si="102"/>
        <v>0</v>
      </c>
      <c r="Y299" s="9">
        <f t="shared" si="103"/>
        <v>0</v>
      </c>
    </row>
    <row r="300" spans="2:25" x14ac:dyDescent="0.3">
      <c r="B300" s="6">
        <v>263</v>
      </c>
      <c r="C300" s="79" t="str">
        <f t="shared" si="104"/>
        <v/>
      </c>
      <c r="D300" s="6" t="str">
        <f t="shared" si="84"/>
        <v/>
      </c>
      <c r="E300" s="79" t="str">
        <f t="shared" si="96"/>
        <v/>
      </c>
      <c r="F300" s="79" t="str">
        <f>IF(B299&gt;$C$18,"",IF(COUNTIF(Feriados!$A$2:$B$17,EDATE($C$38,B299))=0,EDATE($C$38,B299),EDATE($C$38,B299)+VLOOKUP(EDATE($C$38,B299),Feriados!$A$2:$B$17,2,FALSE)))</f>
        <v/>
      </c>
      <c r="G300" s="6" t="str">
        <f t="shared" si="97"/>
        <v/>
      </c>
      <c r="H300" s="6" t="str">
        <f t="shared" si="98"/>
        <v/>
      </c>
      <c r="I300" s="8" t="str">
        <f t="shared" si="99"/>
        <v/>
      </c>
      <c r="J300" s="8" t="str">
        <f t="shared" si="100"/>
        <v/>
      </c>
      <c r="K300" s="9" t="str">
        <f t="shared" si="85"/>
        <v/>
      </c>
      <c r="L300" s="9" t="str">
        <f t="shared" si="101"/>
        <v/>
      </c>
      <c r="M300" s="10" t="str">
        <f t="shared" si="86"/>
        <v/>
      </c>
      <c r="N300" s="6" t="str">
        <f t="shared" si="87"/>
        <v/>
      </c>
      <c r="O300" s="9" t="str">
        <f t="shared" si="88"/>
        <v/>
      </c>
      <c r="P300" s="9" t="str">
        <f t="shared" si="89"/>
        <v/>
      </c>
      <c r="Q300" s="9" t="str">
        <f t="shared" si="90"/>
        <v/>
      </c>
      <c r="R300" s="9" t="str">
        <f t="shared" ca="1" si="91"/>
        <v/>
      </c>
      <c r="T300" s="6" t="str">
        <f t="shared" si="92"/>
        <v/>
      </c>
      <c r="U300" s="6" t="str">
        <f t="shared" si="93"/>
        <v/>
      </c>
      <c r="V300" s="10" t="str">
        <f t="shared" si="94"/>
        <v/>
      </c>
      <c r="W300" s="8" t="str">
        <f t="shared" si="95"/>
        <v/>
      </c>
      <c r="X300" s="9">
        <f t="shared" si="102"/>
        <v>0</v>
      </c>
      <c r="Y300" s="9">
        <f t="shared" si="103"/>
        <v>0</v>
      </c>
    </row>
    <row r="301" spans="2:25" x14ac:dyDescent="0.3">
      <c r="B301" s="6">
        <v>264</v>
      </c>
      <c r="C301" s="79" t="str">
        <f t="shared" si="104"/>
        <v/>
      </c>
      <c r="D301" s="6" t="str">
        <f t="shared" si="84"/>
        <v/>
      </c>
      <c r="E301" s="79" t="str">
        <f t="shared" si="96"/>
        <v/>
      </c>
      <c r="F301" s="79" t="str">
        <f>IF(B300&gt;$C$18,"",IF(COUNTIF(Feriados!$A$2:$B$17,EDATE($C$38,B300))=0,EDATE($C$38,B300),EDATE($C$38,B300)+VLOOKUP(EDATE($C$38,B300),Feriados!$A$2:$B$17,2,FALSE)))</f>
        <v/>
      </c>
      <c r="G301" s="6" t="str">
        <f t="shared" si="97"/>
        <v/>
      </c>
      <c r="H301" s="6" t="str">
        <f t="shared" si="98"/>
        <v/>
      </c>
      <c r="I301" s="8" t="str">
        <f t="shared" si="99"/>
        <v/>
      </c>
      <c r="J301" s="8" t="str">
        <f t="shared" si="100"/>
        <v/>
      </c>
      <c r="K301" s="9" t="str">
        <f t="shared" si="85"/>
        <v/>
      </c>
      <c r="L301" s="9" t="str">
        <f t="shared" si="101"/>
        <v/>
      </c>
      <c r="M301" s="10" t="str">
        <f t="shared" si="86"/>
        <v/>
      </c>
      <c r="N301" s="6" t="str">
        <f t="shared" si="87"/>
        <v/>
      </c>
      <c r="O301" s="9" t="str">
        <f t="shared" si="88"/>
        <v/>
      </c>
      <c r="P301" s="9" t="str">
        <f t="shared" si="89"/>
        <v/>
      </c>
      <c r="Q301" s="9" t="str">
        <f t="shared" si="90"/>
        <v/>
      </c>
      <c r="R301" s="9" t="str">
        <f t="shared" ca="1" si="91"/>
        <v/>
      </c>
      <c r="T301" s="6" t="str">
        <f t="shared" si="92"/>
        <v/>
      </c>
      <c r="U301" s="6" t="str">
        <f t="shared" si="93"/>
        <v/>
      </c>
      <c r="V301" s="10" t="str">
        <f t="shared" si="94"/>
        <v/>
      </c>
      <c r="W301" s="8" t="str">
        <f t="shared" si="95"/>
        <v/>
      </c>
      <c r="X301" s="9">
        <f t="shared" si="102"/>
        <v>0</v>
      </c>
      <c r="Y301" s="9">
        <f t="shared" si="103"/>
        <v>0</v>
      </c>
    </row>
    <row r="302" spans="2:25" x14ac:dyDescent="0.3">
      <c r="B302" s="6">
        <v>265</v>
      </c>
      <c r="C302" s="79" t="str">
        <f t="shared" si="104"/>
        <v/>
      </c>
      <c r="D302" s="6" t="str">
        <f t="shared" si="84"/>
        <v/>
      </c>
      <c r="E302" s="79" t="str">
        <f t="shared" si="96"/>
        <v/>
      </c>
      <c r="F302" s="79" t="str">
        <f>IF(B301&gt;$C$18,"",IF(COUNTIF(Feriados!$A$2:$B$17,EDATE($C$38,B301))=0,EDATE($C$38,B301),EDATE($C$38,B301)+VLOOKUP(EDATE($C$38,B301),Feriados!$A$2:$B$17,2,FALSE)))</f>
        <v/>
      </c>
      <c r="G302" s="6" t="str">
        <f t="shared" si="97"/>
        <v/>
      </c>
      <c r="H302" s="6" t="str">
        <f t="shared" si="98"/>
        <v/>
      </c>
      <c r="I302" s="8" t="str">
        <f t="shared" si="99"/>
        <v/>
      </c>
      <c r="J302" s="8" t="str">
        <f t="shared" si="100"/>
        <v/>
      </c>
      <c r="K302" s="9" t="str">
        <f t="shared" si="85"/>
        <v/>
      </c>
      <c r="L302" s="9" t="str">
        <f t="shared" si="101"/>
        <v/>
      </c>
      <c r="M302" s="10" t="str">
        <f t="shared" si="86"/>
        <v/>
      </c>
      <c r="N302" s="6" t="str">
        <f t="shared" si="87"/>
        <v/>
      </c>
      <c r="O302" s="9" t="str">
        <f t="shared" si="88"/>
        <v/>
      </c>
      <c r="P302" s="9" t="str">
        <f t="shared" si="89"/>
        <v/>
      </c>
      <c r="Q302" s="9" t="str">
        <f t="shared" si="90"/>
        <v/>
      </c>
      <c r="R302" s="9" t="str">
        <f t="shared" ca="1" si="91"/>
        <v/>
      </c>
      <c r="T302" s="6" t="str">
        <f t="shared" si="92"/>
        <v/>
      </c>
      <c r="U302" s="6" t="str">
        <f t="shared" si="93"/>
        <v/>
      </c>
      <c r="V302" s="10" t="str">
        <f t="shared" si="94"/>
        <v/>
      </c>
      <c r="W302" s="8" t="str">
        <f t="shared" si="95"/>
        <v/>
      </c>
      <c r="X302" s="9">
        <f t="shared" si="102"/>
        <v>0</v>
      </c>
      <c r="Y302" s="9">
        <f t="shared" si="103"/>
        <v>0</v>
      </c>
    </row>
    <row r="303" spans="2:25" x14ac:dyDescent="0.3">
      <c r="B303" s="6">
        <v>266</v>
      </c>
      <c r="C303" s="79" t="str">
        <f t="shared" si="104"/>
        <v/>
      </c>
      <c r="D303" s="6" t="str">
        <f t="shared" si="84"/>
        <v/>
      </c>
      <c r="E303" s="79" t="str">
        <f t="shared" si="96"/>
        <v/>
      </c>
      <c r="F303" s="79" t="str">
        <f>IF(B302&gt;$C$18,"",IF(COUNTIF(Feriados!$A$2:$B$17,EDATE($C$38,B302))=0,EDATE($C$38,B302),EDATE($C$38,B302)+VLOOKUP(EDATE($C$38,B302),Feriados!$A$2:$B$17,2,FALSE)))</f>
        <v/>
      </c>
      <c r="G303" s="6" t="str">
        <f t="shared" si="97"/>
        <v/>
      </c>
      <c r="H303" s="6" t="str">
        <f t="shared" si="98"/>
        <v/>
      </c>
      <c r="I303" s="8" t="str">
        <f t="shared" si="99"/>
        <v/>
      </c>
      <c r="J303" s="8" t="str">
        <f t="shared" si="100"/>
        <v/>
      </c>
      <c r="K303" s="9" t="str">
        <f t="shared" si="85"/>
        <v/>
      </c>
      <c r="L303" s="9" t="str">
        <f t="shared" si="101"/>
        <v/>
      </c>
      <c r="M303" s="10" t="str">
        <f t="shared" si="86"/>
        <v/>
      </c>
      <c r="N303" s="6" t="str">
        <f t="shared" si="87"/>
        <v/>
      </c>
      <c r="O303" s="9" t="str">
        <f t="shared" si="88"/>
        <v/>
      </c>
      <c r="P303" s="9" t="str">
        <f t="shared" si="89"/>
        <v/>
      </c>
      <c r="Q303" s="9" t="str">
        <f t="shared" si="90"/>
        <v/>
      </c>
      <c r="R303" s="9" t="str">
        <f t="shared" ca="1" si="91"/>
        <v/>
      </c>
      <c r="T303" s="6" t="str">
        <f t="shared" si="92"/>
        <v/>
      </c>
      <c r="U303" s="6" t="str">
        <f t="shared" si="93"/>
        <v/>
      </c>
      <c r="V303" s="10" t="str">
        <f t="shared" si="94"/>
        <v/>
      </c>
      <c r="W303" s="8" t="str">
        <f t="shared" si="95"/>
        <v/>
      </c>
      <c r="X303" s="9">
        <f t="shared" si="102"/>
        <v>0</v>
      </c>
      <c r="Y303" s="9">
        <f t="shared" si="103"/>
        <v>0</v>
      </c>
    </row>
    <row r="304" spans="2:25" x14ac:dyDescent="0.3">
      <c r="B304" s="6">
        <v>267</v>
      </c>
      <c r="C304" s="79" t="str">
        <f t="shared" si="104"/>
        <v/>
      </c>
      <c r="D304" s="6" t="str">
        <f t="shared" si="84"/>
        <v/>
      </c>
      <c r="E304" s="79" t="str">
        <f t="shared" si="96"/>
        <v/>
      </c>
      <c r="F304" s="79" t="str">
        <f>IF(B303&gt;$C$18,"",IF(COUNTIF(Feriados!$A$2:$B$17,EDATE($C$38,B303))=0,EDATE($C$38,B303),EDATE($C$38,B303)+VLOOKUP(EDATE($C$38,B303),Feriados!$A$2:$B$17,2,FALSE)))</f>
        <v/>
      </c>
      <c r="G304" s="6" t="str">
        <f t="shared" si="97"/>
        <v/>
      </c>
      <c r="H304" s="6" t="str">
        <f t="shared" si="98"/>
        <v/>
      </c>
      <c r="I304" s="8" t="str">
        <f t="shared" si="99"/>
        <v/>
      </c>
      <c r="J304" s="8" t="str">
        <f t="shared" si="100"/>
        <v/>
      </c>
      <c r="K304" s="9" t="str">
        <f t="shared" si="85"/>
        <v/>
      </c>
      <c r="L304" s="9" t="str">
        <f t="shared" si="101"/>
        <v/>
      </c>
      <c r="M304" s="10" t="str">
        <f t="shared" si="86"/>
        <v/>
      </c>
      <c r="N304" s="6" t="str">
        <f t="shared" si="87"/>
        <v/>
      </c>
      <c r="O304" s="9" t="str">
        <f t="shared" si="88"/>
        <v/>
      </c>
      <c r="P304" s="9" t="str">
        <f t="shared" si="89"/>
        <v/>
      </c>
      <c r="Q304" s="9" t="str">
        <f t="shared" si="90"/>
        <v/>
      </c>
      <c r="R304" s="9" t="str">
        <f t="shared" ca="1" si="91"/>
        <v/>
      </c>
      <c r="T304" s="6" t="str">
        <f t="shared" si="92"/>
        <v/>
      </c>
      <c r="U304" s="6" t="str">
        <f t="shared" si="93"/>
        <v/>
      </c>
      <c r="V304" s="10" t="str">
        <f t="shared" si="94"/>
        <v/>
      </c>
      <c r="W304" s="8" t="str">
        <f t="shared" si="95"/>
        <v/>
      </c>
      <c r="X304" s="9">
        <f t="shared" si="102"/>
        <v>0</v>
      </c>
      <c r="Y304" s="9">
        <f t="shared" si="103"/>
        <v>0</v>
      </c>
    </row>
    <row r="305" spans="2:25" x14ac:dyDescent="0.3">
      <c r="B305" s="6">
        <v>268</v>
      </c>
      <c r="C305" s="79" t="str">
        <f t="shared" si="104"/>
        <v/>
      </c>
      <c r="D305" s="6" t="str">
        <f t="shared" si="84"/>
        <v/>
      </c>
      <c r="E305" s="79" t="str">
        <f t="shared" si="96"/>
        <v/>
      </c>
      <c r="F305" s="79" t="str">
        <f>IF(B304&gt;$C$18,"",IF(COUNTIF(Feriados!$A$2:$B$17,EDATE($C$38,B304))=0,EDATE($C$38,B304),EDATE($C$38,B304)+VLOOKUP(EDATE($C$38,B304),Feriados!$A$2:$B$17,2,FALSE)))</f>
        <v/>
      </c>
      <c r="G305" s="6" t="str">
        <f t="shared" si="97"/>
        <v/>
      </c>
      <c r="H305" s="6" t="str">
        <f t="shared" si="98"/>
        <v/>
      </c>
      <c r="I305" s="8" t="str">
        <f t="shared" si="99"/>
        <v/>
      </c>
      <c r="J305" s="8" t="str">
        <f t="shared" si="100"/>
        <v/>
      </c>
      <c r="K305" s="9" t="str">
        <f t="shared" si="85"/>
        <v/>
      </c>
      <c r="L305" s="9" t="str">
        <f t="shared" si="101"/>
        <v/>
      </c>
      <c r="M305" s="10" t="str">
        <f t="shared" si="86"/>
        <v/>
      </c>
      <c r="N305" s="6" t="str">
        <f t="shared" si="87"/>
        <v/>
      </c>
      <c r="O305" s="9" t="str">
        <f t="shared" si="88"/>
        <v/>
      </c>
      <c r="P305" s="9" t="str">
        <f t="shared" si="89"/>
        <v/>
      </c>
      <c r="Q305" s="9" t="str">
        <f t="shared" si="90"/>
        <v/>
      </c>
      <c r="R305" s="9" t="str">
        <f t="shared" ca="1" si="91"/>
        <v/>
      </c>
      <c r="T305" s="6" t="str">
        <f t="shared" si="92"/>
        <v/>
      </c>
      <c r="U305" s="6" t="str">
        <f t="shared" si="93"/>
        <v/>
      </c>
      <c r="V305" s="10" t="str">
        <f t="shared" si="94"/>
        <v/>
      </c>
      <c r="W305" s="8" t="str">
        <f t="shared" si="95"/>
        <v/>
      </c>
      <c r="X305" s="9">
        <f t="shared" si="102"/>
        <v>0</v>
      </c>
      <c r="Y305" s="9">
        <f t="shared" si="103"/>
        <v>0</v>
      </c>
    </row>
    <row r="306" spans="2:25" x14ac:dyDescent="0.3">
      <c r="B306" s="6">
        <v>269</v>
      </c>
      <c r="C306" s="79" t="str">
        <f t="shared" si="104"/>
        <v/>
      </c>
      <c r="D306" s="6" t="str">
        <f t="shared" si="84"/>
        <v/>
      </c>
      <c r="E306" s="79" t="str">
        <f t="shared" si="96"/>
        <v/>
      </c>
      <c r="F306" s="79" t="str">
        <f>IF(B305&gt;$C$18,"",IF(COUNTIF(Feriados!$A$2:$B$17,EDATE($C$38,B305))=0,EDATE($C$38,B305),EDATE($C$38,B305)+VLOOKUP(EDATE($C$38,B305),Feriados!$A$2:$B$17,2,FALSE)))</f>
        <v/>
      </c>
      <c r="G306" s="6" t="str">
        <f t="shared" si="97"/>
        <v/>
      </c>
      <c r="H306" s="6" t="str">
        <f t="shared" si="98"/>
        <v/>
      </c>
      <c r="I306" s="8" t="str">
        <f t="shared" si="99"/>
        <v/>
      </c>
      <c r="J306" s="8" t="str">
        <f t="shared" si="100"/>
        <v/>
      </c>
      <c r="K306" s="9" t="str">
        <f t="shared" si="85"/>
        <v/>
      </c>
      <c r="L306" s="9" t="str">
        <f t="shared" si="101"/>
        <v/>
      </c>
      <c r="M306" s="10" t="str">
        <f t="shared" si="86"/>
        <v/>
      </c>
      <c r="N306" s="6" t="str">
        <f t="shared" si="87"/>
        <v/>
      </c>
      <c r="O306" s="9" t="str">
        <f t="shared" si="88"/>
        <v/>
      </c>
      <c r="P306" s="9" t="str">
        <f t="shared" si="89"/>
        <v/>
      </c>
      <c r="Q306" s="9" t="str">
        <f t="shared" si="90"/>
        <v/>
      </c>
      <c r="R306" s="9" t="str">
        <f t="shared" ca="1" si="91"/>
        <v/>
      </c>
      <c r="T306" s="6" t="str">
        <f t="shared" si="92"/>
        <v/>
      </c>
      <c r="U306" s="6" t="str">
        <f t="shared" si="93"/>
        <v/>
      </c>
      <c r="V306" s="10" t="str">
        <f t="shared" si="94"/>
        <v/>
      </c>
      <c r="W306" s="8" t="str">
        <f t="shared" si="95"/>
        <v/>
      </c>
      <c r="X306" s="9">
        <f t="shared" si="102"/>
        <v>0</v>
      </c>
      <c r="Y306" s="9">
        <f t="shared" si="103"/>
        <v>0</v>
      </c>
    </row>
    <row r="307" spans="2:25" x14ac:dyDescent="0.3">
      <c r="B307" s="6">
        <v>270</v>
      </c>
      <c r="C307" s="79" t="str">
        <f t="shared" si="104"/>
        <v/>
      </c>
      <c r="D307" s="6" t="str">
        <f t="shared" si="84"/>
        <v/>
      </c>
      <c r="E307" s="79" t="str">
        <f t="shared" si="96"/>
        <v/>
      </c>
      <c r="F307" s="79" t="str">
        <f>IF(B306&gt;$C$18,"",IF(COUNTIF(Feriados!$A$2:$B$17,EDATE($C$38,B306))=0,EDATE($C$38,B306),EDATE($C$38,B306)+VLOOKUP(EDATE($C$38,B306),Feriados!$A$2:$B$17,2,FALSE)))</f>
        <v/>
      </c>
      <c r="G307" s="6" t="str">
        <f t="shared" si="97"/>
        <v/>
      </c>
      <c r="H307" s="6" t="str">
        <f t="shared" si="98"/>
        <v/>
      </c>
      <c r="I307" s="8" t="str">
        <f t="shared" si="99"/>
        <v/>
      </c>
      <c r="J307" s="8" t="str">
        <f t="shared" si="100"/>
        <v/>
      </c>
      <c r="K307" s="9" t="str">
        <f t="shared" si="85"/>
        <v/>
      </c>
      <c r="L307" s="9" t="str">
        <f t="shared" si="101"/>
        <v/>
      </c>
      <c r="M307" s="10" t="str">
        <f t="shared" si="86"/>
        <v/>
      </c>
      <c r="N307" s="6" t="str">
        <f t="shared" si="87"/>
        <v/>
      </c>
      <c r="O307" s="9" t="str">
        <f t="shared" si="88"/>
        <v/>
      </c>
      <c r="P307" s="9" t="str">
        <f t="shared" si="89"/>
        <v/>
      </c>
      <c r="Q307" s="9" t="str">
        <f t="shared" si="90"/>
        <v/>
      </c>
      <c r="R307" s="9" t="str">
        <f t="shared" ca="1" si="91"/>
        <v/>
      </c>
      <c r="T307" s="6" t="str">
        <f t="shared" si="92"/>
        <v/>
      </c>
      <c r="U307" s="6" t="str">
        <f t="shared" si="93"/>
        <v/>
      </c>
      <c r="V307" s="10" t="str">
        <f t="shared" si="94"/>
        <v/>
      </c>
      <c r="W307" s="8" t="str">
        <f t="shared" si="95"/>
        <v/>
      </c>
      <c r="X307" s="9">
        <f t="shared" si="102"/>
        <v>0</v>
      </c>
      <c r="Y307" s="9">
        <f t="shared" si="103"/>
        <v>0</v>
      </c>
    </row>
    <row r="308" spans="2:25" x14ac:dyDescent="0.3">
      <c r="B308" s="6">
        <v>271</v>
      </c>
      <c r="C308" s="79" t="str">
        <f t="shared" si="104"/>
        <v/>
      </c>
      <c r="D308" s="6" t="str">
        <f t="shared" si="84"/>
        <v/>
      </c>
      <c r="E308" s="79" t="str">
        <f t="shared" si="96"/>
        <v/>
      </c>
      <c r="F308" s="79" t="str">
        <f>IF(B307&gt;$C$18,"",IF(COUNTIF(Feriados!$A$2:$B$17,EDATE($C$38,B307))=0,EDATE($C$38,B307),EDATE($C$38,B307)+VLOOKUP(EDATE($C$38,B307),Feriados!$A$2:$B$17,2,FALSE)))</f>
        <v/>
      </c>
      <c r="G308" s="6" t="str">
        <f t="shared" si="97"/>
        <v/>
      </c>
      <c r="H308" s="6" t="str">
        <f t="shared" si="98"/>
        <v/>
      </c>
      <c r="I308" s="8" t="str">
        <f t="shared" si="99"/>
        <v/>
      </c>
      <c r="J308" s="8" t="str">
        <f t="shared" si="100"/>
        <v/>
      </c>
      <c r="K308" s="9" t="str">
        <f t="shared" si="85"/>
        <v/>
      </c>
      <c r="L308" s="9" t="str">
        <f t="shared" si="101"/>
        <v/>
      </c>
      <c r="M308" s="10" t="str">
        <f t="shared" si="86"/>
        <v/>
      </c>
      <c r="N308" s="6" t="str">
        <f t="shared" si="87"/>
        <v/>
      </c>
      <c r="O308" s="9" t="str">
        <f t="shared" si="88"/>
        <v/>
      </c>
      <c r="P308" s="9" t="str">
        <f t="shared" si="89"/>
        <v/>
      </c>
      <c r="Q308" s="9" t="str">
        <f t="shared" si="90"/>
        <v/>
      </c>
      <c r="R308" s="9" t="str">
        <f t="shared" ca="1" si="91"/>
        <v/>
      </c>
      <c r="T308" s="6" t="str">
        <f t="shared" si="92"/>
        <v/>
      </c>
      <c r="U308" s="6" t="str">
        <f t="shared" si="93"/>
        <v/>
      </c>
      <c r="V308" s="10" t="str">
        <f t="shared" si="94"/>
        <v/>
      </c>
      <c r="W308" s="8" t="str">
        <f t="shared" si="95"/>
        <v/>
      </c>
      <c r="X308" s="9">
        <f t="shared" si="102"/>
        <v>0</v>
      </c>
      <c r="Y308" s="9">
        <f t="shared" si="103"/>
        <v>0</v>
      </c>
    </row>
    <row r="309" spans="2:25" x14ac:dyDescent="0.3">
      <c r="B309" s="6">
        <v>272</v>
      </c>
      <c r="C309" s="79" t="str">
        <f t="shared" si="104"/>
        <v/>
      </c>
      <c r="D309" s="6" t="str">
        <f t="shared" si="84"/>
        <v/>
      </c>
      <c r="E309" s="79" t="str">
        <f t="shared" si="96"/>
        <v/>
      </c>
      <c r="F309" s="79" t="str">
        <f>IF(B308&gt;$C$18,"",IF(COUNTIF(Feriados!$A$2:$B$17,EDATE($C$38,B308))=0,EDATE($C$38,B308),EDATE($C$38,B308)+VLOOKUP(EDATE($C$38,B308),Feriados!$A$2:$B$17,2,FALSE)))</f>
        <v/>
      </c>
      <c r="G309" s="6" t="str">
        <f t="shared" si="97"/>
        <v/>
      </c>
      <c r="H309" s="6" t="str">
        <f t="shared" si="98"/>
        <v/>
      </c>
      <c r="I309" s="8" t="str">
        <f t="shared" si="99"/>
        <v/>
      </c>
      <c r="J309" s="8" t="str">
        <f t="shared" si="100"/>
        <v/>
      </c>
      <c r="K309" s="9" t="str">
        <f t="shared" si="85"/>
        <v/>
      </c>
      <c r="L309" s="9" t="str">
        <f t="shared" si="101"/>
        <v/>
      </c>
      <c r="M309" s="10" t="str">
        <f t="shared" si="86"/>
        <v/>
      </c>
      <c r="N309" s="6" t="str">
        <f t="shared" si="87"/>
        <v/>
      </c>
      <c r="O309" s="9" t="str">
        <f t="shared" si="88"/>
        <v/>
      </c>
      <c r="P309" s="9" t="str">
        <f t="shared" si="89"/>
        <v/>
      </c>
      <c r="Q309" s="9" t="str">
        <f t="shared" si="90"/>
        <v/>
      </c>
      <c r="R309" s="9" t="str">
        <f t="shared" ca="1" si="91"/>
        <v/>
      </c>
      <c r="T309" s="6" t="str">
        <f t="shared" si="92"/>
        <v/>
      </c>
      <c r="U309" s="6" t="str">
        <f t="shared" si="93"/>
        <v/>
      </c>
      <c r="V309" s="10" t="str">
        <f t="shared" si="94"/>
        <v/>
      </c>
      <c r="W309" s="8" t="str">
        <f t="shared" si="95"/>
        <v/>
      </c>
      <c r="X309" s="9">
        <f t="shared" si="102"/>
        <v>0</v>
      </c>
      <c r="Y309" s="9">
        <f t="shared" si="103"/>
        <v>0</v>
      </c>
    </row>
    <row r="310" spans="2:25" x14ac:dyDescent="0.3">
      <c r="B310" s="6">
        <v>273</v>
      </c>
      <c r="C310" s="79" t="str">
        <f t="shared" si="104"/>
        <v/>
      </c>
      <c r="D310" s="6" t="str">
        <f t="shared" si="84"/>
        <v/>
      </c>
      <c r="E310" s="79" t="str">
        <f t="shared" si="96"/>
        <v/>
      </c>
      <c r="F310" s="79" t="str">
        <f>IF(B309&gt;$C$18,"",IF(COUNTIF(Feriados!$A$2:$B$17,EDATE($C$38,B309))=0,EDATE($C$38,B309),EDATE($C$38,B309)+VLOOKUP(EDATE($C$38,B309),Feriados!$A$2:$B$17,2,FALSE)))</f>
        <v/>
      </c>
      <c r="G310" s="6" t="str">
        <f t="shared" si="97"/>
        <v/>
      </c>
      <c r="H310" s="6" t="str">
        <f t="shared" si="98"/>
        <v/>
      </c>
      <c r="I310" s="8" t="str">
        <f t="shared" si="99"/>
        <v/>
      </c>
      <c r="J310" s="8" t="str">
        <f t="shared" si="100"/>
        <v/>
      </c>
      <c r="K310" s="9" t="str">
        <f t="shared" si="85"/>
        <v/>
      </c>
      <c r="L310" s="9" t="str">
        <f t="shared" si="101"/>
        <v/>
      </c>
      <c r="M310" s="10" t="str">
        <f t="shared" si="86"/>
        <v/>
      </c>
      <c r="N310" s="6" t="str">
        <f t="shared" si="87"/>
        <v/>
      </c>
      <c r="O310" s="9" t="str">
        <f t="shared" si="88"/>
        <v/>
      </c>
      <c r="P310" s="9" t="str">
        <f t="shared" si="89"/>
        <v/>
      </c>
      <c r="Q310" s="9" t="str">
        <f t="shared" si="90"/>
        <v/>
      </c>
      <c r="R310" s="9" t="str">
        <f t="shared" ca="1" si="91"/>
        <v/>
      </c>
      <c r="T310" s="6" t="str">
        <f t="shared" si="92"/>
        <v/>
      </c>
      <c r="U310" s="6" t="str">
        <f t="shared" si="93"/>
        <v/>
      </c>
      <c r="V310" s="10" t="str">
        <f t="shared" si="94"/>
        <v/>
      </c>
      <c r="W310" s="8" t="str">
        <f t="shared" si="95"/>
        <v/>
      </c>
      <c r="X310" s="9">
        <f t="shared" si="102"/>
        <v>0</v>
      </c>
      <c r="Y310" s="9">
        <f t="shared" si="103"/>
        <v>0</v>
      </c>
    </row>
    <row r="311" spans="2:25" x14ac:dyDescent="0.3">
      <c r="B311" s="6">
        <v>274</v>
      </c>
      <c r="C311" s="79" t="str">
        <f t="shared" si="104"/>
        <v/>
      </c>
      <c r="D311" s="6" t="str">
        <f t="shared" si="84"/>
        <v/>
      </c>
      <c r="E311" s="79" t="str">
        <f t="shared" si="96"/>
        <v/>
      </c>
      <c r="F311" s="79" t="str">
        <f>IF(B310&gt;$C$18,"",IF(COUNTIF(Feriados!$A$2:$B$17,EDATE($C$38,B310))=0,EDATE($C$38,B310),EDATE($C$38,B310)+VLOOKUP(EDATE($C$38,B310),Feriados!$A$2:$B$17,2,FALSE)))</f>
        <v/>
      </c>
      <c r="G311" s="6" t="str">
        <f t="shared" si="97"/>
        <v/>
      </c>
      <c r="H311" s="6" t="str">
        <f t="shared" si="98"/>
        <v/>
      </c>
      <c r="I311" s="8" t="str">
        <f t="shared" si="99"/>
        <v/>
      </c>
      <c r="J311" s="8" t="str">
        <f t="shared" si="100"/>
        <v/>
      </c>
      <c r="K311" s="9" t="str">
        <f t="shared" si="85"/>
        <v/>
      </c>
      <c r="L311" s="9" t="str">
        <f t="shared" si="101"/>
        <v/>
      </c>
      <c r="M311" s="10" t="str">
        <f t="shared" si="86"/>
        <v/>
      </c>
      <c r="N311" s="6" t="str">
        <f t="shared" si="87"/>
        <v/>
      </c>
      <c r="O311" s="9" t="str">
        <f t="shared" si="88"/>
        <v/>
      </c>
      <c r="P311" s="9" t="str">
        <f t="shared" si="89"/>
        <v/>
      </c>
      <c r="Q311" s="9" t="str">
        <f t="shared" si="90"/>
        <v/>
      </c>
      <c r="R311" s="9" t="str">
        <f t="shared" ca="1" si="91"/>
        <v/>
      </c>
      <c r="T311" s="6" t="str">
        <f t="shared" si="92"/>
        <v/>
      </c>
      <c r="U311" s="6" t="str">
        <f t="shared" si="93"/>
        <v/>
      </c>
      <c r="V311" s="10" t="str">
        <f t="shared" si="94"/>
        <v/>
      </c>
      <c r="W311" s="8" t="str">
        <f t="shared" si="95"/>
        <v/>
      </c>
      <c r="X311" s="9">
        <f t="shared" si="102"/>
        <v>0</v>
      </c>
      <c r="Y311" s="9">
        <f t="shared" si="103"/>
        <v>0</v>
      </c>
    </row>
    <row r="312" spans="2:25" x14ac:dyDescent="0.3">
      <c r="B312" s="6">
        <v>275</v>
      </c>
      <c r="C312" s="79" t="str">
        <f t="shared" si="104"/>
        <v/>
      </c>
      <c r="D312" s="6" t="str">
        <f t="shared" si="84"/>
        <v/>
      </c>
      <c r="E312" s="79" t="str">
        <f t="shared" si="96"/>
        <v/>
      </c>
      <c r="F312" s="79" t="str">
        <f>IF(B311&gt;$C$18,"",IF(COUNTIF(Feriados!$A$2:$B$17,EDATE($C$38,B311))=0,EDATE($C$38,B311),EDATE($C$38,B311)+VLOOKUP(EDATE($C$38,B311),Feriados!$A$2:$B$17,2,FALSE)))</f>
        <v/>
      </c>
      <c r="G312" s="6" t="str">
        <f t="shared" si="97"/>
        <v/>
      </c>
      <c r="H312" s="6" t="str">
        <f t="shared" si="98"/>
        <v/>
      </c>
      <c r="I312" s="8" t="str">
        <f t="shared" si="99"/>
        <v/>
      </c>
      <c r="J312" s="8" t="str">
        <f t="shared" si="100"/>
        <v/>
      </c>
      <c r="K312" s="9" t="str">
        <f t="shared" si="85"/>
        <v/>
      </c>
      <c r="L312" s="9" t="str">
        <f t="shared" si="101"/>
        <v/>
      </c>
      <c r="M312" s="10" t="str">
        <f t="shared" si="86"/>
        <v/>
      </c>
      <c r="N312" s="6" t="str">
        <f t="shared" si="87"/>
        <v/>
      </c>
      <c r="O312" s="9" t="str">
        <f t="shared" si="88"/>
        <v/>
      </c>
      <c r="P312" s="9" t="str">
        <f t="shared" si="89"/>
        <v/>
      </c>
      <c r="Q312" s="9" t="str">
        <f t="shared" si="90"/>
        <v/>
      </c>
      <c r="R312" s="9" t="str">
        <f t="shared" ca="1" si="91"/>
        <v/>
      </c>
      <c r="T312" s="6" t="str">
        <f t="shared" si="92"/>
        <v/>
      </c>
      <c r="U312" s="6" t="str">
        <f t="shared" si="93"/>
        <v/>
      </c>
      <c r="V312" s="10" t="str">
        <f t="shared" si="94"/>
        <v/>
      </c>
      <c r="W312" s="8" t="str">
        <f t="shared" si="95"/>
        <v/>
      </c>
      <c r="X312" s="9">
        <f t="shared" si="102"/>
        <v>0</v>
      </c>
      <c r="Y312" s="9">
        <f t="shared" si="103"/>
        <v>0</v>
      </c>
    </row>
    <row r="313" spans="2:25" x14ac:dyDescent="0.3">
      <c r="B313" s="6">
        <v>276</v>
      </c>
      <c r="C313" s="79" t="str">
        <f t="shared" si="104"/>
        <v/>
      </c>
      <c r="D313" s="6" t="str">
        <f t="shared" si="84"/>
        <v/>
      </c>
      <c r="E313" s="79" t="str">
        <f t="shared" si="96"/>
        <v/>
      </c>
      <c r="F313" s="79" t="str">
        <f>IF(B312&gt;$C$18,"",IF(COUNTIF(Feriados!$A$2:$B$17,EDATE($C$38,B312))=0,EDATE($C$38,B312),EDATE($C$38,B312)+VLOOKUP(EDATE($C$38,B312),Feriados!$A$2:$B$17,2,FALSE)))</f>
        <v/>
      </c>
      <c r="G313" s="6" t="str">
        <f t="shared" si="97"/>
        <v/>
      </c>
      <c r="H313" s="6" t="str">
        <f t="shared" si="98"/>
        <v/>
      </c>
      <c r="I313" s="8" t="str">
        <f t="shared" si="99"/>
        <v/>
      </c>
      <c r="J313" s="8" t="str">
        <f t="shared" si="100"/>
        <v/>
      </c>
      <c r="K313" s="9" t="str">
        <f t="shared" si="85"/>
        <v/>
      </c>
      <c r="L313" s="9" t="str">
        <f t="shared" si="101"/>
        <v/>
      </c>
      <c r="M313" s="10" t="str">
        <f t="shared" si="86"/>
        <v/>
      </c>
      <c r="N313" s="6" t="str">
        <f t="shared" si="87"/>
        <v/>
      </c>
      <c r="O313" s="9" t="str">
        <f t="shared" si="88"/>
        <v/>
      </c>
      <c r="P313" s="9" t="str">
        <f t="shared" si="89"/>
        <v/>
      </c>
      <c r="Q313" s="9" t="str">
        <f t="shared" si="90"/>
        <v/>
      </c>
      <c r="R313" s="9" t="str">
        <f t="shared" ca="1" si="91"/>
        <v/>
      </c>
      <c r="T313" s="6" t="str">
        <f t="shared" si="92"/>
        <v/>
      </c>
      <c r="U313" s="6" t="str">
        <f t="shared" si="93"/>
        <v/>
      </c>
      <c r="V313" s="10" t="str">
        <f t="shared" si="94"/>
        <v/>
      </c>
      <c r="W313" s="8" t="str">
        <f t="shared" si="95"/>
        <v/>
      </c>
      <c r="X313" s="9">
        <f t="shared" si="102"/>
        <v>0</v>
      </c>
      <c r="Y313" s="9">
        <f t="shared" si="103"/>
        <v>0</v>
      </c>
    </row>
    <row r="314" spans="2:25" x14ac:dyDescent="0.3">
      <c r="B314" s="6">
        <v>277</v>
      </c>
      <c r="C314" s="79" t="str">
        <f t="shared" si="104"/>
        <v/>
      </c>
      <c r="D314" s="6" t="str">
        <f t="shared" si="84"/>
        <v/>
      </c>
      <c r="E314" s="79" t="str">
        <f t="shared" si="96"/>
        <v/>
      </c>
      <c r="F314" s="79" t="str">
        <f>IF(B313&gt;$C$18,"",IF(COUNTIF(Feriados!$A$2:$B$17,EDATE($C$38,B313))=0,EDATE($C$38,B313),EDATE($C$38,B313)+VLOOKUP(EDATE($C$38,B313),Feriados!$A$2:$B$17,2,FALSE)))</f>
        <v/>
      </c>
      <c r="G314" s="6" t="str">
        <f t="shared" si="97"/>
        <v/>
      </c>
      <c r="H314" s="6" t="str">
        <f t="shared" si="98"/>
        <v/>
      </c>
      <c r="I314" s="8" t="str">
        <f t="shared" si="99"/>
        <v/>
      </c>
      <c r="J314" s="8" t="str">
        <f t="shared" si="100"/>
        <v/>
      </c>
      <c r="K314" s="9" t="str">
        <f t="shared" si="85"/>
        <v/>
      </c>
      <c r="L314" s="9" t="str">
        <f t="shared" si="101"/>
        <v/>
      </c>
      <c r="M314" s="10" t="str">
        <f t="shared" si="86"/>
        <v/>
      </c>
      <c r="N314" s="6" t="str">
        <f t="shared" si="87"/>
        <v/>
      </c>
      <c r="O314" s="9" t="str">
        <f t="shared" si="88"/>
        <v/>
      </c>
      <c r="P314" s="9" t="str">
        <f t="shared" si="89"/>
        <v/>
      </c>
      <c r="Q314" s="9" t="str">
        <f t="shared" si="90"/>
        <v/>
      </c>
      <c r="R314" s="9" t="str">
        <f t="shared" ca="1" si="91"/>
        <v/>
      </c>
      <c r="T314" s="6" t="str">
        <f t="shared" si="92"/>
        <v/>
      </c>
      <c r="U314" s="6" t="str">
        <f t="shared" si="93"/>
        <v/>
      </c>
      <c r="V314" s="10" t="str">
        <f t="shared" si="94"/>
        <v/>
      </c>
      <c r="W314" s="8" t="str">
        <f t="shared" si="95"/>
        <v/>
      </c>
      <c r="X314" s="9">
        <f t="shared" si="102"/>
        <v>0</v>
      </c>
      <c r="Y314" s="9">
        <f t="shared" si="103"/>
        <v>0</v>
      </c>
    </row>
    <row r="315" spans="2:25" x14ac:dyDescent="0.3">
      <c r="B315" s="6">
        <v>278</v>
      </c>
      <c r="C315" s="79" t="str">
        <f t="shared" si="104"/>
        <v/>
      </c>
      <c r="D315" s="6" t="str">
        <f t="shared" si="84"/>
        <v/>
      </c>
      <c r="E315" s="79" t="str">
        <f t="shared" si="96"/>
        <v/>
      </c>
      <c r="F315" s="79" t="str">
        <f>IF(B314&gt;$C$18,"",IF(COUNTIF(Feriados!$A$2:$B$17,EDATE($C$38,B314))=0,EDATE($C$38,B314),EDATE($C$38,B314)+VLOOKUP(EDATE($C$38,B314),Feriados!$A$2:$B$17,2,FALSE)))</f>
        <v/>
      </c>
      <c r="G315" s="6" t="str">
        <f t="shared" si="97"/>
        <v/>
      </c>
      <c r="H315" s="6" t="str">
        <f t="shared" si="98"/>
        <v/>
      </c>
      <c r="I315" s="8" t="str">
        <f t="shared" si="99"/>
        <v/>
      </c>
      <c r="J315" s="8" t="str">
        <f t="shared" si="100"/>
        <v/>
      </c>
      <c r="K315" s="9" t="str">
        <f t="shared" si="85"/>
        <v/>
      </c>
      <c r="L315" s="9" t="str">
        <f t="shared" si="101"/>
        <v/>
      </c>
      <c r="M315" s="10" t="str">
        <f t="shared" si="86"/>
        <v/>
      </c>
      <c r="N315" s="6" t="str">
        <f t="shared" si="87"/>
        <v/>
      </c>
      <c r="O315" s="9" t="str">
        <f t="shared" si="88"/>
        <v/>
      </c>
      <c r="P315" s="9" t="str">
        <f t="shared" si="89"/>
        <v/>
      </c>
      <c r="Q315" s="9" t="str">
        <f t="shared" si="90"/>
        <v/>
      </c>
      <c r="R315" s="9" t="str">
        <f t="shared" ca="1" si="91"/>
        <v/>
      </c>
      <c r="T315" s="6" t="str">
        <f t="shared" si="92"/>
        <v/>
      </c>
      <c r="U315" s="6" t="str">
        <f t="shared" si="93"/>
        <v/>
      </c>
      <c r="V315" s="10" t="str">
        <f t="shared" si="94"/>
        <v/>
      </c>
      <c r="W315" s="8" t="str">
        <f t="shared" si="95"/>
        <v/>
      </c>
      <c r="X315" s="9">
        <f t="shared" si="102"/>
        <v>0</v>
      </c>
      <c r="Y315" s="9">
        <f t="shared" si="103"/>
        <v>0</v>
      </c>
    </row>
    <row r="316" spans="2:25" x14ac:dyDescent="0.3">
      <c r="B316" s="6">
        <v>279</v>
      </c>
      <c r="C316" s="79" t="str">
        <f t="shared" si="104"/>
        <v/>
      </c>
      <c r="D316" s="6" t="str">
        <f t="shared" si="84"/>
        <v/>
      </c>
      <c r="E316" s="79" t="str">
        <f t="shared" si="96"/>
        <v/>
      </c>
      <c r="F316" s="79" t="str">
        <f>IF(B315&gt;$C$18,"",IF(COUNTIF(Feriados!$A$2:$B$17,EDATE($C$38,B315))=0,EDATE($C$38,B315),EDATE($C$38,B315)+VLOOKUP(EDATE($C$38,B315),Feriados!$A$2:$B$17,2,FALSE)))</f>
        <v/>
      </c>
      <c r="G316" s="6" t="str">
        <f t="shared" si="97"/>
        <v/>
      </c>
      <c r="H316" s="6" t="str">
        <f t="shared" si="98"/>
        <v/>
      </c>
      <c r="I316" s="8" t="str">
        <f t="shared" si="99"/>
        <v/>
      </c>
      <c r="J316" s="8" t="str">
        <f t="shared" si="100"/>
        <v/>
      </c>
      <c r="K316" s="9" t="str">
        <f t="shared" si="85"/>
        <v/>
      </c>
      <c r="L316" s="9" t="str">
        <f t="shared" si="101"/>
        <v/>
      </c>
      <c r="M316" s="10" t="str">
        <f t="shared" si="86"/>
        <v/>
      </c>
      <c r="N316" s="6" t="str">
        <f t="shared" si="87"/>
        <v/>
      </c>
      <c r="O316" s="9" t="str">
        <f t="shared" si="88"/>
        <v/>
      </c>
      <c r="P316" s="9" t="str">
        <f t="shared" si="89"/>
        <v/>
      </c>
      <c r="Q316" s="9" t="str">
        <f t="shared" si="90"/>
        <v/>
      </c>
      <c r="R316" s="9" t="str">
        <f t="shared" ca="1" si="91"/>
        <v/>
      </c>
      <c r="T316" s="6" t="str">
        <f t="shared" si="92"/>
        <v/>
      </c>
      <c r="U316" s="6" t="str">
        <f t="shared" si="93"/>
        <v/>
      </c>
      <c r="V316" s="10" t="str">
        <f t="shared" si="94"/>
        <v/>
      </c>
      <c r="W316" s="8" t="str">
        <f t="shared" si="95"/>
        <v/>
      </c>
      <c r="X316" s="9">
        <f t="shared" si="102"/>
        <v>0</v>
      </c>
      <c r="Y316" s="9">
        <f t="shared" si="103"/>
        <v>0</v>
      </c>
    </row>
    <row r="317" spans="2:25" x14ac:dyDescent="0.3">
      <c r="B317" s="6">
        <v>280</v>
      </c>
      <c r="C317" s="79" t="str">
        <f t="shared" si="104"/>
        <v/>
      </c>
      <c r="D317" s="6" t="str">
        <f t="shared" si="84"/>
        <v/>
      </c>
      <c r="E317" s="79" t="str">
        <f t="shared" si="96"/>
        <v/>
      </c>
      <c r="F317" s="79" t="str">
        <f>IF(B316&gt;$C$18,"",IF(COUNTIF(Feriados!$A$2:$B$17,EDATE($C$38,B316))=0,EDATE($C$38,B316),EDATE($C$38,B316)+VLOOKUP(EDATE($C$38,B316),Feriados!$A$2:$B$17,2,FALSE)))</f>
        <v/>
      </c>
      <c r="G317" s="6" t="str">
        <f t="shared" si="97"/>
        <v/>
      </c>
      <c r="H317" s="6" t="str">
        <f t="shared" si="98"/>
        <v/>
      </c>
      <c r="I317" s="8" t="str">
        <f t="shared" si="99"/>
        <v/>
      </c>
      <c r="J317" s="8" t="str">
        <f t="shared" si="100"/>
        <v/>
      </c>
      <c r="K317" s="9" t="str">
        <f t="shared" si="85"/>
        <v/>
      </c>
      <c r="L317" s="9" t="str">
        <f t="shared" si="101"/>
        <v/>
      </c>
      <c r="M317" s="10" t="str">
        <f t="shared" si="86"/>
        <v/>
      </c>
      <c r="N317" s="6" t="str">
        <f t="shared" si="87"/>
        <v/>
      </c>
      <c r="O317" s="9" t="str">
        <f t="shared" si="88"/>
        <v/>
      </c>
      <c r="P317" s="9" t="str">
        <f t="shared" si="89"/>
        <v/>
      </c>
      <c r="Q317" s="9" t="str">
        <f t="shared" si="90"/>
        <v/>
      </c>
      <c r="R317" s="9" t="str">
        <f t="shared" ca="1" si="91"/>
        <v/>
      </c>
      <c r="T317" s="6" t="str">
        <f t="shared" si="92"/>
        <v/>
      </c>
      <c r="U317" s="6" t="str">
        <f t="shared" si="93"/>
        <v/>
      </c>
      <c r="V317" s="10" t="str">
        <f t="shared" si="94"/>
        <v/>
      </c>
      <c r="W317" s="8" t="str">
        <f t="shared" si="95"/>
        <v/>
      </c>
      <c r="X317" s="9">
        <f t="shared" si="102"/>
        <v>0</v>
      </c>
      <c r="Y317" s="9">
        <f t="shared" si="103"/>
        <v>0</v>
      </c>
    </row>
    <row r="318" spans="2:25" x14ac:dyDescent="0.3">
      <c r="B318" s="6">
        <v>281</v>
      </c>
      <c r="C318" s="79" t="str">
        <f t="shared" si="104"/>
        <v/>
      </c>
      <c r="D318" s="6" t="str">
        <f t="shared" si="84"/>
        <v/>
      </c>
      <c r="E318" s="79" t="str">
        <f t="shared" si="96"/>
        <v/>
      </c>
      <c r="F318" s="79" t="str">
        <f>IF(B317&gt;$C$18,"",IF(COUNTIF(Feriados!$A$2:$B$17,EDATE($C$38,B317))=0,EDATE($C$38,B317),EDATE($C$38,B317)+VLOOKUP(EDATE($C$38,B317),Feriados!$A$2:$B$17,2,FALSE)))</f>
        <v/>
      </c>
      <c r="G318" s="6" t="str">
        <f t="shared" si="97"/>
        <v/>
      </c>
      <c r="H318" s="6" t="str">
        <f t="shared" si="98"/>
        <v/>
      </c>
      <c r="I318" s="8" t="str">
        <f t="shared" si="99"/>
        <v/>
      </c>
      <c r="J318" s="8" t="str">
        <f t="shared" si="100"/>
        <v/>
      </c>
      <c r="K318" s="9" t="str">
        <f t="shared" si="85"/>
        <v/>
      </c>
      <c r="L318" s="9" t="str">
        <f t="shared" si="101"/>
        <v/>
      </c>
      <c r="M318" s="10" t="str">
        <f t="shared" si="86"/>
        <v/>
      </c>
      <c r="N318" s="6" t="str">
        <f t="shared" si="87"/>
        <v/>
      </c>
      <c r="O318" s="9" t="str">
        <f t="shared" si="88"/>
        <v/>
      </c>
      <c r="P318" s="9" t="str">
        <f t="shared" si="89"/>
        <v/>
      </c>
      <c r="Q318" s="9" t="str">
        <f t="shared" si="90"/>
        <v/>
      </c>
      <c r="R318" s="9" t="str">
        <f t="shared" ca="1" si="91"/>
        <v/>
      </c>
      <c r="T318" s="6" t="str">
        <f t="shared" si="92"/>
        <v/>
      </c>
      <c r="U318" s="6" t="str">
        <f t="shared" si="93"/>
        <v/>
      </c>
      <c r="V318" s="10" t="str">
        <f t="shared" si="94"/>
        <v/>
      </c>
      <c r="W318" s="8" t="str">
        <f t="shared" si="95"/>
        <v/>
      </c>
      <c r="X318" s="9">
        <f t="shared" si="102"/>
        <v>0</v>
      </c>
      <c r="Y318" s="9">
        <f t="shared" si="103"/>
        <v>0</v>
      </c>
    </row>
    <row r="319" spans="2:25" x14ac:dyDescent="0.3">
      <c r="B319" s="6">
        <v>282</v>
      </c>
      <c r="C319" s="79" t="str">
        <f t="shared" si="104"/>
        <v/>
      </c>
      <c r="D319" s="6" t="str">
        <f t="shared" si="84"/>
        <v/>
      </c>
      <c r="E319" s="79" t="str">
        <f t="shared" si="96"/>
        <v/>
      </c>
      <c r="F319" s="79" t="str">
        <f>IF(B318&gt;$C$18,"",IF(COUNTIF(Feriados!$A$2:$B$17,EDATE($C$38,B318))=0,EDATE($C$38,B318),EDATE($C$38,B318)+VLOOKUP(EDATE($C$38,B318),Feriados!$A$2:$B$17,2,FALSE)))</f>
        <v/>
      </c>
      <c r="G319" s="6" t="str">
        <f t="shared" si="97"/>
        <v/>
      </c>
      <c r="H319" s="6" t="str">
        <f t="shared" si="98"/>
        <v/>
      </c>
      <c r="I319" s="8" t="str">
        <f t="shared" si="99"/>
        <v/>
      </c>
      <c r="J319" s="8" t="str">
        <f t="shared" si="100"/>
        <v/>
      </c>
      <c r="K319" s="9" t="str">
        <f t="shared" si="85"/>
        <v/>
      </c>
      <c r="L319" s="9" t="str">
        <f t="shared" si="101"/>
        <v/>
      </c>
      <c r="M319" s="10" t="str">
        <f t="shared" si="86"/>
        <v/>
      </c>
      <c r="N319" s="6" t="str">
        <f t="shared" si="87"/>
        <v/>
      </c>
      <c r="O319" s="9" t="str">
        <f t="shared" si="88"/>
        <v/>
      </c>
      <c r="P319" s="9" t="str">
        <f t="shared" si="89"/>
        <v/>
      </c>
      <c r="Q319" s="9" t="str">
        <f t="shared" si="90"/>
        <v/>
      </c>
      <c r="R319" s="9" t="str">
        <f t="shared" ca="1" si="91"/>
        <v/>
      </c>
      <c r="T319" s="6" t="str">
        <f t="shared" si="92"/>
        <v/>
      </c>
      <c r="U319" s="6" t="str">
        <f t="shared" si="93"/>
        <v/>
      </c>
      <c r="V319" s="10" t="str">
        <f t="shared" si="94"/>
        <v/>
      </c>
      <c r="W319" s="8" t="str">
        <f t="shared" si="95"/>
        <v/>
      </c>
      <c r="X319" s="9">
        <f t="shared" si="102"/>
        <v>0</v>
      </c>
      <c r="Y319" s="9">
        <f t="shared" si="103"/>
        <v>0</v>
      </c>
    </row>
    <row r="320" spans="2:25" x14ac:dyDescent="0.3">
      <c r="B320" s="6">
        <v>283</v>
      </c>
      <c r="C320" s="79" t="str">
        <f t="shared" si="104"/>
        <v/>
      </c>
      <c r="D320" s="6" t="str">
        <f t="shared" si="84"/>
        <v/>
      </c>
      <c r="E320" s="79" t="str">
        <f t="shared" si="96"/>
        <v/>
      </c>
      <c r="F320" s="79" t="str">
        <f>IF(B319&gt;$C$18,"",IF(COUNTIF(Feriados!$A$2:$B$17,EDATE($C$38,B319))=0,EDATE($C$38,B319),EDATE($C$38,B319)+VLOOKUP(EDATE($C$38,B319),Feriados!$A$2:$B$17,2,FALSE)))</f>
        <v/>
      </c>
      <c r="G320" s="6" t="str">
        <f t="shared" si="97"/>
        <v/>
      </c>
      <c r="H320" s="6" t="str">
        <f t="shared" si="98"/>
        <v/>
      </c>
      <c r="I320" s="8" t="str">
        <f t="shared" si="99"/>
        <v/>
      </c>
      <c r="J320" s="8" t="str">
        <f t="shared" si="100"/>
        <v/>
      </c>
      <c r="K320" s="9" t="str">
        <f t="shared" si="85"/>
        <v/>
      </c>
      <c r="L320" s="9" t="str">
        <f t="shared" si="101"/>
        <v/>
      </c>
      <c r="M320" s="10" t="str">
        <f t="shared" si="86"/>
        <v/>
      </c>
      <c r="N320" s="6" t="str">
        <f t="shared" si="87"/>
        <v/>
      </c>
      <c r="O320" s="9" t="str">
        <f t="shared" si="88"/>
        <v/>
      </c>
      <c r="P320" s="9" t="str">
        <f t="shared" si="89"/>
        <v/>
      </c>
      <c r="Q320" s="9" t="str">
        <f t="shared" si="90"/>
        <v/>
      </c>
      <c r="R320" s="9" t="str">
        <f t="shared" ca="1" si="91"/>
        <v/>
      </c>
      <c r="T320" s="6" t="str">
        <f t="shared" si="92"/>
        <v/>
      </c>
      <c r="U320" s="6" t="str">
        <f t="shared" si="93"/>
        <v/>
      </c>
      <c r="V320" s="10" t="str">
        <f t="shared" si="94"/>
        <v/>
      </c>
      <c r="W320" s="8" t="str">
        <f t="shared" si="95"/>
        <v/>
      </c>
      <c r="X320" s="9">
        <f t="shared" si="102"/>
        <v>0</v>
      </c>
      <c r="Y320" s="9">
        <f t="shared" si="103"/>
        <v>0</v>
      </c>
    </row>
    <row r="321" spans="2:25" x14ac:dyDescent="0.3">
      <c r="B321" s="6">
        <v>284</v>
      </c>
      <c r="C321" s="79" t="str">
        <f t="shared" si="104"/>
        <v/>
      </c>
      <c r="D321" s="6" t="str">
        <f t="shared" si="84"/>
        <v/>
      </c>
      <c r="E321" s="79" t="str">
        <f t="shared" si="96"/>
        <v/>
      </c>
      <c r="F321" s="79" t="str">
        <f>IF(B320&gt;$C$18,"",IF(COUNTIF(Feriados!$A$2:$B$17,EDATE($C$38,B320))=0,EDATE($C$38,B320),EDATE($C$38,B320)+VLOOKUP(EDATE($C$38,B320),Feriados!$A$2:$B$17,2,FALSE)))</f>
        <v/>
      </c>
      <c r="G321" s="6" t="str">
        <f t="shared" si="97"/>
        <v/>
      </c>
      <c r="H321" s="6" t="str">
        <f t="shared" si="98"/>
        <v/>
      </c>
      <c r="I321" s="8" t="str">
        <f t="shared" si="99"/>
        <v/>
      </c>
      <c r="J321" s="8" t="str">
        <f t="shared" si="100"/>
        <v/>
      </c>
      <c r="K321" s="9" t="str">
        <f t="shared" si="85"/>
        <v/>
      </c>
      <c r="L321" s="9" t="str">
        <f t="shared" si="101"/>
        <v/>
      </c>
      <c r="M321" s="10" t="str">
        <f t="shared" si="86"/>
        <v/>
      </c>
      <c r="N321" s="6" t="str">
        <f t="shared" si="87"/>
        <v/>
      </c>
      <c r="O321" s="9" t="str">
        <f t="shared" si="88"/>
        <v/>
      </c>
      <c r="P321" s="9" t="str">
        <f t="shared" si="89"/>
        <v/>
      </c>
      <c r="Q321" s="9" t="str">
        <f t="shared" si="90"/>
        <v/>
      </c>
      <c r="R321" s="9" t="str">
        <f t="shared" ca="1" si="91"/>
        <v/>
      </c>
      <c r="T321" s="6" t="str">
        <f t="shared" si="92"/>
        <v/>
      </c>
      <c r="U321" s="6" t="str">
        <f t="shared" si="93"/>
        <v/>
      </c>
      <c r="V321" s="10" t="str">
        <f t="shared" si="94"/>
        <v/>
      </c>
      <c r="W321" s="8" t="str">
        <f t="shared" si="95"/>
        <v/>
      </c>
      <c r="X321" s="9">
        <f t="shared" si="102"/>
        <v>0</v>
      </c>
      <c r="Y321" s="9">
        <f t="shared" si="103"/>
        <v>0</v>
      </c>
    </row>
    <row r="322" spans="2:25" x14ac:dyDescent="0.3">
      <c r="B322" s="6">
        <v>285</v>
      </c>
      <c r="C322" s="79" t="str">
        <f t="shared" si="104"/>
        <v/>
      </c>
      <c r="D322" s="6" t="str">
        <f t="shared" si="84"/>
        <v/>
      </c>
      <c r="E322" s="79" t="str">
        <f t="shared" si="96"/>
        <v/>
      </c>
      <c r="F322" s="79" t="str">
        <f>IF(B321&gt;$C$18,"",IF(COUNTIF(Feriados!$A$2:$B$17,EDATE($C$38,B321))=0,EDATE($C$38,B321),EDATE($C$38,B321)+VLOOKUP(EDATE($C$38,B321),Feriados!$A$2:$B$17,2,FALSE)))</f>
        <v/>
      </c>
      <c r="G322" s="6" t="str">
        <f t="shared" si="97"/>
        <v/>
      </c>
      <c r="H322" s="6" t="str">
        <f t="shared" si="98"/>
        <v/>
      </c>
      <c r="I322" s="8" t="str">
        <f t="shared" si="99"/>
        <v/>
      </c>
      <c r="J322" s="8" t="str">
        <f t="shared" si="100"/>
        <v/>
      </c>
      <c r="K322" s="9" t="str">
        <f t="shared" si="85"/>
        <v/>
      </c>
      <c r="L322" s="9" t="str">
        <f t="shared" si="101"/>
        <v/>
      </c>
      <c r="M322" s="10" t="str">
        <f t="shared" si="86"/>
        <v/>
      </c>
      <c r="N322" s="6" t="str">
        <f t="shared" si="87"/>
        <v/>
      </c>
      <c r="O322" s="9" t="str">
        <f t="shared" si="88"/>
        <v/>
      </c>
      <c r="P322" s="9" t="str">
        <f t="shared" si="89"/>
        <v/>
      </c>
      <c r="Q322" s="9" t="str">
        <f t="shared" si="90"/>
        <v/>
      </c>
      <c r="R322" s="9" t="str">
        <f t="shared" ca="1" si="91"/>
        <v/>
      </c>
      <c r="T322" s="6" t="str">
        <f t="shared" si="92"/>
        <v/>
      </c>
      <c r="U322" s="6" t="str">
        <f t="shared" si="93"/>
        <v/>
      </c>
      <c r="V322" s="10" t="str">
        <f t="shared" si="94"/>
        <v/>
      </c>
      <c r="W322" s="8" t="str">
        <f t="shared" si="95"/>
        <v/>
      </c>
      <c r="X322" s="9">
        <f t="shared" si="102"/>
        <v>0</v>
      </c>
      <c r="Y322" s="9">
        <f t="shared" si="103"/>
        <v>0</v>
      </c>
    </row>
    <row r="323" spans="2:25" x14ac:dyDescent="0.3">
      <c r="B323" s="6">
        <v>286</v>
      </c>
      <c r="C323" s="79" t="str">
        <f t="shared" si="104"/>
        <v/>
      </c>
      <c r="D323" s="6" t="str">
        <f t="shared" si="84"/>
        <v/>
      </c>
      <c r="E323" s="79" t="str">
        <f t="shared" si="96"/>
        <v/>
      </c>
      <c r="F323" s="79" t="str">
        <f>IF(B322&gt;$C$18,"",IF(COUNTIF(Feriados!$A$2:$B$17,EDATE($C$38,B322))=0,EDATE($C$38,B322),EDATE($C$38,B322)+VLOOKUP(EDATE($C$38,B322),Feriados!$A$2:$B$17,2,FALSE)))</f>
        <v/>
      </c>
      <c r="G323" s="6" t="str">
        <f t="shared" si="97"/>
        <v/>
      </c>
      <c r="H323" s="6" t="str">
        <f t="shared" si="98"/>
        <v/>
      </c>
      <c r="I323" s="8" t="str">
        <f t="shared" si="99"/>
        <v/>
      </c>
      <c r="J323" s="8" t="str">
        <f t="shared" si="100"/>
        <v/>
      </c>
      <c r="K323" s="9" t="str">
        <f t="shared" si="85"/>
        <v/>
      </c>
      <c r="L323" s="9" t="str">
        <f t="shared" si="101"/>
        <v/>
      </c>
      <c r="M323" s="10" t="str">
        <f t="shared" si="86"/>
        <v/>
      </c>
      <c r="N323" s="6" t="str">
        <f t="shared" si="87"/>
        <v/>
      </c>
      <c r="O323" s="9" t="str">
        <f t="shared" si="88"/>
        <v/>
      </c>
      <c r="P323" s="9" t="str">
        <f t="shared" si="89"/>
        <v/>
      </c>
      <c r="Q323" s="9" t="str">
        <f t="shared" si="90"/>
        <v/>
      </c>
      <c r="R323" s="9" t="str">
        <f t="shared" ca="1" si="91"/>
        <v/>
      </c>
      <c r="T323" s="6" t="str">
        <f t="shared" si="92"/>
        <v/>
      </c>
      <c r="U323" s="6" t="str">
        <f t="shared" si="93"/>
        <v/>
      </c>
      <c r="V323" s="10" t="str">
        <f t="shared" si="94"/>
        <v/>
      </c>
      <c r="W323" s="8" t="str">
        <f t="shared" si="95"/>
        <v/>
      </c>
      <c r="X323" s="9">
        <f t="shared" si="102"/>
        <v>0</v>
      </c>
      <c r="Y323" s="9">
        <f t="shared" si="103"/>
        <v>0</v>
      </c>
    </row>
    <row r="324" spans="2:25" x14ac:dyDescent="0.3">
      <c r="B324" s="6">
        <v>287</v>
      </c>
      <c r="C324" s="79" t="str">
        <f t="shared" si="104"/>
        <v/>
      </c>
      <c r="D324" s="6" t="str">
        <f t="shared" si="84"/>
        <v/>
      </c>
      <c r="E324" s="79" t="str">
        <f t="shared" si="96"/>
        <v/>
      </c>
      <c r="F324" s="79" t="str">
        <f>IF(B323&gt;$C$18,"",IF(COUNTIF(Feriados!$A$2:$B$17,EDATE($C$38,B323))=0,EDATE($C$38,B323),EDATE($C$38,B323)+VLOOKUP(EDATE($C$38,B323),Feriados!$A$2:$B$17,2,FALSE)))</f>
        <v/>
      </c>
      <c r="G324" s="6" t="str">
        <f t="shared" si="97"/>
        <v/>
      </c>
      <c r="H324" s="6" t="str">
        <f t="shared" si="98"/>
        <v/>
      </c>
      <c r="I324" s="8" t="str">
        <f t="shared" si="99"/>
        <v/>
      </c>
      <c r="J324" s="8" t="str">
        <f t="shared" si="100"/>
        <v/>
      </c>
      <c r="K324" s="9" t="str">
        <f t="shared" si="85"/>
        <v/>
      </c>
      <c r="L324" s="9" t="str">
        <f t="shared" si="101"/>
        <v/>
      </c>
      <c r="M324" s="10" t="str">
        <f t="shared" si="86"/>
        <v/>
      </c>
      <c r="N324" s="6" t="str">
        <f t="shared" si="87"/>
        <v/>
      </c>
      <c r="O324" s="9" t="str">
        <f t="shared" si="88"/>
        <v/>
      </c>
      <c r="P324" s="9" t="str">
        <f t="shared" si="89"/>
        <v/>
      </c>
      <c r="Q324" s="9" t="str">
        <f t="shared" si="90"/>
        <v/>
      </c>
      <c r="R324" s="9" t="str">
        <f t="shared" ca="1" si="91"/>
        <v/>
      </c>
      <c r="T324" s="6" t="str">
        <f t="shared" si="92"/>
        <v/>
      </c>
      <c r="U324" s="6" t="str">
        <f t="shared" si="93"/>
        <v/>
      </c>
      <c r="V324" s="10" t="str">
        <f t="shared" si="94"/>
        <v/>
      </c>
      <c r="W324" s="8" t="str">
        <f t="shared" si="95"/>
        <v/>
      </c>
      <c r="X324" s="9">
        <f t="shared" si="102"/>
        <v>0</v>
      </c>
      <c r="Y324" s="9">
        <f t="shared" si="103"/>
        <v>0</v>
      </c>
    </row>
    <row r="325" spans="2:25" x14ac:dyDescent="0.3">
      <c r="B325" s="6">
        <v>288</v>
      </c>
      <c r="C325" s="79" t="str">
        <f t="shared" si="104"/>
        <v/>
      </c>
      <c r="D325" s="6" t="str">
        <f t="shared" si="84"/>
        <v/>
      </c>
      <c r="E325" s="79" t="str">
        <f t="shared" si="96"/>
        <v/>
      </c>
      <c r="F325" s="79" t="str">
        <f>IF(B324&gt;$C$18,"",IF(COUNTIF(Feriados!$A$2:$B$17,EDATE($C$38,B324))=0,EDATE($C$38,B324),EDATE($C$38,B324)+VLOOKUP(EDATE($C$38,B324),Feriados!$A$2:$B$17,2,FALSE)))</f>
        <v/>
      </c>
      <c r="G325" s="6" t="str">
        <f t="shared" si="97"/>
        <v/>
      </c>
      <c r="H325" s="6" t="str">
        <f t="shared" si="98"/>
        <v/>
      </c>
      <c r="I325" s="8" t="str">
        <f t="shared" si="99"/>
        <v/>
      </c>
      <c r="J325" s="8" t="str">
        <f t="shared" si="100"/>
        <v/>
      </c>
      <c r="K325" s="9" t="str">
        <f t="shared" si="85"/>
        <v/>
      </c>
      <c r="L325" s="9" t="str">
        <f t="shared" si="101"/>
        <v/>
      </c>
      <c r="M325" s="10" t="str">
        <f t="shared" si="86"/>
        <v/>
      </c>
      <c r="N325" s="6" t="str">
        <f t="shared" si="87"/>
        <v/>
      </c>
      <c r="O325" s="9" t="str">
        <f t="shared" si="88"/>
        <v/>
      </c>
      <c r="P325" s="9" t="str">
        <f t="shared" si="89"/>
        <v/>
      </c>
      <c r="Q325" s="9" t="str">
        <f t="shared" si="90"/>
        <v/>
      </c>
      <c r="R325" s="9" t="str">
        <f t="shared" ca="1" si="91"/>
        <v/>
      </c>
      <c r="T325" s="6" t="str">
        <f t="shared" si="92"/>
        <v/>
      </c>
      <c r="U325" s="6" t="str">
        <f t="shared" si="93"/>
        <v/>
      </c>
      <c r="V325" s="10" t="str">
        <f t="shared" si="94"/>
        <v/>
      </c>
      <c r="W325" s="8" t="str">
        <f t="shared" si="95"/>
        <v/>
      </c>
      <c r="X325" s="9">
        <f t="shared" si="102"/>
        <v>0</v>
      </c>
      <c r="Y325" s="9">
        <f t="shared" si="103"/>
        <v>0</v>
      </c>
    </row>
    <row r="326" spans="2:25" x14ac:dyDescent="0.3">
      <c r="B326" s="6">
        <v>289</v>
      </c>
      <c r="C326" s="79" t="str">
        <f t="shared" si="104"/>
        <v/>
      </c>
      <c r="D326" s="6" t="str">
        <f t="shared" si="84"/>
        <v/>
      </c>
      <c r="E326" s="79" t="str">
        <f t="shared" si="96"/>
        <v/>
      </c>
      <c r="F326" s="79" t="str">
        <f>IF(B325&gt;$C$18,"",IF(COUNTIF(Feriados!$A$2:$B$17,EDATE($C$38,B325))=0,EDATE($C$38,B325),EDATE($C$38,B325)+VLOOKUP(EDATE($C$38,B325),Feriados!$A$2:$B$17,2,FALSE)))</f>
        <v/>
      </c>
      <c r="G326" s="6" t="str">
        <f t="shared" si="97"/>
        <v/>
      </c>
      <c r="H326" s="6" t="str">
        <f t="shared" si="98"/>
        <v/>
      </c>
      <c r="I326" s="8" t="str">
        <f t="shared" si="99"/>
        <v/>
      </c>
      <c r="J326" s="8" t="str">
        <f t="shared" si="100"/>
        <v/>
      </c>
      <c r="K326" s="9" t="str">
        <f t="shared" si="85"/>
        <v/>
      </c>
      <c r="L326" s="9" t="str">
        <f t="shared" si="101"/>
        <v/>
      </c>
      <c r="M326" s="10" t="str">
        <f t="shared" si="86"/>
        <v/>
      </c>
      <c r="N326" s="6" t="str">
        <f t="shared" si="87"/>
        <v/>
      </c>
      <c r="O326" s="9" t="str">
        <f t="shared" si="88"/>
        <v/>
      </c>
      <c r="P326" s="9" t="str">
        <f t="shared" si="89"/>
        <v/>
      </c>
      <c r="Q326" s="9" t="str">
        <f t="shared" si="90"/>
        <v/>
      </c>
      <c r="R326" s="9" t="str">
        <f t="shared" ca="1" si="91"/>
        <v/>
      </c>
      <c r="T326" s="6" t="str">
        <f t="shared" si="92"/>
        <v/>
      </c>
      <c r="U326" s="6" t="str">
        <f t="shared" si="93"/>
        <v/>
      </c>
      <c r="V326" s="10" t="str">
        <f t="shared" si="94"/>
        <v/>
      </c>
      <c r="W326" s="8" t="str">
        <f t="shared" si="95"/>
        <v/>
      </c>
      <c r="X326" s="9">
        <f t="shared" si="102"/>
        <v>0</v>
      </c>
      <c r="Y326" s="9">
        <f t="shared" si="103"/>
        <v>0</v>
      </c>
    </row>
    <row r="327" spans="2:25" x14ac:dyDescent="0.3">
      <c r="B327" s="6">
        <v>290</v>
      </c>
      <c r="C327" s="79" t="str">
        <f t="shared" si="104"/>
        <v/>
      </c>
      <c r="D327" s="6" t="str">
        <f t="shared" si="84"/>
        <v/>
      </c>
      <c r="E327" s="79" t="str">
        <f t="shared" si="96"/>
        <v/>
      </c>
      <c r="F327" s="79" t="str">
        <f>IF(B326&gt;$C$18,"",IF(COUNTIF(Feriados!$A$2:$B$17,EDATE($C$38,B326))=0,EDATE($C$38,B326),EDATE($C$38,B326)+VLOOKUP(EDATE($C$38,B326),Feriados!$A$2:$B$17,2,FALSE)))</f>
        <v/>
      </c>
      <c r="G327" s="6" t="str">
        <f t="shared" si="97"/>
        <v/>
      </c>
      <c r="H327" s="6" t="str">
        <f t="shared" si="98"/>
        <v/>
      </c>
      <c r="I327" s="8" t="str">
        <f t="shared" si="99"/>
        <v/>
      </c>
      <c r="J327" s="8" t="str">
        <f t="shared" si="100"/>
        <v/>
      </c>
      <c r="K327" s="9" t="str">
        <f t="shared" si="85"/>
        <v/>
      </c>
      <c r="L327" s="9" t="str">
        <f t="shared" si="101"/>
        <v/>
      </c>
      <c r="M327" s="10" t="str">
        <f t="shared" si="86"/>
        <v/>
      </c>
      <c r="N327" s="6" t="str">
        <f t="shared" si="87"/>
        <v/>
      </c>
      <c r="O327" s="9" t="str">
        <f t="shared" si="88"/>
        <v/>
      </c>
      <c r="P327" s="9" t="str">
        <f t="shared" si="89"/>
        <v/>
      </c>
      <c r="Q327" s="9" t="str">
        <f t="shared" si="90"/>
        <v/>
      </c>
      <c r="R327" s="9" t="str">
        <f t="shared" ca="1" si="91"/>
        <v/>
      </c>
      <c r="T327" s="6" t="str">
        <f t="shared" si="92"/>
        <v/>
      </c>
      <c r="U327" s="6" t="str">
        <f t="shared" si="93"/>
        <v/>
      </c>
      <c r="V327" s="10" t="str">
        <f t="shared" si="94"/>
        <v/>
      </c>
      <c r="W327" s="8" t="str">
        <f t="shared" si="95"/>
        <v/>
      </c>
      <c r="X327" s="9">
        <f t="shared" si="102"/>
        <v>0</v>
      </c>
      <c r="Y327" s="9">
        <f t="shared" si="103"/>
        <v>0</v>
      </c>
    </row>
    <row r="328" spans="2:25" x14ac:dyDescent="0.3">
      <c r="B328" s="6">
        <v>291</v>
      </c>
      <c r="C328" s="79" t="str">
        <f t="shared" si="104"/>
        <v/>
      </c>
      <c r="D328" s="6" t="str">
        <f t="shared" si="84"/>
        <v/>
      </c>
      <c r="E328" s="79" t="str">
        <f t="shared" si="96"/>
        <v/>
      </c>
      <c r="F328" s="79" t="str">
        <f>IF(B327&gt;$C$18,"",IF(COUNTIF(Feriados!$A$2:$B$17,EDATE($C$38,B327))=0,EDATE($C$38,B327),EDATE($C$38,B327)+VLOOKUP(EDATE($C$38,B327),Feriados!$A$2:$B$17,2,FALSE)))</f>
        <v/>
      </c>
      <c r="G328" s="6" t="str">
        <f t="shared" si="97"/>
        <v/>
      </c>
      <c r="H328" s="6" t="str">
        <f t="shared" si="98"/>
        <v/>
      </c>
      <c r="I328" s="8" t="str">
        <f t="shared" si="99"/>
        <v/>
      </c>
      <c r="J328" s="8" t="str">
        <f t="shared" si="100"/>
        <v/>
      </c>
      <c r="K328" s="9" t="str">
        <f t="shared" si="85"/>
        <v/>
      </c>
      <c r="L328" s="9" t="str">
        <f t="shared" si="101"/>
        <v/>
      </c>
      <c r="M328" s="10" t="str">
        <f t="shared" si="86"/>
        <v/>
      </c>
      <c r="N328" s="6" t="str">
        <f t="shared" si="87"/>
        <v/>
      </c>
      <c r="O328" s="9" t="str">
        <f t="shared" si="88"/>
        <v/>
      </c>
      <c r="P328" s="9" t="str">
        <f t="shared" si="89"/>
        <v/>
      </c>
      <c r="Q328" s="9" t="str">
        <f t="shared" si="90"/>
        <v/>
      </c>
      <c r="R328" s="9" t="str">
        <f t="shared" ca="1" si="91"/>
        <v/>
      </c>
      <c r="T328" s="6" t="str">
        <f t="shared" si="92"/>
        <v/>
      </c>
      <c r="U328" s="6" t="str">
        <f t="shared" si="93"/>
        <v/>
      </c>
      <c r="V328" s="10" t="str">
        <f t="shared" si="94"/>
        <v/>
      </c>
      <c r="W328" s="8" t="str">
        <f t="shared" si="95"/>
        <v/>
      </c>
      <c r="X328" s="9">
        <f t="shared" si="102"/>
        <v>0</v>
      </c>
      <c r="Y328" s="9">
        <f t="shared" si="103"/>
        <v>0</v>
      </c>
    </row>
    <row r="329" spans="2:25" x14ac:dyDescent="0.3">
      <c r="B329" s="6">
        <v>292</v>
      </c>
      <c r="C329" s="79" t="str">
        <f t="shared" si="104"/>
        <v/>
      </c>
      <c r="D329" s="6" t="str">
        <f t="shared" si="84"/>
        <v/>
      </c>
      <c r="E329" s="79" t="str">
        <f t="shared" si="96"/>
        <v/>
      </c>
      <c r="F329" s="79" t="str">
        <f>IF(B328&gt;$C$18,"",IF(COUNTIF(Feriados!$A$2:$B$17,EDATE($C$38,B328))=0,EDATE($C$38,B328),EDATE($C$38,B328)+VLOOKUP(EDATE($C$38,B328),Feriados!$A$2:$B$17,2,FALSE)))</f>
        <v/>
      </c>
      <c r="G329" s="6" t="str">
        <f t="shared" si="97"/>
        <v/>
      </c>
      <c r="H329" s="6" t="str">
        <f t="shared" si="98"/>
        <v/>
      </c>
      <c r="I329" s="8" t="str">
        <f t="shared" si="99"/>
        <v/>
      </c>
      <c r="J329" s="8" t="str">
        <f t="shared" si="100"/>
        <v/>
      </c>
      <c r="K329" s="9" t="str">
        <f t="shared" si="85"/>
        <v/>
      </c>
      <c r="L329" s="9" t="str">
        <f t="shared" si="101"/>
        <v/>
      </c>
      <c r="M329" s="10" t="str">
        <f t="shared" si="86"/>
        <v/>
      </c>
      <c r="N329" s="6" t="str">
        <f t="shared" si="87"/>
        <v/>
      </c>
      <c r="O329" s="9" t="str">
        <f t="shared" si="88"/>
        <v/>
      </c>
      <c r="P329" s="9" t="str">
        <f t="shared" si="89"/>
        <v/>
      </c>
      <c r="Q329" s="9" t="str">
        <f t="shared" si="90"/>
        <v/>
      </c>
      <c r="R329" s="9" t="str">
        <f t="shared" ca="1" si="91"/>
        <v/>
      </c>
      <c r="T329" s="6" t="str">
        <f t="shared" si="92"/>
        <v/>
      </c>
      <c r="U329" s="6" t="str">
        <f t="shared" si="93"/>
        <v/>
      </c>
      <c r="V329" s="10" t="str">
        <f t="shared" si="94"/>
        <v/>
      </c>
      <c r="W329" s="8" t="str">
        <f t="shared" si="95"/>
        <v/>
      </c>
      <c r="X329" s="9">
        <f t="shared" si="102"/>
        <v>0</v>
      </c>
      <c r="Y329" s="9">
        <f t="shared" si="103"/>
        <v>0</v>
      </c>
    </row>
    <row r="330" spans="2:25" x14ac:dyDescent="0.3">
      <c r="B330" s="6">
        <v>293</v>
      </c>
      <c r="C330" s="79" t="str">
        <f t="shared" si="104"/>
        <v/>
      </c>
      <c r="D330" s="6" t="str">
        <f t="shared" si="84"/>
        <v/>
      </c>
      <c r="E330" s="79" t="str">
        <f t="shared" si="96"/>
        <v/>
      </c>
      <c r="F330" s="79" t="str">
        <f>IF(B329&gt;$C$18,"",IF(COUNTIF(Feriados!$A$2:$B$17,EDATE($C$38,B329))=0,EDATE($C$38,B329),EDATE($C$38,B329)+VLOOKUP(EDATE($C$38,B329),Feriados!$A$2:$B$17,2,FALSE)))</f>
        <v/>
      </c>
      <c r="G330" s="6" t="str">
        <f t="shared" si="97"/>
        <v/>
      </c>
      <c r="H330" s="6" t="str">
        <f t="shared" si="98"/>
        <v/>
      </c>
      <c r="I330" s="8" t="str">
        <f t="shared" si="99"/>
        <v/>
      </c>
      <c r="J330" s="8" t="str">
        <f t="shared" si="100"/>
        <v/>
      </c>
      <c r="K330" s="9" t="str">
        <f t="shared" si="85"/>
        <v/>
      </c>
      <c r="L330" s="9" t="str">
        <f t="shared" si="101"/>
        <v/>
      </c>
      <c r="M330" s="10" t="str">
        <f t="shared" si="86"/>
        <v/>
      </c>
      <c r="N330" s="6" t="str">
        <f t="shared" si="87"/>
        <v/>
      </c>
      <c r="O330" s="9" t="str">
        <f t="shared" si="88"/>
        <v/>
      </c>
      <c r="P330" s="9" t="str">
        <f t="shared" si="89"/>
        <v/>
      </c>
      <c r="Q330" s="9" t="str">
        <f t="shared" si="90"/>
        <v/>
      </c>
      <c r="R330" s="9" t="str">
        <f t="shared" ca="1" si="91"/>
        <v/>
      </c>
      <c r="T330" s="6" t="str">
        <f t="shared" si="92"/>
        <v/>
      </c>
      <c r="U330" s="6" t="str">
        <f t="shared" si="93"/>
        <v/>
      </c>
      <c r="V330" s="10" t="str">
        <f t="shared" si="94"/>
        <v/>
      </c>
      <c r="W330" s="8" t="str">
        <f t="shared" si="95"/>
        <v/>
      </c>
      <c r="X330" s="9">
        <f t="shared" si="102"/>
        <v>0</v>
      </c>
      <c r="Y330" s="9">
        <f t="shared" si="103"/>
        <v>0</v>
      </c>
    </row>
    <row r="331" spans="2:25" x14ac:dyDescent="0.3">
      <c r="B331" s="6">
        <v>294</v>
      </c>
      <c r="C331" s="79" t="str">
        <f t="shared" si="104"/>
        <v/>
      </c>
      <c r="D331" s="6" t="str">
        <f t="shared" si="84"/>
        <v/>
      </c>
      <c r="E331" s="79" t="str">
        <f t="shared" si="96"/>
        <v/>
      </c>
      <c r="F331" s="79" t="str">
        <f>IF(B330&gt;$C$18,"",IF(COUNTIF(Feriados!$A$2:$B$17,EDATE($C$38,B330))=0,EDATE($C$38,B330),EDATE($C$38,B330)+VLOOKUP(EDATE($C$38,B330),Feriados!$A$2:$B$17,2,FALSE)))</f>
        <v/>
      </c>
      <c r="G331" s="6" t="str">
        <f t="shared" si="97"/>
        <v/>
      </c>
      <c r="H331" s="6" t="str">
        <f t="shared" si="98"/>
        <v/>
      </c>
      <c r="I331" s="8" t="str">
        <f t="shared" si="99"/>
        <v/>
      </c>
      <c r="J331" s="8" t="str">
        <f t="shared" si="100"/>
        <v/>
      </c>
      <c r="K331" s="9" t="str">
        <f t="shared" si="85"/>
        <v/>
      </c>
      <c r="L331" s="9" t="str">
        <f t="shared" si="101"/>
        <v/>
      </c>
      <c r="M331" s="10" t="str">
        <f t="shared" si="86"/>
        <v/>
      </c>
      <c r="N331" s="6" t="str">
        <f t="shared" si="87"/>
        <v/>
      </c>
      <c r="O331" s="9" t="str">
        <f t="shared" si="88"/>
        <v/>
      </c>
      <c r="P331" s="9" t="str">
        <f t="shared" si="89"/>
        <v/>
      </c>
      <c r="Q331" s="9" t="str">
        <f t="shared" si="90"/>
        <v/>
      </c>
      <c r="R331" s="9" t="str">
        <f t="shared" ca="1" si="91"/>
        <v/>
      </c>
      <c r="T331" s="6" t="str">
        <f t="shared" si="92"/>
        <v/>
      </c>
      <c r="U331" s="6" t="str">
        <f t="shared" si="93"/>
        <v/>
      </c>
      <c r="V331" s="10" t="str">
        <f t="shared" si="94"/>
        <v/>
      </c>
      <c r="W331" s="8" t="str">
        <f t="shared" si="95"/>
        <v/>
      </c>
      <c r="X331" s="9">
        <f t="shared" si="102"/>
        <v>0</v>
      </c>
      <c r="Y331" s="9">
        <f t="shared" si="103"/>
        <v>0</v>
      </c>
    </row>
    <row r="332" spans="2:25" x14ac:dyDescent="0.3">
      <c r="B332" s="6">
        <v>295</v>
      </c>
      <c r="C332" s="79" t="str">
        <f t="shared" si="104"/>
        <v/>
      </c>
      <c r="D332" s="6" t="str">
        <f t="shared" si="84"/>
        <v/>
      </c>
      <c r="E332" s="79" t="str">
        <f t="shared" si="96"/>
        <v/>
      </c>
      <c r="F332" s="79" t="str">
        <f>IF(B331&gt;$C$18,"",IF(COUNTIF(Feriados!$A$2:$B$17,EDATE($C$38,B331))=0,EDATE($C$38,B331),EDATE($C$38,B331)+VLOOKUP(EDATE($C$38,B331),Feriados!$A$2:$B$17,2,FALSE)))</f>
        <v/>
      </c>
      <c r="G332" s="6" t="str">
        <f t="shared" si="97"/>
        <v/>
      </c>
      <c r="H332" s="6" t="str">
        <f t="shared" si="98"/>
        <v/>
      </c>
      <c r="I332" s="8" t="str">
        <f t="shared" si="99"/>
        <v/>
      </c>
      <c r="J332" s="8" t="str">
        <f t="shared" si="100"/>
        <v/>
      </c>
      <c r="K332" s="9" t="str">
        <f t="shared" si="85"/>
        <v/>
      </c>
      <c r="L332" s="9" t="str">
        <f t="shared" si="101"/>
        <v/>
      </c>
      <c r="M332" s="10" t="str">
        <f t="shared" si="86"/>
        <v/>
      </c>
      <c r="N332" s="6" t="str">
        <f t="shared" si="87"/>
        <v/>
      </c>
      <c r="O332" s="9" t="str">
        <f t="shared" si="88"/>
        <v/>
      </c>
      <c r="P332" s="9" t="str">
        <f t="shared" si="89"/>
        <v/>
      </c>
      <c r="Q332" s="9" t="str">
        <f t="shared" si="90"/>
        <v/>
      </c>
      <c r="R332" s="9" t="str">
        <f t="shared" ca="1" si="91"/>
        <v/>
      </c>
      <c r="T332" s="6" t="str">
        <f t="shared" si="92"/>
        <v/>
      </c>
      <c r="U332" s="6" t="str">
        <f t="shared" si="93"/>
        <v/>
      </c>
      <c r="V332" s="10" t="str">
        <f t="shared" si="94"/>
        <v/>
      </c>
      <c r="W332" s="8" t="str">
        <f t="shared" si="95"/>
        <v/>
      </c>
      <c r="X332" s="9">
        <f t="shared" si="102"/>
        <v>0</v>
      </c>
      <c r="Y332" s="9">
        <f t="shared" si="103"/>
        <v>0</v>
      </c>
    </row>
    <row r="333" spans="2:25" x14ac:dyDescent="0.3">
      <c r="B333" s="6">
        <v>296</v>
      </c>
      <c r="C333" s="79" t="str">
        <f t="shared" si="104"/>
        <v/>
      </c>
      <c r="D333" s="6" t="str">
        <f t="shared" si="84"/>
        <v/>
      </c>
      <c r="E333" s="79" t="str">
        <f t="shared" si="96"/>
        <v/>
      </c>
      <c r="F333" s="79" t="str">
        <f>IF(B332&gt;$C$18,"",IF(COUNTIF(Feriados!$A$2:$B$17,EDATE($C$38,B332))=0,EDATE($C$38,B332),EDATE($C$38,B332)+VLOOKUP(EDATE($C$38,B332),Feriados!$A$2:$B$17,2,FALSE)))</f>
        <v/>
      </c>
      <c r="G333" s="6" t="str">
        <f t="shared" si="97"/>
        <v/>
      </c>
      <c r="H333" s="6" t="str">
        <f t="shared" si="98"/>
        <v/>
      </c>
      <c r="I333" s="8" t="str">
        <f t="shared" si="99"/>
        <v/>
      </c>
      <c r="J333" s="8" t="str">
        <f t="shared" si="100"/>
        <v/>
      </c>
      <c r="K333" s="9" t="str">
        <f t="shared" si="85"/>
        <v/>
      </c>
      <c r="L333" s="9" t="str">
        <f t="shared" si="101"/>
        <v/>
      </c>
      <c r="M333" s="10" t="str">
        <f t="shared" si="86"/>
        <v/>
      </c>
      <c r="N333" s="6" t="str">
        <f t="shared" si="87"/>
        <v/>
      </c>
      <c r="O333" s="9" t="str">
        <f t="shared" si="88"/>
        <v/>
      </c>
      <c r="P333" s="9" t="str">
        <f t="shared" si="89"/>
        <v/>
      </c>
      <c r="Q333" s="9" t="str">
        <f t="shared" si="90"/>
        <v/>
      </c>
      <c r="R333" s="9" t="str">
        <f t="shared" ca="1" si="91"/>
        <v/>
      </c>
      <c r="T333" s="6" t="str">
        <f t="shared" si="92"/>
        <v/>
      </c>
      <c r="U333" s="6" t="str">
        <f t="shared" si="93"/>
        <v/>
      </c>
      <c r="V333" s="10" t="str">
        <f t="shared" si="94"/>
        <v/>
      </c>
      <c r="W333" s="8" t="str">
        <f t="shared" si="95"/>
        <v/>
      </c>
      <c r="X333" s="9">
        <f t="shared" si="102"/>
        <v>0</v>
      </c>
      <c r="Y333" s="9">
        <f t="shared" si="103"/>
        <v>0</v>
      </c>
    </row>
    <row r="334" spans="2:25" x14ac:dyDescent="0.3">
      <c r="B334" s="6">
        <v>297</v>
      </c>
      <c r="C334" s="79" t="str">
        <f t="shared" si="104"/>
        <v/>
      </c>
      <c r="D334" s="6" t="str">
        <f t="shared" si="84"/>
        <v/>
      </c>
      <c r="E334" s="79" t="str">
        <f t="shared" si="96"/>
        <v/>
      </c>
      <c r="F334" s="79" t="str">
        <f>IF(B333&gt;$C$18,"",IF(COUNTIF(Feriados!$A$2:$B$17,EDATE($C$38,B333))=0,EDATE($C$38,B333),EDATE($C$38,B333)+VLOOKUP(EDATE($C$38,B333),Feriados!$A$2:$B$17,2,FALSE)))</f>
        <v/>
      </c>
      <c r="G334" s="6" t="str">
        <f t="shared" si="97"/>
        <v/>
      </c>
      <c r="H334" s="6" t="str">
        <f t="shared" si="98"/>
        <v/>
      </c>
      <c r="I334" s="8" t="str">
        <f t="shared" si="99"/>
        <v/>
      </c>
      <c r="J334" s="8" t="str">
        <f t="shared" si="100"/>
        <v/>
      </c>
      <c r="K334" s="9" t="str">
        <f t="shared" si="85"/>
        <v/>
      </c>
      <c r="L334" s="9" t="str">
        <f t="shared" si="101"/>
        <v/>
      </c>
      <c r="M334" s="10" t="str">
        <f t="shared" si="86"/>
        <v/>
      </c>
      <c r="N334" s="6" t="str">
        <f t="shared" si="87"/>
        <v/>
      </c>
      <c r="O334" s="9" t="str">
        <f t="shared" si="88"/>
        <v/>
      </c>
      <c r="P334" s="9" t="str">
        <f t="shared" si="89"/>
        <v/>
      </c>
      <c r="Q334" s="9" t="str">
        <f t="shared" si="90"/>
        <v/>
      </c>
      <c r="R334" s="9" t="str">
        <f t="shared" ca="1" si="91"/>
        <v/>
      </c>
      <c r="T334" s="6" t="str">
        <f t="shared" si="92"/>
        <v/>
      </c>
      <c r="U334" s="6" t="str">
        <f t="shared" si="93"/>
        <v/>
      </c>
      <c r="V334" s="10" t="str">
        <f t="shared" si="94"/>
        <v/>
      </c>
      <c r="W334" s="8" t="str">
        <f t="shared" si="95"/>
        <v/>
      </c>
      <c r="X334" s="9">
        <f t="shared" si="102"/>
        <v>0</v>
      </c>
      <c r="Y334" s="9">
        <f t="shared" si="103"/>
        <v>0</v>
      </c>
    </row>
    <row r="335" spans="2:25" x14ac:dyDescent="0.3">
      <c r="B335" s="6">
        <v>298</v>
      </c>
      <c r="C335" s="79" t="str">
        <f t="shared" si="104"/>
        <v/>
      </c>
      <c r="D335" s="6" t="str">
        <f t="shared" si="84"/>
        <v/>
      </c>
      <c r="E335" s="79" t="str">
        <f t="shared" si="96"/>
        <v/>
      </c>
      <c r="F335" s="79" t="str">
        <f>IF(B334&gt;$C$18,"",IF(COUNTIF(Feriados!$A$2:$B$17,EDATE($C$38,B334))=0,EDATE($C$38,B334),EDATE($C$38,B334)+VLOOKUP(EDATE($C$38,B334),Feriados!$A$2:$B$17,2,FALSE)))</f>
        <v/>
      </c>
      <c r="G335" s="6" t="str">
        <f t="shared" si="97"/>
        <v/>
      </c>
      <c r="H335" s="6" t="str">
        <f t="shared" si="98"/>
        <v/>
      </c>
      <c r="I335" s="8" t="str">
        <f t="shared" si="99"/>
        <v/>
      </c>
      <c r="J335" s="8" t="str">
        <f t="shared" si="100"/>
        <v/>
      </c>
      <c r="K335" s="9" t="str">
        <f t="shared" si="85"/>
        <v/>
      </c>
      <c r="L335" s="9" t="str">
        <f t="shared" si="101"/>
        <v/>
      </c>
      <c r="M335" s="10" t="str">
        <f t="shared" si="86"/>
        <v/>
      </c>
      <c r="N335" s="6" t="str">
        <f t="shared" si="87"/>
        <v/>
      </c>
      <c r="O335" s="9" t="str">
        <f t="shared" si="88"/>
        <v/>
      </c>
      <c r="P335" s="9" t="str">
        <f t="shared" si="89"/>
        <v/>
      </c>
      <c r="Q335" s="9" t="str">
        <f t="shared" si="90"/>
        <v/>
      </c>
      <c r="R335" s="9" t="str">
        <f t="shared" ca="1" si="91"/>
        <v/>
      </c>
      <c r="T335" s="6" t="str">
        <f t="shared" si="92"/>
        <v/>
      </c>
      <c r="U335" s="6" t="str">
        <f t="shared" si="93"/>
        <v/>
      </c>
      <c r="V335" s="10" t="str">
        <f t="shared" si="94"/>
        <v/>
      </c>
      <c r="W335" s="8" t="str">
        <f t="shared" si="95"/>
        <v/>
      </c>
      <c r="X335" s="9">
        <f t="shared" si="102"/>
        <v>0</v>
      </c>
      <c r="Y335" s="9">
        <f t="shared" si="103"/>
        <v>0</v>
      </c>
    </row>
    <row r="336" spans="2:25" x14ac:dyDescent="0.3">
      <c r="B336" s="6">
        <v>299</v>
      </c>
      <c r="C336" s="79" t="str">
        <f t="shared" si="104"/>
        <v/>
      </c>
      <c r="D336" s="6" t="str">
        <f t="shared" si="84"/>
        <v/>
      </c>
      <c r="E336" s="79" t="str">
        <f t="shared" si="96"/>
        <v/>
      </c>
      <c r="F336" s="79" t="str">
        <f>IF(B335&gt;$C$18,"",IF(COUNTIF(Feriados!$A$2:$B$17,EDATE($C$38,B335))=0,EDATE($C$38,B335),EDATE($C$38,B335)+VLOOKUP(EDATE($C$38,B335),Feriados!$A$2:$B$17,2,FALSE)))</f>
        <v/>
      </c>
      <c r="G336" s="6" t="str">
        <f t="shared" si="97"/>
        <v/>
      </c>
      <c r="H336" s="6" t="str">
        <f t="shared" si="98"/>
        <v/>
      </c>
      <c r="I336" s="8" t="str">
        <f t="shared" si="99"/>
        <v/>
      </c>
      <c r="J336" s="8" t="str">
        <f t="shared" si="100"/>
        <v/>
      </c>
      <c r="K336" s="9" t="str">
        <f t="shared" si="85"/>
        <v/>
      </c>
      <c r="L336" s="9" t="str">
        <f t="shared" si="101"/>
        <v/>
      </c>
      <c r="M336" s="10" t="str">
        <f t="shared" si="86"/>
        <v/>
      </c>
      <c r="N336" s="6" t="str">
        <f t="shared" si="87"/>
        <v/>
      </c>
      <c r="O336" s="9" t="str">
        <f t="shared" si="88"/>
        <v/>
      </c>
      <c r="P336" s="9" t="str">
        <f t="shared" si="89"/>
        <v/>
      </c>
      <c r="Q336" s="9" t="str">
        <f t="shared" si="90"/>
        <v/>
      </c>
      <c r="R336" s="9" t="str">
        <f t="shared" ca="1" si="91"/>
        <v/>
      </c>
      <c r="T336" s="6" t="str">
        <f t="shared" si="92"/>
        <v/>
      </c>
      <c r="U336" s="6" t="str">
        <f t="shared" si="93"/>
        <v/>
      </c>
      <c r="V336" s="10" t="str">
        <f t="shared" si="94"/>
        <v/>
      </c>
      <c r="W336" s="8" t="str">
        <f t="shared" si="95"/>
        <v/>
      </c>
      <c r="X336" s="9">
        <f t="shared" si="102"/>
        <v>0</v>
      </c>
      <c r="Y336" s="9">
        <f t="shared" si="103"/>
        <v>0</v>
      </c>
    </row>
    <row r="337" spans="2:25" x14ac:dyDescent="0.3">
      <c r="B337" s="6">
        <v>300</v>
      </c>
      <c r="C337" s="79" t="str">
        <f t="shared" si="104"/>
        <v/>
      </c>
      <c r="D337" s="6" t="str">
        <f t="shared" si="84"/>
        <v/>
      </c>
      <c r="E337" s="79" t="str">
        <f t="shared" si="96"/>
        <v/>
      </c>
      <c r="F337" s="79" t="str">
        <f>IF(B336&gt;$C$18,"",IF(COUNTIF(Feriados!$A$2:$B$17,EDATE($C$38,B336))=0,EDATE($C$38,B336),EDATE($C$38,B336)+VLOOKUP(EDATE($C$38,B336),Feriados!$A$2:$B$17,2,FALSE)))</f>
        <v/>
      </c>
      <c r="G337" s="6" t="str">
        <f t="shared" si="97"/>
        <v/>
      </c>
      <c r="H337" s="6" t="str">
        <f t="shared" si="98"/>
        <v/>
      </c>
      <c r="I337" s="8" t="str">
        <f t="shared" si="99"/>
        <v/>
      </c>
      <c r="J337" s="8" t="str">
        <f t="shared" si="100"/>
        <v/>
      </c>
      <c r="K337" s="9" t="str">
        <f t="shared" si="85"/>
        <v/>
      </c>
      <c r="L337" s="9" t="str">
        <f t="shared" si="101"/>
        <v/>
      </c>
      <c r="M337" s="10" t="str">
        <f t="shared" si="86"/>
        <v/>
      </c>
      <c r="N337" s="6" t="str">
        <f t="shared" si="87"/>
        <v/>
      </c>
      <c r="O337" s="9" t="str">
        <f t="shared" si="88"/>
        <v/>
      </c>
      <c r="P337" s="9" t="str">
        <f t="shared" si="89"/>
        <v/>
      </c>
      <c r="Q337" s="9" t="str">
        <f t="shared" si="90"/>
        <v/>
      </c>
      <c r="R337" s="9" t="str">
        <f t="shared" ca="1" si="91"/>
        <v/>
      </c>
      <c r="T337" s="6" t="str">
        <f t="shared" si="92"/>
        <v/>
      </c>
      <c r="U337" s="6" t="str">
        <f t="shared" si="93"/>
        <v/>
      </c>
      <c r="V337" s="10" t="str">
        <f t="shared" si="94"/>
        <v/>
      </c>
      <c r="W337" s="8" t="str">
        <f t="shared" si="95"/>
        <v/>
      </c>
      <c r="X337" s="9">
        <f t="shared" si="102"/>
        <v>0</v>
      </c>
      <c r="Y337" s="9">
        <f t="shared" si="103"/>
        <v>0</v>
      </c>
    </row>
    <row r="338" spans="2:25" x14ac:dyDescent="0.3">
      <c r="B338" s="6">
        <v>301</v>
      </c>
      <c r="C338" s="79" t="str">
        <f t="shared" si="104"/>
        <v/>
      </c>
      <c r="D338" s="6" t="str">
        <f t="shared" si="84"/>
        <v/>
      </c>
      <c r="E338" s="79" t="str">
        <f t="shared" si="96"/>
        <v/>
      </c>
      <c r="F338" s="79" t="str">
        <f>IF(B337&gt;$C$18,"",IF(COUNTIF(Feriados!$A$2:$B$17,EDATE($C$38,B337))=0,EDATE($C$38,B337),EDATE($C$38,B337)+VLOOKUP(EDATE($C$38,B337),Feriados!$A$2:$B$17,2,FALSE)))</f>
        <v/>
      </c>
      <c r="G338" s="6" t="str">
        <f t="shared" si="97"/>
        <v/>
      </c>
      <c r="H338" s="6" t="str">
        <f t="shared" si="98"/>
        <v/>
      </c>
      <c r="I338" s="8" t="str">
        <f t="shared" si="99"/>
        <v/>
      </c>
      <c r="J338" s="8" t="str">
        <f t="shared" si="100"/>
        <v/>
      </c>
      <c r="K338" s="9" t="str">
        <f t="shared" si="85"/>
        <v/>
      </c>
      <c r="L338" s="9" t="str">
        <f t="shared" si="101"/>
        <v/>
      </c>
      <c r="M338" s="10" t="str">
        <f t="shared" si="86"/>
        <v/>
      </c>
      <c r="N338" s="6" t="str">
        <f t="shared" si="87"/>
        <v/>
      </c>
      <c r="O338" s="9" t="str">
        <f t="shared" si="88"/>
        <v/>
      </c>
      <c r="P338" s="9" t="str">
        <f t="shared" si="89"/>
        <v/>
      </c>
      <c r="Q338" s="9" t="str">
        <f t="shared" si="90"/>
        <v/>
      </c>
      <c r="R338" s="9" t="str">
        <f t="shared" ca="1" si="91"/>
        <v/>
      </c>
      <c r="T338" s="6" t="str">
        <f t="shared" si="92"/>
        <v/>
      </c>
      <c r="U338" s="6" t="str">
        <f t="shared" si="93"/>
        <v/>
      </c>
      <c r="V338" s="10" t="str">
        <f t="shared" si="94"/>
        <v/>
      </c>
      <c r="W338" s="8" t="str">
        <f t="shared" si="95"/>
        <v/>
      </c>
      <c r="X338" s="9">
        <f t="shared" si="102"/>
        <v>0</v>
      </c>
      <c r="Y338" s="9">
        <f t="shared" si="103"/>
        <v>0</v>
      </c>
    </row>
    <row r="339" spans="2:25" x14ac:dyDescent="0.3">
      <c r="B339" s="6">
        <v>302</v>
      </c>
      <c r="C339" s="79" t="str">
        <f t="shared" si="104"/>
        <v/>
      </c>
      <c r="D339" s="6" t="str">
        <f t="shared" si="84"/>
        <v/>
      </c>
      <c r="E339" s="79" t="str">
        <f t="shared" si="96"/>
        <v/>
      </c>
      <c r="F339" s="79" t="str">
        <f>IF(B338&gt;$C$18,"",IF(COUNTIF(Feriados!$A$2:$B$17,EDATE($C$38,B338))=0,EDATE($C$38,B338),EDATE($C$38,B338)+VLOOKUP(EDATE($C$38,B338),Feriados!$A$2:$B$17,2,FALSE)))</f>
        <v/>
      </c>
      <c r="G339" s="6" t="str">
        <f t="shared" si="97"/>
        <v/>
      </c>
      <c r="H339" s="6" t="str">
        <f t="shared" si="98"/>
        <v/>
      </c>
      <c r="I339" s="8" t="str">
        <f t="shared" si="99"/>
        <v/>
      </c>
      <c r="J339" s="8" t="str">
        <f t="shared" si="100"/>
        <v/>
      </c>
      <c r="K339" s="9" t="str">
        <f t="shared" si="85"/>
        <v/>
      </c>
      <c r="L339" s="9" t="str">
        <f t="shared" si="101"/>
        <v/>
      </c>
      <c r="M339" s="10" t="str">
        <f t="shared" si="86"/>
        <v/>
      </c>
      <c r="N339" s="6" t="str">
        <f t="shared" si="87"/>
        <v/>
      </c>
      <c r="O339" s="9" t="str">
        <f t="shared" si="88"/>
        <v/>
      </c>
      <c r="P339" s="9" t="str">
        <f t="shared" si="89"/>
        <v/>
      </c>
      <c r="Q339" s="9" t="str">
        <f t="shared" si="90"/>
        <v/>
      </c>
      <c r="R339" s="9" t="str">
        <f t="shared" ca="1" si="91"/>
        <v/>
      </c>
      <c r="T339" s="6" t="str">
        <f t="shared" si="92"/>
        <v/>
      </c>
      <c r="U339" s="6" t="str">
        <f t="shared" si="93"/>
        <v/>
      </c>
      <c r="V339" s="10" t="str">
        <f t="shared" si="94"/>
        <v/>
      </c>
      <c r="W339" s="8" t="str">
        <f t="shared" si="95"/>
        <v/>
      </c>
      <c r="X339" s="9">
        <f t="shared" si="102"/>
        <v>0</v>
      </c>
      <c r="Y339" s="9">
        <f t="shared" si="103"/>
        <v>0</v>
      </c>
    </row>
    <row r="340" spans="2:25" x14ac:dyDescent="0.3">
      <c r="B340" s="6">
        <v>303</v>
      </c>
      <c r="C340" s="79" t="str">
        <f t="shared" si="104"/>
        <v/>
      </c>
      <c r="D340" s="6" t="str">
        <f t="shared" si="84"/>
        <v/>
      </c>
      <c r="E340" s="79" t="str">
        <f t="shared" si="96"/>
        <v/>
      </c>
      <c r="F340" s="79" t="str">
        <f>IF(B339&gt;$C$18,"",IF(COUNTIF(Feriados!$A$2:$B$17,EDATE($C$38,B339))=0,EDATE($C$38,B339),EDATE($C$38,B339)+VLOOKUP(EDATE($C$38,B339),Feriados!$A$2:$B$17,2,FALSE)))</f>
        <v/>
      </c>
      <c r="G340" s="6" t="str">
        <f t="shared" si="97"/>
        <v/>
      </c>
      <c r="H340" s="6" t="str">
        <f t="shared" si="98"/>
        <v/>
      </c>
      <c r="I340" s="8" t="str">
        <f t="shared" si="99"/>
        <v/>
      </c>
      <c r="J340" s="8" t="str">
        <f t="shared" si="100"/>
        <v/>
      </c>
      <c r="K340" s="9" t="str">
        <f t="shared" si="85"/>
        <v/>
      </c>
      <c r="L340" s="9" t="str">
        <f t="shared" si="101"/>
        <v/>
      </c>
      <c r="M340" s="10" t="str">
        <f t="shared" si="86"/>
        <v/>
      </c>
      <c r="N340" s="6" t="str">
        <f t="shared" si="87"/>
        <v/>
      </c>
      <c r="O340" s="9" t="str">
        <f t="shared" si="88"/>
        <v/>
      </c>
      <c r="P340" s="9" t="str">
        <f t="shared" si="89"/>
        <v/>
      </c>
      <c r="Q340" s="9" t="str">
        <f t="shared" si="90"/>
        <v/>
      </c>
      <c r="R340" s="9" t="str">
        <f t="shared" ca="1" si="91"/>
        <v/>
      </c>
      <c r="T340" s="6" t="str">
        <f t="shared" si="92"/>
        <v/>
      </c>
      <c r="U340" s="6" t="str">
        <f t="shared" si="93"/>
        <v/>
      </c>
      <c r="V340" s="10" t="str">
        <f t="shared" si="94"/>
        <v/>
      </c>
      <c r="W340" s="8" t="str">
        <f t="shared" si="95"/>
        <v/>
      </c>
      <c r="X340" s="9">
        <f t="shared" si="102"/>
        <v>0</v>
      </c>
      <c r="Y340" s="9">
        <f t="shared" si="103"/>
        <v>0</v>
      </c>
    </row>
    <row r="341" spans="2:25" x14ac:dyDescent="0.3">
      <c r="B341" s="6">
        <v>304</v>
      </c>
      <c r="C341" s="79" t="str">
        <f t="shared" si="104"/>
        <v/>
      </c>
      <c r="D341" s="6" t="str">
        <f t="shared" si="84"/>
        <v/>
      </c>
      <c r="E341" s="79" t="str">
        <f t="shared" si="96"/>
        <v/>
      </c>
      <c r="F341" s="79" t="str">
        <f>IF(B340&gt;$C$18,"",IF(COUNTIF(Feriados!$A$2:$B$17,EDATE($C$38,B340))=0,EDATE($C$38,B340),EDATE($C$38,B340)+VLOOKUP(EDATE($C$38,B340),Feriados!$A$2:$B$17,2,FALSE)))</f>
        <v/>
      </c>
      <c r="G341" s="6" t="str">
        <f t="shared" si="97"/>
        <v/>
      </c>
      <c r="H341" s="6" t="str">
        <f t="shared" si="98"/>
        <v/>
      </c>
      <c r="I341" s="8" t="str">
        <f t="shared" si="99"/>
        <v/>
      </c>
      <c r="J341" s="8" t="str">
        <f t="shared" si="100"/>
        <v/>
      </c>
      <c r="K341" s="9" t="str">
        <f t="shared" si="85"/>
        <v/>
      </c>
      <c r="L341" s="9" t="str">
        <f t="shared" si="101"/>
        <v/>
      </c>
      <c r="M341" s="10" t="str">
        <f t="shared" si="86"/>
        <v/>
      </c>
      <c r="N341" s="6" t="str">
        <f t="shared" si="87"/>
        <v/>
      </c>
      <c r="O341" s="9" t="str">
        <f t="shared" si="88"/>
        <v/>
      </c>
      <c r="P341" s="9" t="str">
        <f t="shared" si="89"/>
        <v/>
      </c>
      <c r="Q341" s="9" t="str">
        <f t="shared" si="90"/>
        <v/>
      </c>
      <c r="R341" s="9" t="str">
        <f t="shared" ca="1" si="91"/>
        <v/>
      </c>
      <c r="T341" s="6" t="str">
        <f t="shared" si="92"/>
        <v/>
      </c>
      <c r="U341" s="6" t="str">
        <f t="shared" si="93"/>
        <v/>
      </c>
      <c r="V341" s="10" t="str">
        <f t="shared" si="94"/>
        <v/>
      </c>
      <c r="W341" s="8" t="str">
        <f t="shared" si="95"/>
        <v/>
      </c>
      <c r="X341" s="9">
        <f t="shared" si="102"/>
        <v>0</v>
      </c>
      <c r="Y341" s="9">
        <f t="shared" si="103"/>
        <v>0</v>
      </c>
    </row>
    <row r="342" spans="2:25" x14ac:dyDescent="0.3">
      <c r="B342" s="6">
        <v>305</v>
      </c>
      <c r="C342" s="79" t="str">
        <f t="shared" si="104"/>
        <v/>
      </c>
      <c r="D342" s="6" t="str">
        <f t="shared" si="84"/>
        <v/>
      </c>
      <c r="E342" s="79" t="str">
        <f t="shared" si="96"/>
        <v/>
      </c>
      <c r="F342" s="79" t="str">
        <f>IF(B341&gt;$C$18,"",IF(COUNTIF(Feriados!$A$2:$B$17,EDATE($C$38,B341))=0,EDATE($C$38,B341),EDATE($C$38,B341)+VLOOKUP(EDATE($C$38,B341),Feriados!$A$2:$B$17,2,FALSE)))</f>
        <v/>
      </c>
      <c r="G342" s="6" t="str">
        <f t="shared" si="97"/>
        <v/>
      </c>
      <c r="H342" s="6" t="str">
        <f t="shared" si="98"/>
        <v/>
      </c>
      <c r="I342" s="8" t="str">
        <f t="shared" si="99"/>
        <v/>
      </c>
      <c r="J342" s="8" t="str">
        <f t="shared" si="100"/>
        <v/>
      </c>
      <c r="K342" s="9" t="str">
        <f t="shared" si="85"/>
        <v/>
      </c>
      <c r="L342" s="9" t="str">
        <f t="shared" si="101"/>
        <v/>
      </c>
      <c r="M342" s="10" t="str">
        <f t="shared" si="86"/>
        <v/>
      </c>
      <c r="N342" s="6" t="str">
        <f t="shared" si="87"/>
        <v/>
      </c>
      <c r="O342" s="9" t="str">
        <f t="shared" si="88"/>
        <v/>
      </c>
      <c r="P342" s="9" t="str">
        <f t="shared" si="89"/>
        <v/>
      </c>
      <c r="Q342" s="9" t="str">
        <f t="shared" si="90"/>
        <v/>
      </c>
      <c r="R342" s="9" t="str">
        <f t="shared" ca="1" si="91"/>
        <v/>
      </c>
      <c r="T342" s="6" t="str">
        <f t="shared" si="92"/>
        <v/>
      </c>
      <c r="U342" s="6" t="str">
        <f t="shared" si="93"/>
        <v/>
      </c>
      <c r="V342" s="10" t="str">
        <f t="shared" si="94"/>
        <v/>
      </c>
      <c r="W342" s="8" t="str">
        <f t="shared" si="95"/>
        <v/>
      </c>
      <c r="X342" s="9">
        <f t="shared" si="102"/>
        <v>0</v>
      </c>
      <c r="Y342" s="9">
        <f t="shared" si="103"/>
        <v>0</v>
      </c>
    </row>
    <row r="343" spans="2:25" x14ac:dyDescent="0.3">
      <c r="B343" s="6">
        <v>306</v>
      </c>
      <c r="C343" s="79" t="str">
        <f t="shared" si="104"/>
        <v/>
      </c>
      <c r="D343" s="6" t="str">
        <f t="shared" si="84"/>
        <v/>
      </c>
      <c r="E343" s="79" t="str">
        <f t="shared" si="96"/>
        <v/>
      </c>
      <c r="F343" s="79" t="str">
        <f>IF(B342&gt;$C$18,"",IF(COUNTIF(Feriados!$A$2:$B$17,EDATE($C$38,B342))=0,EDATE($C$38,B342),EDATE($C$38,B342)+VLOOKUP(EDATE($C$38,B342),Feriados!$A$2:$B$17,2,FALSE)))</f>
        <v/>
      </c>
      <c r="G343" s="6" t="str">
        <f t="shared" si="97"/>
        <v/>
      </c>
      <c r="H343" s="6" t="str">
        <f t="shared" si="98"/>
        <v/>
      </c>
      <c r="I343" s="8" t="str">
        <f t="shared" si="99"/>
        <v/>
      </c>
      <c r="J343" s="8" t="str">
        <f t="shared" si="100"/>
        <v/>
      </c>
      <c r="K343" s="9" t="str">
        <f t="shared" si="85"/>
        <v/>
      </c>
      <c r="L343" s="9" t="str">
        <f t="shared" si="101"/>
        <v/>
      </c>
      <c r="M343" s="10" t="str">
        <f t="shared" si="86"/>
        <v/>
      </c>
      <c r="N343" s="6" t="str">
        <f t="shared" si="87"/>
        <v/>
      </c>
      <c r="O343" s="9" t="str">
        <f t="shared" si="88"/>
        <v/>
      </c>
      <c r="P343" s="9" t="str">
        <f t="shared" si="89"/>
        <v/>
      </c>
      <c r="Q343" s="9" t="str">
        <f t="shared" si="90"/>
        <v/>
      </c>
      <c r="R343" s="9" t="str">
        <f t="shared" ca="1" si="91"/>
        <v/>
      </c>
      <c r="T343" s="6" t="str">
        <f t="shared" si="92"/>
        <v/>
      </c>
      <c r="U343" s="6" t="str">
        <f t="shared" si="93"/>
        <v/>
      </c>
      <c r="V343" s="10" t="str">
        <f t="shared" si="94"/>
        <v/>
      </c>
      <c r="W343" s="8" t="str">
        <f t="shared" si="95"/>
        <v/>
      </c>
      <c r="X343" s="9">
        <f t="shared" si="102"/>
        <v>0</v>
      </c>
      <c r="Y343" s="9">
        <f t="shared" si="103"/>
        <v>0</v>
      </c>
    </row>
    <row r="344" spans="2:25" x14ac:dyDescent="0.3">
      <c r="B344" s="6">
        <v>307</v>
      </c>
      <c r="C344" s="79" t="str">
        <f t="shared" si="104"/>
        <v/>
      </c>
      <c r="D344" s="6" t="str">
        <f t="shared" si="84"/>
        <v/>
      </c>
      <c r="E344" s="79" t="str">
        <f t="shared" si="96"/>
        <v/>
      </c>
      <c r="F344" s="79" t="str">
        <f>IF(B343&gt;$C$18,"",IF(COUNTIF(Feriados!$A$2:$B$17,EDATE($C$38,B343))=0,EDATE($C$38,B343),EDATE($C$38,B343)+VLOOKUP(EDATE($C$38,B343),Feriados!$A$2:$B$17,2,FALSE)))</f>
        <v/>
      </c>
      <c r="G344" s="6" t="str">
        <f t="shared" si="97"/>
        <v/>
      </c>
      <c r="H344" s="6" t="str">
        <f t="shared" si="98"/>
        <v/>
      </c>
      <c r="I344" s="8" t="str">
        <f t="shared" si="99"/>
        <v/>
      </c>
      <c r="J344" s="8" t="str">
        <f t="shared" si="100"/>
        <v/>
      </c>
      <c r="K344" s="9" t="str">
        <f t="shared" si="85"/>
        <v/>
      </c>
      <c r="L344" s="9" t="str">
        <f t="shared" si="101"/>
        <v/>
      </c>
      <c r="M344" s="10" t="str">
        <f t="shared" si="86"/>
        <v/>
      </c>
      <c r="N344" s="6" t="str">
        <f t="shared" si="87"/>
        <v/>
      </c>
      <c r="O344" s="9" t="str">
        <f t="shared" si="88"/>
        <v/>
      </c>
      <c r="P344" s="9" t="str">
        <f t="shared" si="89"/>
        <v/>
      </c>
      <c r="Q344" s="9" t="str">
        <f t="shared" si="90"/>
        <v/>
      </c>
      <c r="R344" s="9" t="str">
        <f t="shared" ca="1" si="91"/>
        <v/>
      </c>
      <c r="T344" s="6" t="str">
        <f t="shared" si="92"/>
        <v/>
      </c>
      <c r="U344" s="6" t="str">
        <f t="shared" si="93"/>
        <v/>
      </c>
      <c r="V344" s="10" t="str">
        <f t="shared" si="94"/>
        <v/>
      </c>
      <c r="W344" s="8" t="str">
        <f t="shared" si="95"/>
        <v/>
      </c>
      <c r="X344" s="9">
        <f t="shared" si="102"/>
        <v>0</v>
      </c>
      <c r="Y344" s="9">
        <f t="shared" si="103"/>
        <v>0</v>
      </c>
    </row>
    <row r="345" spans="2:25" x14ac:dyDescent="0.3">
      <c r="B345" s="6">
        <v>308</v>
      </c>
      <c r="C345" s="79" t="str">
        <f t="shared" si="104"/>
        <v/>
      </c>
      <c r="D345" s="6" t="str">
        <f t="shared" si="84"/>
        <v/>
      </c>
      <c r="E345" s="79" t="str">
        <f t="shared" si="96"/>
        <v/>
      </c>
      <c r="F345" s="79" t="str">
        <f>IF(B344&gt;$C$18,"",IF(COUNTIF(Feriados!$A$2:$B$17,EDATE($C$38,B344))=0,EDATE($C$38,B344),EDATE($C$38,B344)+VLOOKUP(EDATE($C$38,B344),Feriados!$A$2:$B$17,2,FALSE)))</f>
        <v/>
      </c>
      <c r="G345" s="6" t="str">
        <f t="shared" si="97"/>
        <v/>
      </c>
      <c r="H345" s="6" t="str">
        <f t="shared" si="98"/>
        <v/>
      </c>
      <c r="I345" s="8" t="str">
        <f t="shared" si="99"/>
        <v/>
      </c>
      <c r="J345" s="8" t="str">
        <f t="shared" si="100"/>
        <v/>
      </c>
      <c r="K345" s="9" t="str">
        <f t="shared" si="85"/>
        <v/>
      </c>
      <c r="L345" s="9" t="str">
        <f t="shared" si="101"/>
        <v/>
      </c>
      <c r="M345" s="10" t="str">
        <f t="shared" si="86"/>
        <v/>
      </c>
      <c r="N345" s="6" t="str">
        <f t="shared" si="87"/>
        <v/>
      </c>
      <c r="O345" s="9" t="str">
        <f t="shared" si="88"/>
        <v/>
      </c>
      <c r="P345" s="9" t="str">
        <f t="shared" si="89"/>
        <v/>
      </c>
      <c r="Q345" s="9" t="str">
        <f t="shared" si="90"/>
        <v/>
      </c>
      <c r="R345" s="9" t="str">
        <f t="shared" ca="1" si="91"/>
        <v/>
      </c>
      <c r="T345" s="6" t="str">
        <f t="shared" si="92"/>
        <v/>
      </c>
      <c r="U345" s="6" t="str">
        <f t="shared" si="93"/>
        <v/>
      </c>
      <c r="V345" s="10" t="str">
        <f t="shared" si="94"/>
        <v/>
      </c>
      <c r="W345" s="8" t="str">
        <f t="shared" si="95"/>
        <v/>
      </c>
      <c r="X345" s="9">
        <f t="shared" si="102"/>
        <v>0</v>
      </c>
      <c r="Y345" s="9">
        <f t="shared" si="103"/>
        <v>0</v>
      </c>
    </row>
    <row r="346" spans="2:25" x14ac:dyDescent="0.3">
      <c r="B346" s="6">
        <v>309</v>
      </c>
      <c r="C346" s="79" t="str">
        <f t="shared" si="104"/>
        <v/>
      </c>
      <c r="D346" s="6" t="str">
        <f t="shared" si="84"/>
        <v/>
      </c>
      <c r="E346" s="79" t="str">
        <f t="shared" si="96"/>
        <v/>
      </c>
      <c r="F346" s="79" t="str">
        <f>IF(B345&gt;$C$18,"",IF(COUNTIF(Feriados!$A$2:$B$17,EDATE($C$38,B345))=0,EDATE($C$38,B345),EDATE($C$38,B345)+VLOOKUP(EDATE($C$38,B345),Feriados!$A$2:$B$17,2,FALSE)))</f>
        <v/>
      </c>
      <c r="G346" s="6" t="str">
        <f t="shared" si="97"/>
        <v/>
      </c>
      <c r="H346" s="6" t="str">
        <f t="shared" si="98"/>
        <v/>
      </c>
      <c r="I346" s="8" t="str">
        <f t="shared" si="99"/>
        <v/>
      </c>
      <c r="J346" s="8" t="str">
        <f t="shared" si="100"/>
        <v/>
      </c>
      <c r="K346" s="9" t="str">
        <f t="shared" si="85"/>
        <v/>
      </c>
      <c r="L346" s="9" t="str">
        <f t="shared" si="101"/>
        <v/>
      </c>
      <c r="M346" s="10" t="str">
        <f t="shared" si="86"/>
        <v/>
      </c>
      <c r="N346" s="6" t="str">
        <f t="shared" si="87"/>
        <v/>
      </c>
      <c r="O346" s="9" t="str">
        <f t="shared" si="88"/>
        <v/>
      </c>
      <c r="P346" s="9" t="str">
        <f t="shared" si="89"/>
        <v/>
      </c>
      <c r="Q346" s="9" t="str">
        <f t="shared" si="90"/>
        <v/>
      </c>
      <c r="R346" s="9" t="str">
        <f t="shared" ca="1" si="91"/>
        <v/>
      </c>
      <c r="T346" s="6" t="str">
        <f t="shared" si="92"/>
        <v/>
      </c>
      <c r="U346" s="6" t="str">
        <f t="shared" si="93"/>
        <v/>
      </c>
      <c r="V346" s="10" t="str">
        <f t="shared" si="94"/>
        <v/>
      </c>
      <c r="W346" s="8" t="str">
        <f t="shared" si="95"/>
        <v/>
      </c>
      <c r="X346" s="9">
        <f t="shared" si="102"/>
        <v>0</v>
      </c>
      <c r="Y346" s="9">
        <f t="shared" si="103"/>
        <v>0</v>
      </c>
    </row>
    <row r="347" spans="2:25" x14ac:dyDescent="0.3">
      <c r="B347" s="6">
        <v>310</v>
      </c>
      <c r="C347" s="79" t="str">
        <f t="shared" si="104"/>
        <v/>
      </c>
      <c r="D347" s="6" t="str">
        <f t="shared" si="84"/>
        <v/>
      </c>
      <c r="E347" s="79" t="str">
        <f t="shared" si="96"/>
        <v/>
      </c>
      <c r="F347" s="79" t="str">
        <f>IF(B346&gt;$C$18,"",IF(COUNTIF(Feriados!$A$2:$B$17,EDATE($C$38,B346))=0,EDATE($C$38,B346),EDATE($C$38,B346)+VLOOKUP(EDATE($C$38,B346),Feriados!$A$2:$B$17,2,FALSE)))</f>
        <v/>
      </c>
      <c r="G347" s="6" t="str">
        <f t="shared" si="97"/>
        <v/>
      </c>
      <c r="H347" s="6" t="str">
        <f t="shared" si="98"/>
        <v/>
      </c>
      <c r="I347" s="8" t="str">
        <f t="shared" si="99"/>
        <v/>
      </c>
      <c r="J347" s="8" t="str">
        <f t="shared" si="100"/>
        <v/>
      </c>
      <c r="K347" s="9" t="str">
        <f t="shared" si="85"/>
        <v/>
      </c>
      <c r="L347" s="9" t="str">
        <f t="shared" si="101"/>
        <v/>
      </c>
      <c r="M347" s="10" t="str">
        <f t="shared" si="86"/>
        <v/>
      </c>
      <c r="N347" s="6" t="str">
        <f t="shared" si="87"/>
        <v/>
      </c>
      <c r="O347" s="9" t="str">
        <f t="shared" si="88"/>
        <v/>
      </c>
      <c r="P347" s="9" t="str">
        <f t="shared" si="89"/>
        <v/>
      </c>
      <c r="Q347" s="9" t="str">
        <f t="shared" si="90"/>
        <v/>
      </c>
      <c r="R347" s="9" t="str">
        <f t="shared" ca="1" si="91"/>
        <v/>
      </c>
      <c r="T347" s="6" t="str">
        <f t="shared" si="92"/>
        <v/>
      </c>
      <c r="U347" s="6" t="str">
        <f t="shared" si="93"/>
        <v/>
      </c>
      <c r="V347" s="10" t="str">
        <f t="shared" si="94"/>
        <v/>
      </c>
      <c r="W347" s="8" t="str">
        <f t="shared" si="95"/>
        <v/>
      </c>
      <c r="X347" s="9">
        <f t="shared" si="102"/>
        <v>0</v>
      </c>
      <c r="Y347" s="9">
        <f t="shared" si="103"/>
        <v>0</v>
      </c>
    </row>
    <row r="348" spans="2:25" x14ac:dyDescent="0.3">
      <c r="B348" s="6">
        <v>311</v>
      </c>
      <c r="C348" s="79" t="str">
        <f t="shared" si="104"/>
        <v/>
      </c>
      <c r="D348" s="6" t="str">
        <f t="shared" si="84"/>
        <v/>
      </c>
      <c r="E348" s="79" t="str">
        <f t="shared" si="96"/>
        <v/>
      </c>
      <c r="F348" s="79" t="str">
        <f>IF(B347&gt;$C$18,"",IF(COUNTIF(Feriados!$A$2:$B$17,EDATE($C$38,B347))=0,EDATE($C$38,B347),EDATE($C$38,B347)+VLOOKUP(EDATE($C$38,B347),Feriados!$A$2:$B$17,2,FALSE)))</f>
        <v/>
      </c>
      <c r="G348" s="6" t="str">
        <f t="shared" si="97"/>
        <v/>
      </c>
      <c r="H348" s="6" t="str">
        <f t="shared" si="98"/>
        <v/>
      </c>
      <c r="I348" s="8" t="str">
        <f t="shared" si="99"/>
        <v/>
      </c>
      <c r="J348" s="8" t="str">
        <f t="shared" si="100"/>
        <v/>
      </c>
      <c r="K348" s="9" t="str">
        <f t="shared" si="85"/>
        <v/>
      </c>
      <c r="L348" s="9" t="str">
        <f t="shared" si="101"/>
        <v/>
      </c>
      <c r="M348" s="10" t="str">
        <f t="shared" si="86"/>
        <v/>
      </c>
      <c r="N348" s="6" t="str">
        <f t="shared" si="87"/>
        <v/>
      </c>
      <c r="O348" s="9" t="str">
        <f t="shared" si="88"/>
        <v/>
      </c>
      <c r="P348" s="9" t="str">
        <f t="shared" si="89"/>
        <v/>
      </c>
      <c r="Q348" s="9" t="str">
        <f t="shared" si="90"/>
        <v/>
      </c>
      <c r="R348" s="9" t="str">
        <f t="shared" ca="1" si="91"/>
        <v/>
      </c>
      <c r="T348" s="6" t="str">
        <f t="shared" si="92"/>
        <v/>
      </c>
      <c r="U348" s="6" t="str">
        <f t="shared" si="93"/>
        <v/>
      </c>
      <c r="V348" s="10" t="str">
        <f t="shared" si="94"/>
        <v/>
      </c>
      <c r="W348" s="8" t="str">
        <f t="shared" si="95"/>
        <v/>
      </c>
      <c r="X348" s="9">
        <f t="shared" si="102"/>
        <v>0</v>
      </c>
      <c r="Y348" s="9">
        <f t="shared" si="103"/>
        <v>0</v>
      </c>
    </row>
    <row r="349" spans="2:25" x14ac:dyDescent="0.3">
      <c r="B349" s="6">
        <v>312</v>
      </c>
      <c r="C349" s="79" t="str">
        <f t="shared" si="104"/>
        <v/>
      </c>
      <c r="D349" s="6" t="str">
        <f t="shared" si="84"/>
        <v/>
      </c>
      <c r="E349" s="79" t="str">
        <f t="shared" si="96"/>
        <v/>
      </c>
      <c r="F349" s="79" t="str">
        <f>IF(B348&gt;$C$18,"",IF(COUNTIF(Feriados!$A$2:$B$17,EDATE($C$38,B348))=0,EDATE($C$38,B348),EDATE($C$38,B348)+VLOOKUP(EDATE($C$38,B348),Feriados!$A$2:$B$17,2,FALSE)))</f>
        <v/>
      </c>
      <c r="G349" s="6" t="str">
        <f t="shared" si="97"/>
        <v/>
      </c>
      <c r="H349" s="6" t="str">
        <f t="shared" si="98"/>
        <v/>
      </c>
      <c r="I349" s="8" t="str">
        <f t="shared" si="99"/>
        <v/>
      </c>
      <c r="J349" s="8" t="str">
        <f t="shared" si="100"/>
        <v/>
      </c>
      <c r="K349" s="9" t="str">
        <f t="shared" si="85"/>
        <v/>
      </c>
      <c r="L349" s="9" t="str">
        <f t="shared" si="101"/>
        <v/>
      </c>
      <c r="M349" s="10" t="str">
        <f t="shared" si="86"/>
        <v/>
      </c>
      <c r="N349" s="6" t="str">
        <f t="shared" si="87"/>
        <v/>
      </c>
      <c r="O349" s="9" t="str">
        <f t="shared" si="88"/>
        <v/>
      </c>
      <c r="P349" s="9" t="str">
        <f t="shared" si="89"/>
        <v/>
      </c>
      <c r="Q349" s="9" t="str">
        <f t="shared" si="90"/>
        <v/>
      </c>
      <c r="R349" s="9" t="str">
        <f t="shared" ca="1" si="91"/>
        <v/>
      </c>
      <c r="T349" s="6" t="str">
        <f t="shared" si="92"/>
        <v/>
      </c>
      <c r="U349" s="6" t="str">
        <f t="shared" si="93"/>
        <v/>
      </c>
      <c r="V349" s="10" t="str">
        <f t="shared" si="94"/>
        <v/>
      </c>
      <c r="W349" s="8" t="str">
        <f t="shared" si="95"/>
        <v/>
      </c>
      <c r="X349" s="9">
        <f t="shared" si="102"/>
        <v>0</v>
      </c>
      <c r="Y349" s="9">
        <f t="shared" si="103"/>
        <v>0</v>
      </c>
    </row>
    <row r="350" spans="2:25" x14ac:dyDescent="0.3">
      <c r="B350" s="6">
        <v>313</v>
      </c>
      <c r="C350" s="79" t="str">
        <f t="shared" si="104"/>
        <v/>
      </c>
      <c r="D350" s="6" t="str">
        <f t="shared" si="84"/>
        <v/>
      </c>
      <c r="E350" s="79" t="str">
        <f t="shared" si="96"/>
        <v/>
      </c>
      <c r="F350" s="79" t="str">
        <f>IF(B349&gt;$C$18,"",IF(COUNTIF(Feriados!$A$2:$B$17,EDATE($C$38,B349))=0,EDATE($C$38,B349),EDATE($C$38,B349)+VLOOKUP(EDATE($C$38,B349),Feriados!$A$2:$B$17,2,FALSE)))</f>
        <v/>
      </c>
      <c r="G350" s="6" t="str">
        <f t="shared" si="97"/>
        <v/>
      </c>
      <c r="H350" s="6" t="str">
        <f t="shared" si="98"/>
        <v/>
      </c>
      <c r="I350" s="8" t="str">
        <f t="shared" si="99"/>
        <v/>
      </c>
      <c r="J350" s="8" t="str">
        <f t="shared" si="100"/>
        <v/>
      </c>
      <c r="K350" s="9" t="str">
        <f t="shared" si="85"/>
        <v/>
      </c>
      <c r="L350" s="9" t="str">
        <f t="shared" si="101"/>
        <v/>
      </c>
      <c r="M350" s="10" t="str">
        <f t="shared" si="86"/>
        <v/>
      </c>
      <c r="N350" s="6" t="str">
        <f t="shared" si="87"/>
        <v/>
      </c>
      <c r="O350" s="9" t="str">
        <f t="shared" si="88"/>
        <v/>
      </c>
      <c r="P350" s="9" t="str">
        <f t="shared" si="89"/>
        <v/>
      </c>
      <c r="Q350" s="9" t="str">
        <f t="shared" si="90"/>
        <v/>
      </c>
      <c r="R350" s="9" t="str">
        <f t="shared" ca="1" si="91"/>
        <v/>
      </c>
      <c r="T350" s="6" t="str">
        <f t="shared" si="92"/>
        <v/>
      </c>
      <c r="U350" s="6" t="str">
        <f t="shared" si="93"/>
        <v/>
      </c>
      <c r="V350" s="10" t="str">
        <f t="shared" si="94"/>
        <v/>
      </c>
      <c r="W350" s="8" t="str">
        <f t="shared" si="95"/>
        <v/>
      </c>
      <c r="X350" s="9">
        <f t="shared" si="102"/>
        <v>0</v>
      </c>
      <c r="Y350" s="9">
        <f t="shared" si="103"/>
        <v>0</v>
      </c>
    </row>
    <row r="351" spans="2:25" x14ac:dyDescent="0.3">
      <c r="B351" s="6">
        <v>314</v>
      </c>
      <c r="C351" s="79" t="str">
        <f t="shared" si="104"/>
        <v/>
      </c>
      <c r="D351" s="6" t="str">
        <f t="shared" si="84"/>
        <v/>
      </c>
      <c r="E351" s="79" t="str">
        <f t="shared" si="96"/>
        <v/>
      </c>
      <c r="F351" s="79" t="str">
        <f>IF(B350&gt;$C$18,"",IF(COUNTIF(Feriados!$A$2:$B$17,EDATE($C$38,B350))=0,EDATE($C$38,B350),EDATE($C$38,B350)+VLOOKUP(EDATE($C$38,B350),Feriados!$A$2:$B$17,2,FALSE)))</f>
        <v/>
      </c>
      <c r="G351" s="6" t="str">
        <f t="shared" si="97"/>
        <v/>
      </c>
      <c r="H351" s="6" t="str">
        <f t="shared" si="98"/>
        <v/>
      </c>
      <c r="I351" s="8" t="str">
        <f t="shared" si="99"/>
        <v/>
      </c>
      <c r="J351" s="8" t="str">
        <f t="shared" si="100"/>
        <v/>
      </c>
      <c r="K351" s="9" t="str">
        <f t="shared" si="85"/>
        <v/>
      </c>
      <c r="L351" s="9" t="str">
        <f t="shared" si="101"/>
        <v/>
      </c>
      <c r="M351" s="10" t="str">
        <f t="shared" si="86"/>
        <v/>
      </c>
      <c r="N351" s="6" t="str">
        <f t="shared" si="87"/>
        <v/>
      </c>
      <c r="O351" s="9" t="str">
        <f t="shared" si="88"/>
        <v/>
      </c>
      <c r="P351" s="9" t="str">
        <f t="shared" si="89"/>
        <v/>
      </c>
      <c r="Q351" s="9" t="str">
        <f t="shared" si="90"/>
        <v/>
      </c>
      <c r="R351" s="9" t="str">
        <f t="shared" ca="1" si="91"/>
        <v/>
      </c>
      <c r="T351" s="6" t="str">
        <f t="shared" si="92"/>
        <v/>
      </c>
      <c r="U351" s="6" t="str">
        <f t="shared" si="93"/>
        <v/>
      </c>
      <c r="V351" s="10" t="str">
        <f t="shared" si="94"/>
        <v/>
      </c>
      <c r="W351" s="8" t="str">
        <f t="shared" si="95"/>
        <v/>
      </c>
      <c r="X351" s="9">
        <f t="shared" si="102"/>
        <v>0</v>
      </c>
      <c r="Y351" s="9">
        <f t="shared" si="103"/>
        <v>0</v>
      </c>
    </row>
    <row r="352" spans="2:25" x14ac:dyDescent="0.3">
      <c r="B352" s="6">
        <v>315</v>
      </c>
      <c r="C352" s="79" t="str">
        <f t="shared" si="104"/>
        <v/>
      </c>
      <c r="D352" s="6" t="str">
        <f t="shared" si="84"/>
        <v/>
      </c>
      <c r="E352" s="79" t="str">
        <f t="shared" si="96"/>
        <v/>
      </c>
      <c r="F352" s="79" t="str">
        <f>IF(B351&gt;$C$18,"",IF(COUNTIF(Feriados!$A$2:$B$17,EDATE($C$38,B351))=0,EDATE($C$38,B351),EDATE($C$38,B351)+VLOOKUP(EDATE($C$38,B351),Feriados!$A$2:$B$17,2,FALSE)))</f>
        <v/>
      </c>
      <c r="G352" s="6" t="str">
        <f t="shared" si="97"/>
        <v/>
      </c>
      <c r="H352" s="6" t="str">
        <f t="shared" si="98"/>
        <v/>
      </c>
      <c r="I352" s="8" t="str">
        <f t="shared" si="99"/>
        <v/>
      </c>
      <c r="J352" s="8" t="str">
        <f t="shared" si="100"/>
        <v/>
      </c>
      <c r="K352" s="9" t="str">
        <f t="shared" si="85"/>
        <v/>
      </c>
      <c r="L352" s="9" t="str">
        <f t="shared" si="101"/>
        <v/>
      </c>
      <c r="M352" s="10" t="str">
        <f t="shared" si="86"/>
        <v/>
      </c>
      <c r="N352" s="6" t="str">
        <f t="shared" si="87"/>
        <v/>
      </c>
      <c r="O352" s="9" t="str">
        <f t="shared" si="88"/>
        <v/>
      </c>
      <c r="P352" s="9" t="str">
        <f t="shared" si="89"/>
        <v/>
      </c>
      <c r="Q352" s="9" t="str">
        <f t="shared" si="90"/>
        <v/>
      </c>
      <c r="R352" s="9" t="str">
        <f t="shared" ca="1" si="91"/>
        <v/>
      </c>
      <c r="T352" s="6" t="str">
        <f t="shared" si="92"/>
        <v/>
      </c>
      <c r="U352" s="6" t="str">
        <f t="shared" si="93"/>
        <v/>
      </c>
      <c r="V352" s="10" t="str">
        <f t="shared" si="94"/>
        <v/>
      </c>
      <c r="W352" s="8" t="str">
        <f t="shared" si="95"/>
        <v/>
      </c>
      <c r="X352" s="9">
        <f t="shared" si="102"/>
        <v>0</v>
      </c>
      <c r="Y352" s="9">
        <f t="shared" si="103"/>
        <v>0</v>
      </c>
    </row>
    <row r="353" spans="2:25" x14ac:dyDescent="0.3">
      <c r="B353" s="6">
        <v>316</v>
      </c>
      <c r="C353" s="79" t="str">
        <f t="shared" si="104"/>
        <v/>
      </c>
      <c r="D353" s="6" t="str">
        <f t="shared" si="84"/>
        <v/>
      </c>
      <c r="E353" s="79" t="str">
        <f t="shared" si="96"/>
        <v/>
      </c>
      <c r="F353" s="79" t="str">
        <f>IF(B352&gt;$C$18,"",IF(COUNTIF(Feriados!$A$2:$B$17,EDATE($C$38,B352))=0,EDATE($C$38,B352),EDATE($C$38,B352)+VLOOKUP(EDATE($C$38,B352),Feriados!$A$2:$B$17,2,FALSE)))</f>
        <v/>
      </c>
      <c r="G353" s="6" t="str">
        <f t="shared" si="97"/>
        <v/>
      </c>
      <c r="H353" s="6" t="str">
        <f t="shared" si="98"/>
        <v/>
      </c>
      <c r="I353" s="8" t="str">
        <f t="shared" si="99"/>
        <v/>
      </c>
      <c r="J353" s="8" t="str">
        <f t="shared" si="100"/>
        <v/>
      </c>
      <c r="K353" s="9" t="str">
        <f t="shared" si="85"/>
        <v/>
      </c>
      <c r="L353" s="9" t="str">
        <f t="shared" si="101"/>
        <v/>
      </c>
      <c r="M353" s="10" t="str">
        <f t="shared" si="86"/>
        <v/>
      </c>
      <c r="N353" s="6" t="str">
        <f t="shared" si="87"/>
        <v/>
      </c>
      <c r="O353" s="9" t="str">
        <f t="shared" si="88"/>
        <v/>
      </c>
      <c r="P353" s="9" t="str">
        <f t="shared" si="89"/>
        <v/>
      </c>
      <c r="Q353" s="9" t="str">
        <f t="shared" si="90"/>
        <v/>
      </c>
      <c r="R353" s="9" t="str">
        <f t="shared" ca="1" si="91"/>
        <v/>
      </c>
      <c r="T353" s="6" t="str">
        <f t="shared" si="92"/>
        <v/>
      </c>
      <c r="U353" s="6" t="str">
        <f t="shared" si="93"/>
        <v/>
      </c>
      <c r="V353" s="10" t="str">
        <f t="shared" si="94"/>
        <v/>
      </c>
      <c r="W353" s="8" t="str">
        <f t="shared" si="95"/>
        <v/>
      </c>
      <c r="X353" s="9">
        <f t="shared" si="102"/>
        <v>0</v>
      </c>
      <c r="Y353" s="9">
        <f t="shared" si="103"/>
        <v>0</v>
      </c>
    </row>
    <row r="354" spans="2:25" x14ac:dyDescent="0.3">
      <c r="B354" s="6">
        <v>317</v>
      </c>
      <c r="C354" s="79" t="str">
        <f t="shared" si="104"/>
        <v/>
      </c>
      <c r="D354" s="6" t="str">
        <f t="shared" si="84"/>
        <v/>
      </c>
      <c r="E354" s="79" t="str">
        <f t="shared" si="96"/>
        <v/>
      </c>
      <c r="F354" s="79" t="str">
        <f>IF(B353&gt;$C$18,"",IF(COUNTIF(Feriados!$A$2:$B$17,EDATE($C$38,B353))=0,EDATE($C$38,B353),EDATE($C$38,B353)+VLOOKUP(EDATE($C$38,B353),Feriados!$A$2:$B$17,2,FALSE)))</f>
        <v/>
      </c>
      <c r="G354" s="6" t="str">
        <f t="shared" si="97"/>
        <v/>
      </c>
      <c r="H354" s="6" t="str">
        <f t="shared" si="98"/>
        <v/>
      </c>
      <c r="I354" s="8" t="str">
        <f t="shared" si="99"/>
        <v/>
      </c>
      <c r="J354" s="8" t="str">
        <f t="shared" si="100"/>
        <v/>
      </c>
      <c r="K354" s="9" t="str">
        <f t="shared" si="85"/>
        <v/>
      </c>
      <c r="L354" s="9" t="str">
        <f t="shared" si="101"/>
        <v/>
      </c>
      <c r="M354" s="10" t="str">
        <f t="shared" si="86"/>
        <v/>
      </c>
      <c r="N354" s="6" t="str">
        <f t="shared" si="87"/>
        <v/>
      </c>
      <c r="O354" s="9" t="str">
        <f t="shared" si="88"/>
        <v/>
      </c>
      <c r="P354" s="9" t="str">
        <f t="shared" si="89"/>
        <v/>
      </c>
      <c r="Q354" s="9" t="str">
        <f t="shared" si="90"/>
        <v/>
      </c>
      <c r="R354" s="9" t="str">
        <f t="shared" ca="1" si="91"/>
        <v/>
      </c>
      <c r="T354" s="6" t="str">
        <f t="shared" si="92"/>
        <v/>
      </c>
      <c r="U354" s="6" t="str">
        <f t="shared" si="93"/>
        <v/>
      </c>
      <c r="V354" s="10" t="str">
        <f t="shared" si="94"/>
        <v/>
      </c>
      <c r="W354" s="8" t="str">
        <f t="shared" si="95"/>
        <v/>
      </c>
      <c r="X354" s="9">
        <f t="shared" si="102"/>
        <v>0</v>
      </c>
      <c r="Y354" s="9">
        <f t="shared" si="103"/>
        <v>0</v>
      </c>
    </row>
    <row r="355" spans="2:25" x14ac:dyDescent="0.3">
      <c r="B355" s="6">
        <v>318</v>
      </c>
      <c r="C355" s="79" t="str">
        <f t="shared" si="104"/>
        <v/>
      </c>
      <c r="D355" s="6" t="str">
        <f t="shared" si="84"/>
        <v/>
      </c>
      <c r="E355" s="79" t="str">
        <f t="shared" si="96"/>
        <v/>
      </c>
      <c r="F355" s="79" t="str">
        <f>IF(B354&gt;$C$18,"",IF(COUNTIF(Feriados!$A$2:$B$17,EDATE($C$38,B354))=0,EDATE($C$38,B354),EDATE($C$38,B354)+VLOOKUP(EDATE($C$38,B354),Feriados!$A$2:$B$17,2,FALSE)))</f>
        <v/>
      </c>
      <c r="G355" s="6" t="str">
        <f t="shared" si="97"/>
        <v/>
      </c>
      <c r="H355" s="6" t="str">
        <f t="shared" si="98"/>
        <v/>
      </c>
      <c r="I355" s="8" t="str">
        <f t="shared" si="99"/>
        <v/>
      </c>
      <c r="J355" s="8" t="str">
        <f t="shared" si="100"/>
        <v/>
      </c>
      <c r="K355" s="9" t="str">
        <f t="shared" si="85"/>
        <v/>
      </c>
      <c r="L355" s="9" t="str">
        <f t="shared" si="101"/>
        <v/>
      </c>
      <c r="M355" s="10" t="str">
        <f t="shared" si="86"/>
        <v/>
      </c>
      <c r="N355" s="6" t="str">
        <f t="shared" si="87"/>
        <v/>
      </c>
      <c r="O355" s="9" t="str">
        <f t="shared" si="88"/>
        <v/>
      </c>
      <c r="P355" s="9" t="str">
        <f t="shared" si="89"/>
        <v/>
      </c>
      <c r="Q355" s="9" t="str">
        <f t="shared" si="90"/>
        <v/>
      </c>
      <c r="R355" s="9" t="str">
        <f t="shared" ca="1" si="91"/>
        <v/>
      </c>
      <c r="T355" s="6" t="str">
        <f t="shared" si="92"/>
        <v/>
      </c>
      <c r="U355" s="6" t="str">
        <f t="shared" si="93"/>
        <v/>
      </c>
      <c r="V355" s="10" t="str">
        <f t="shared" si="94"/>
        <v/>
      </c>
      <c r="W355" s="8" t="str">
        <f t="shared" si="95"/>
        <v/>
      </c>
      <c r="X355" s="9">
        <f t="shared" si="102"/>
        <v>0</v>
      </c>
      <c r="Y355" s="9">
        <f t="shared" si="103"/>
        <v>0</v>
      </c>
    </row>
    <row r="356" spans="2:25" x14ac:dyDescent="0.3">
      <c r="B356" s="6">
        <v>319</v>
      </c>
      <c r="C356" s="79" t="str">
        <f t="shared" si="104"/>
        <v/>
      </c>
      <c r="D356" s="6" t="str">
        <f t="shared" si="84"/>
        <v/>
      </c>
      <c r="E356" s="79" t="str">
        <f t="shared" si="96"/>
        <v/>
      </c>
      <c r="F356" s="79" t="str">
        <f>IF(B355&gt;$C$18,"",IF(COUNTIF(Feriados!$A$2:$B$17,EDATE($C$38,B355))=0,EDATE($C$38,B355),EDATE($C$38,B355)+VLOOKUP(EDATE($C$38,B355),Feriados!$A$2:$B$17,2,FALSE)))</f>
        <v/>
      </c>
      <c r="G356" s="6" t="str">
        <f t="shared" si="97"/>
        <v/>
      </c>
      <c r="H356" s="6" t="str">
        <f t="shared" si="98"/>
        <v/>
      </c>
      <c r="I356" s="8" t="str">
        <f t="shared" si="99"/>
        <v/>
      </c>
      <c r="J356" s="8" t="str">
        <f t="shared" si="100"/>
        <v/>
      </c>
      <c r="K356" s="9" t="str">
        <f t="shared" si="85"/>
        <v/>
      </c>
      <c r="L356" s="9" t="str">
        <f t="shared" si="101"/>
        <v/>
      </c>
      <c r="M356" s="10" t="str">
        <f t="shared" si="86"/>
        <v/>
      </c>
      <c r="N356" s="6" t="str">
        <f t="shared" si="87"/>
        <v/>
      </c>
      <c r="O356" s="9" t="str">
        <f t="shared" si="88"/>
        <v/>
      </c>
      <c r="P356" s="9" t="str">
        <f t="shared" si="89"/>
        <v/>
      </c>
      <c r="Q356" s="9" t="str">
        <f t="shared" si="90"/>
        <v/>
      </c>
      <c r="R356" s="9" t="str">
        <f t="shared" ca="1" si="91"/>
        <v/>
      </c>
      <c r="T356" s="6" t="str">
        <f t="shared" si="92"/>
        <v/>
      </c>
      <c r="U356" s="6" t="str">
        <f t="shared" si="93"/>
        <v/>
      </c>
      <c r="V356" s="10" t="str">
        <f t="shared" si="94"/>
        <v/>
      </c>
      <c r="W356" s="8" t="str">
        <f t="shared" si="95"/>
        <v/>
      </c>
      <c r="X356" s="9">
        <f t="shared" si="102"/>
        <v>0</v>
      </c>
      <c r="Y356" s="9">
        <f t="shared" si="103"/>
        <v>0</v>
      </c>
    </row>
    <row r="357" spans="2:25" x14ac:dyDescent="0.3">
      <c r="B357" s="6">
        <v>320</v>
      </c>
      <c r="C357" s="79" t="str">
        <f t="shared" si="104"/>
        <v/>
      </c>
      <c r="D357" s="6" t="str">
        <f t="shared" si="84"/>
        <v/>
      </c>
      <c r="E357" s="79" t="str">
        <f t="shared" si="96"/>
        <v/>
      </c>
      <c r="F357" s="79" t="str">
        <f>IF(B356&gt;$C$18,"",IF(COUNTIF(Feriados!$A$2:$B$17,EDATE($C$38,B356))=0,EDATE($C$38,B356),EDATE($C$38,B356)+VLOOKUP(EDATE($C$38,B356),Feriados!$A$2:$B$17,2,FALSE)))</f>
        <v/>
      </c>
      <c r="G357" s="6" t="str">
        <f t="shared" si="97"/>
        <v/>
      </c>
      <c r="H357" s="6" t="str">
        <f t="shared" si="98"/>
        <v/>
      </c>
      <c r="I357" s="8" t="str">
        <f t="shared" si="99"/>
        <v/>
      </c>
      <c r="J357" s="8" t="str">
        <f t="shared" si="100"/>
        <v/>
      </c>
      <c r="K357" s="9" t="str">
        <f t="shared" si="85"/>
        <v/>
      </c>
      <c r="L357" s="9" t="str">
        <f t="shared" si="101"/>
        <v/>
      </c>
      <c r="M357" s="10" t="str">
        <f t="shared" si="86"/>
        <v/>
      </c>
      <c r="N357" s="6" t="str">
        <f t="shared" si="87"/>
        <v/>
      </c>
      <c r="O357" s="9" t="str">
        <f t="shared" si="88"/>
        <v/>
      </c>
      <c r="P357" s="9" t="str">
        <f t="shared" si="89"/>
        <v/>
      </c>
      <c r="Q357" s="9" t="str">
        <f t="shared" si="90"/>
        <v/>
      </c>
      <c r="R357" s="9" t="str">
        <f t="shared" ca="1" si="91"/>
        <v/>
      </c>
      <c r="T357" s="6" t="str">
        <f t="shared" si="92"/>
        <v/>
      </c>
      <c r="U357" s="6" t="str">
        <f t="shared" si="93"/>
        <v/>
      </c>
      <c r="V357" s="10" t="str">
        <f t="shared" si="94"/>
        <v/>
      </c>
      <c r="W357" s="8" t="str">
        <f t="shared" si="95"/>
        <v/>
      </c>
      <c r="X357" s="9">
        <f t="shared" si="102"/>
        <v>0</v>
      </c>
      <c r="Y357" s="9">
        <f t="shared" si="103"/>
        <v>0</v>
      </c>
    </row>
    <row r="358" spans="2:25" x14ac:dyDescent="0.3">
      <c r="B358" s="6">
        <v>321</v>
      </c>
      <c r="C358" s="79" t="str">
        <f t="shared" si="104"/>
        <v/>
      </c>
      <c r="D358" s="6" t="str">
        <f t="shared" ref="D358:D397" si="105">IF(B358&lt;=$C$18,WEEKDAY(C358,2),"")</f>
        <v/>
      </c>
      <c r="E358" s="79" t="str">
        <f t="shared" si="96"/>
        <v/>
      </c>
      <c r="F358" s="79" t="str">
        <f>IF(B357&gt;$C$18,"",IF(COUNTIF(Feriados!$A$2:$B$17,EDATE($C$38,B357))=0,EDATE($C$38,B357),EDATE($C$38,B357)+VLOOKUP(EDATE($C$38,B357),Feriados!$A$2:$B$17,2,FALSE)))</f>
        <v/>
      </c>
      <c r="G358" s="6" t="str">
        <f t="shared" si="97"/>
        <v/>
      </c>
      <c r="H358" s="6" t="str">
        <f t="shared" si="98"/>
        <v/>
      </c>
      <c r="I358" s="8" t="str">
        <f t="shared" si="99"/>
        <v/>
      </c>
      <c r="J358" s="8" t="str">
        <f t="shared" si="100"/>
        <v/>
      </c>
      <c r="K358" s="9" t="str">
        <f t="shared" ref="K358:K397" si="106">IF(B358&gt;C$18,"",((1+C$25)^(G358/360)-1)*I358)</f>
        <v/>
      </c>
      <c r="L358" s="9" t="str">
        <f t="shared" si="101"/>
        <v/>
      </c>
      <c r="M358" s="10" t="str">
        <f t="shared" ref="M358:M397" si="107">IF(B358&gt;C$18,"",C$27*C$28)</f>
        <v/>
      </c>
      <c r="N358" s="6" t="str">
        <f t="shared" ref="N358:N397" si="108">IF(B358&gt;C$18,"",C$29)</f>
        <v/>
      </c>
      <c r="O358" s="9" t="str">
        <f t="shared" ref="O358:O397" si="109">IF(B358&gt;C$18,"",IF(B358=C$18,I358+K358+L358+M358+N358,IF(AND(C$23=2,MONTH(E358)=7),2*C$30,IF(AND(C$24=2,MONTH(E358)=12),2*C$30,C$30))))</f>
        <v/>
      </c>
      <c r="P358" s="9" t="str">
        <f t="shared" ref="P358:P397" si="110">IF(B358&gt;C$18,"",I358-J358)</f>
        <v/>
      </c>
      <c r="Q358" s="9" t="str">
        <f t="shared" ref="Q358:Q397" si="111">IFERROR(IF(AND(MONTH(E358)=7,C$23=2),2/(1+C$26)^(H358/360),IF(AND(MONTH(E358)=12,C$24=2),2/(1+C$26)^(H358/360),1/(1+C$26)^(H358/360))),"")</f>
        <v/>
      </c>
      <c r="R358" s="9" t="str">
        <f t="shared" ref="R358:R397" ca="1" si="112">IFERROR(1/(1+C$26)^(H358/360),"")</f>
        <v/>
      </c>
      <c r="T358" s="6" t="str">
        <f t="shared" ref="T358:T397" si="113">IFERROR(J358+K358+L358+M358+N358,"")</f>
        <v/>
      </c>
      <c r="U358" s="6" t="str">
        <f t="shared" ref="U358:U397" si="114">H358</f>
        <v/>
      </c>
      <c r="V358" s="10" t="str">
        <f t="shared" ref="V358:V397" si="115">IFERROR((1+C$32)^(U358/360),"")</f>
        <v/>
      </c>
      <c r="W358" s="8" t="str">
        <f t="shared" ref="W358:W397" si="116">IFERROR(ROUND(T358/V358,2),"")</f>
        <v/>
      </c>
      <c r="X358" s="9">
        <f t="shared" si="102"/>
        <v>0</v>
      </c>
      <c r="Y358" s="9">
        <f t="shared" si="103"/>
        <v>0</v>
      </c>
    </row>
    <row r="359" spans="2:25" x14ac:dyDescent="0.3">
      <c r="B359" s="6">
        <v>322</v>
      </c>
      <c r="C359" s="79" t="str">
        <f t="shared" si="104"/>
        <v/>
      </c>
      <c r="D359" s="6" t="str">
        <f t="shared" si="105"/>
        <v/>
      </c>
      <c r="E359" s="79" t="str">
        <f t="shared" ref="E359:E397" si="117">IF(D359=7,C359+1,C359)</f>
        <v/>
      </c>
      <c r="F359" s="79" t="str">
        <f>IF(B358&gt;$C$18,"",IF(COUNTIF(Feriados!$A$2:$B$17,EDATE($C$38,B358))=0,EDATE($C$38,B358),EDATE($C$38,B358)+VLOOKUP(EDATE($C$38,B358),Feriados!$A$2:$B$17,2,FALSE)))</f>
        <v/>
      </c>
      <c r="G359" s="6" t="str">
        <f t="shared" ref="G359:G397" si="118">IF(B359&gt;C$18,"",E359-E358)</f>
        <v/>
      </c>
      <c r="H359" s="6" t="str">
        <f t="shared" ref="H359:H397" si="119">IFERROR(G359+H358,"")</f>
        <v/>
      </c>
      <c r="I359" s="8" t="str">
        <f t="shared" ref="I359:I397" si="120">IF(B359&gt;C$18,"",P358)</f>
        <v/>
      </c>
      <c r="J359" s="8" t="str">
        <f t="shared" ref="J359:J397" si="121">IF(B359&gt;C$18,"",O359-N359-M359-L359-K359)</f>
        <v/>
      </c>
      <c r="K359" s="9" t="str">
        <f t="shared" si="106"/>
        <v/>
      </c>
      <c r="L359" s="9" t="str">
        <f t="shared" ref="L359:L397" si="122">IF(B359&gt;C$18,"",((1+C$13)^(G359/30)-1)*I359)</f>
        <v/>
      </c>
      <c r="M359" s="10" t="str">
        <f t="shared" si="107"/>
        <v/>
      </c>
      <c r="N359" s="6" t="str">
        <f t="shared" si="108"/>
        <v/>
      </c>
      <c r="O359" s="9" t="str">
        <f t="shared" si="109"/>
        <v/>
      </c>
      <c r="P359" s="9" t="str">
        <f t="shared" si="110"/>
        <v/>
      </c>
      <c r="Q359" s="9" t="str">
        <f t="shared" si="111"/>
        <v/>
      </c>
      <c r="R359" s="9" t="str">
        <f t="shared" ca="1" si="112"/>
        <v/>
      </c>
      <c r="T359" s="6" t="str">
        <f t="shared" si="113"/>
        <v/>
      </c>
      <c r="U359" s="6" t="str">
        <f t="shared" si="114"/>
        <v/>
      </c>
      <c r="V359" s="10" t="str">
        <f t="shared" si="115"/>
        <v/>
      </c>
      <c r="W359" s="8" t="str">
        <f t="shared" si="116"/>
        <v/>
      </c>
      <c r="X359" s="9">
        <f t="shared" ref="X359:X397" si="123">IF(O359="",0,L359/((1+$I$9)^B359))</f>
        <v>0</v>
      </c>
      <c r="Y359" s="9">
        <f t="shared" ref="Y359:Y397" si="124">IF(O359="",0,L359/((1+$Q$30)^B359))</f>
        <v>0</v>
      </c>
    </row>
    <row r="360" spans="2:25" x14ac:dyDescent="0.3">
      <c r="B360" s="6">
        <v>323</v>
      </c>
      <c r="C360" s="79" t="str">
        <f t="shared" ref="C360:C397" si="125">IF(B360&gt;$C$18,"",IF(WEEKDAY(F360,2)=7,F360+1,F360))</f>
        <v/>
      </c>
      <c r="D360" s="6" t="str">
        <f t="shared" si="105"/>
        <v/>
      </c>
      <c r="E360" s="79" t="str">
        <f t="shared" si="117"/>
        <v/>
      </c>
      <c r="F360" s="79" t="str">
        <f>IF(B359&gt;$C$18,"",IF(COUNTIF(Feriados!$A$2:$B$17,EDATE($C$38,B359))=0,EDATE($C$38,B359),EDATE($C$38,B359)+VLOOKUP(EDATE($C$38,B359),Feriados!$A$2:$B$17,2,FALSE)))</f>
        <v/>
      </c>
      <c r="G360" s="6" t="str">
        <f t="shared" si="118"/>
        <v/>
      </c>
      <c r="H360" s="6" t="str">
        <f t="shared" si="119"/>
        <v/>
      </c>
      <c r="I360" s="8" t="str">
        <f t="shared" si="120"/>
        <v/>
      </c>
      <c r="J360" s="8" t="str">
        <f t="shared" si="121"/>
        <v/>
      </c>
      <c r="K360" s="9" t="str">
        <f t="shared" si="106"/>
        <v/>
      </c>
      <c r="L360" s="9" t="str">
        <f t="shared" si="122"/>
        <v/>
      </c>
      <c r="M360" s="10" t="str">
        <f t="shared" si="107"/>
        <v/>
      </c>
      <c r="N360" s="6" t="str">
        <f t="shared" si="108"/>
        <v/>
      </c>
      <c r="O360" s="9" t="str">
        <f t="shared" si="109"/>
        <v/>
      </c>
      <c r="P360" s="9" t="str">
        <f t="shared" si="110"/>
        <v/>
      </c>
      <c r="Q360" s="9" t="str">
        <f t="shared" si="111"/>
        <v/>
      </c>
      <c r="R360" s="9" t="str">
        <f t="shared" ca="1" si="112"/>
        <v/>
      </c>
      <c r="T360" s="6" t="str">
        <f t="shared" si="113"/>
        <v/>
      </c>
      <c r="U360" s="6" t="str">
        <f t="shared" si="114"/>
        <v/>
      </c>
      <c r="V360" s="10" t="str">
        <f t="shared" si="115"/>
        <v/>
      </c>
      <c r="W360" s="8" t="str">
        <f t="shared" si="116"/>
        <v/>
      </c>
      <c r="X360" s="9">
        <f t="shared" si="123"/>
        <v>0</v>
      </c>
      <c r="Y360" s="9">
        <f t="shared" si="124"/>
        <v>0</v>
      </c>
    </row>
    <row r="361" spans="2:25" x14ac:dyDescent="0.3">
      <c r="B361" s="6">
        <v>324</v>
      </c>
      <c r="C361" s="79" t="str">
        <f t="shared" si="125"/>
        <v/>
      </c>
      <c r="D361" s="6" t="str">
        <f t="shared" si="105"/>
        <v/>
      </c>
      <c r="E361" s="79" t="str">
        <f t="shared" si="117"/>
        <v/>
      </c>
      <c r="F361" s="79" t="str">
        <f>IF(B360&gt;$C$18,"",IF(COUNTIF(Feriados!$A$2:$B$17,EDATE($C$38,B360))=0,EDATE($C$38,B360),EDATE($C$38,B360)+VLOOKUP(EDATE($C$38,B360),Feriados!$A$2:$B$17,2,FALSE)))</f>
        <v/>
      </c>
      <c r="G361" s="6" t="str">
        <f t="shared" si="118"/>
        <v/>
      </c>
      <c r="H361" s="6" t="str">
        <f t="shared" si="119"/>
        <v/>
      </c>
      <c r="I361" s="8" t="str">
        <f t="shared" si="120"/>
        <v/>
      </c>
      <c r="J361" s="8" t="str">
        <f t="shared" si="121"/>
        <v/>
      </c>
      <c r="K361" s="9" t="str">
        <f t="shared" si="106"/>
        <v/>
      </c>
      <c r="L361" s="9" t="str">
        <f t="shared" si="122"/>
        <v/>
      </c>
      <c r="M361" s="10" t="str">
        <f t="shared" si="107"/>
        <v/>
      </c>
      <c r="N361" s="6" t="str">
        <f t="shared" si="108"/>
        <v/>
      </c>
      <c r="O361" s="9" t="str">
        <f t="shared" si="109"/>
        <v/>
      </c>
      <c r="P361" s="9" t="str">
        <f t="shared" si="110"/>
        <v/>
      </c>
      <c r="Q361" s="9" t="str">
        <f t="shared" si="111"/>
        <v/>
      </c>
      <c r="R361" s="9" t="str">
        <f t="shared" ca="1" si="112"/>
        <v/>
      </c>
      <c r="T361" s="6" t="str">
        <f t="shared" si="113"/>
        <v/>
      </c>
      <c r="U361" s="6" t="str">
        <f t="shared" si="114"/>
        <v/>
      </c>
      <c r="V361" s="10" t="str">
        <f t="shared" si="115"/>
        <v/>
      </c>
      <c r="W361" s="8" t="str">
        <f t="shared" si="116"/>
        <v/>
      </c>
      <c r="X361" s="9">
        <f t="shared" si="123"/>
        <v>0</v>
      </c>
      <c r="Y361" s="9">
        <f t="shared" si="124"/>
        <v>0</v>
      </c>
    </row>
    <row r="362" spans="2:25" x14ac:dyDescent="0.3">
      <c r="B362" s="6">
        <v>325</v>
      </c>
      <c r="C362" s="79" t="str">
        <f t="shared" si="125"/>
        <v/>
      </c>
      <c r="D362" s="6" t="str">
        <f t="shared" si="105"/>
        <v/>
      </c>
      <c r="E362" s="79" t="str">
        <f t="shared" si="117"/>
        <v/>
      </c>
      <c r="F362" s="79" t="str">
        <f>IF(B361&gt;$C$18,"",IF(COUNTIF(Feriados!$A$2:$B$17,EDATE($C$38,B361))=0,EDATE($C$38,B361),EDATE($C$38,B361)+VLOOKUP(EDATE($C$38,B361),Feriados!$A$2:$B$17,2,FALSE)))</f>
        <v/>
      </c>
      <c r="G362" s="6" t="str">
        <f t="shared" si="118"/>
        <v/>
      </c>
      <c r="H362" s="6" t="str">
        <f t="shared" si="119"/>
        <v/>
      </c>
      <c r="I362" s="8" t="str">
        <f t="shared" si="120"/>
        <v/>
      </c>
      <c r="J362" s="8" t="str">
        <f t="shared" si="121"/>
        <v/>
      </c>
      <c r="K362" s="9" t="str">
        <f t="shared" si="106"/>
        <v/>
      </c>
      <c r="L362" s="9" t="str">
        <f t="shared" si="122"/>
        <v/>
      </c>
      <c r="M362" s="10" t="str">
        <f t="shared" si="107"/>
        <v/>
      </c>
      <c r="N362" s="6" t="str">
        <f t="shared" si="108"/>
        <v/>
      </c>
      <c r="O362" s="9" t="str">
        <f t="shared" si="109"/>
        <v/>
      </c>
      <c r="P362" s="9" t="str">
        <f t="shared" si="110"/>
        <v/>
      </c>
      <c r="Q362" s="9" t="str">
        <f t="shared" si="111"/>
        <v/>
      </c>
      <c r="R362" s="9" t="str">
        <f t="shared" ca="1" si="112"/>
        <v/>
      </c>
      <c r="T362" s="6" t="str">
        <f t="shared" si="113"/>
        <v/>
      </c>
      <c r="U362" s="6" t="str">
        <f t="shared" si="114"/>
        <v/>
      </c>
      <c r="V362" s="10" t="str">
        <f t="shared" si="115"/>
        <v/>
      </c>
      <c r="W362" s="8" t="str">
        <f t="shared" si="116"/>
        <v/>
      </c>
      <c r="X362" s="9">
        <f t="shared" si="123"/>
        <v>0</v>
      </c>
      <c r="Y362" s="9">
        <f t="shared" si="124"/>
        <v>0</v>
      </c>
    </row>
    <row r="363" spans="2:25" x14ac:dyDescent="0.3">
      <c r="B363" s="6">
        <v>326</v>
      </c>
      <c r="C363" s="79" t="str">
        <f t="shared" si="125"/>
        <v/>
      </c>
      <c r="D363" s="6" t="str">
        <f t="shared" si="105"/>
        <v/>
      </c>
      <c r="E363" s="79" t="str">
        <f t="shared" si="117"/>
        <v/>
      </c>
      <c r="F363" s="79" t="str">
        <f>IF(B362&gt;$C$18,"",IF(COUNTIF(Feriados!$A$2:$B$17,EDATE($C$38,B362))=0,EDATE($C$38,B362),EDATE($C$38,B362)+VLOOKUP(EDATE($C$38,B362),Feriados!$A$2:$B$17,2,FALSE)))</f>
        <v/>
      </c>
      <c r="G363" s="6" t="str">
        <f t="shared" si="118"/>
        <v/>
      </c>
      <c r="H363" s="6" t="str">
        <f t="shared" si="119"/>
        <v/>
      </c>
      <c r="I363" s="8" t="str">
        <f t="shared" si="120"/>
        <v/>
      </c>
      <c r="J363" s="8" t="str">
        <f t="shared" si="121"/>
        <v/>
      </c>
      <c r="K363" s="9" t="str">
        <f t="shared" si="106"/>
        <v/>
      </c>
      <c r="L363" s="9" t="str">
        <f t="shared" si="122"/>
        <v/>
      </c>
      <c r="M363" s="10" t="str">
        <f t="shared" si="107"/>
        <v/>
      </c>
      <c r="N363" s="6" t="str">
        <f t="shared" si="108"/>
        <v/>
      </c>
      <c r="O363" s="9" t="str">
        <f t="shared" si="109"/>
        <v/>
      </c>
      <c r="P363" s="9" t="str">
        <f t="shared" si="110"/>
        <v/>
      </c>
      <c r="Q363" s="9" t="str">
        <f t="shared" si="111"/>
        <v/>
      </c>
      <c r="R363" s="9" t="str">
        <f t="shared" ca="1" si="112"/>
        <v/>
      </c>
      <c r="T363" s="6" t="str">
        <f t="shared" si="113"/>
        <v/>
      </c>
      <c r="U363" s="6" t="str">
        <f t="shared" si="114"/>
        <v/>
      </c>
      <c r="V363" s="10" t="str">
        <f t="shared" si="115"/>
        <v/>
      </c>
      <c r="W363" s="8" t="str">
        <f t="shared" si="116"/>
        <v/>
      </c>
      <c r="X363" s="9">
        <f t="shared" si="123"/>
        <v>0</v>
      </c>
      <c r="Y363" s="9">
        <f t="shared" si="124"/>
        <v>0</v>
      </c>
    </row>
    <row r="364" spans="2:25" x14ac:dyDescent="0.3">
      <c r="B364" s="6">
        <v>327</v>
      </c>
      <c r="C364" s="79" t="str">
        <f t="shared" si="125"/>
        <v/>
      </c>
      <c r="D364" s="6" t="str">
        <f t="shared" si="105"/>
        <v/>
      </c>
      <c r="E364" s="79" t="str">
        <f t="shared" si="117"/>
        <v/>
      </c>
      <c r="F364" s="79" t="str">
        <f>IF(B363&gt;$C$18,"",IF(COUNTIF(Feriados!$A$2:$B$17,EDATE($C$38,B363))=0,EDATE($C$38,B363),EDATE($C$38,B363)+VLOOKUP(EDATE($C$38,B363),Feriados!$A$2:$B$17,2,FALSE)))</f>
        <v/>
      </c>
      <c r="G364" s="6" t="str">
        <f t="shared" si="118"/>
        <v/>
      </c>
      <c r="H364" s="6" t="str">
        <f t="shared" si="119"/>
        <v/>
      </c>
      <c r="I364" s="8" t="str">
        <f t="shared" si="120"/>
        <v/>
      </c>
      <c r="J364" s="8" t="str">
        <f t="shared" si="121"/>
        <v/>
      </c>
      <c r="K364" s="9" t="str">
        <f t="shared" si="106"/>
        <v/>
      </c>
      <c r="L364" s="9" t="str">
        <f t="shared" si="122"/>
        <v/>
      </c>
      <c r="M364" s="10" t="str">
        <f t="shared" si="107"/>
        <v/>
      </c>
      <c r="N364" s="6" t="str">
        <f t="shared" si="108"/>
        <v/>
      </c>
      <c r="O364" s="9" t="str">
        <f t="shared" si="109"/>
        <v/>
      </c>
      <c r="P364" s="9" t="str">
        <f t="shared" si="110"/>
        <v/>
      </c>
      <c r="Q364" s="9" t="str">
        <f t="shared" si="111"/>
        <v/>
      </c>
      <c r="R364" s="9" t="str">
        <f t="shared" ca="1" si="112"/>
        <v/>
      </c>
      <c r="T364" s="6" t="str">
        <f t="shared" si="113"/>
        <v/>
      </c>
      <c r="U364" s="6" t="str">
        <f t="shared" si="114"/>
        <v/>
      </c>
      <c r="V364" s="10" t="str">
        <f t="shared" si="115"/>
        <v/>
      </c>
      <c r="W364" s="8" t="str">
        <f t="shared" si="116"/>
        <v/>
      </c>
      <c r="X364" s="9">
        <f t="shared" si="123"/>
        <v>0</v>
      </c>
      <c r="Y364" s="9">
        <f t="shared" si="124"/>
        <v>0</v>
      </c>
    </row>
    <row r="365" spans="2:25" x14ac:dyDescent="0.3">
      <c r="B365" s="6">
        <v>328</v>
      </c>
      <c r="C365" s="79" t="str">
        <f t="shared" si="125"/>
        <v/>
      </c>
      <c r="D365" s="6" t="str">
        <f t="shared" si="105"/>
        <v/>
      </c>
      <c r="E365" s="79" t="str">
        <f t="shared" si="117"/>
        <v/>
      </c>
      <c r="F365" s="79" t="str">
        <f>IF(B364&gt;$C$18,"",IF(COUNTIF(Feriados!$A$2:$B$17,EDATE($C$38,B364))=0,EDATE($C$38,B364),EDATE($C$38,B364)+VLOOKUP(EDATE($C$38,B364),Feriados!$A$2:$B$17,2,FALSE)))</f>
        <v/>
      </c>
      <c r="G365" s="6" t="str">
        <f t="shared" si="118"/>
        <v/>
      </c>
      <c r="H365" s="6" t="str">
        <f t="shared" si="119"/>
        <v/>
      </c>
      <c r="I365" s="8" t="str">
        <f t="shared" si="120"/>
        <v/>
      </c>
      <c r="J365" s="8" t="str">
        <f t="shared" si="121"/>
        <v/>
      </c>
      <c r="K365" s="9" t="str">
        <f t="shared" si="106"/>
        <v/>
      </c>
      <c r="L365" s="9" t="str">
        <f t="shared" si="122"/>
        <v/>
      </c>
      <c r="M365" s="10" t="str">
        <f t="shared" si="107"/>
        <v/>
      </c>
      <c r="N365" s="6" t="str">
        <f t="shared" si="108"/>
        <v/>
      </c>
      <c r="O365" s="9" t="str">
        <f t="shared" si="109"/>
        <v/>
      </c>
      <c r="P365" s="9" t="str">
        <f t="shared" si="110"/>
        <v/>
      </c>
      <c r="Q365" s="9" t="str">
        <f t="shared" si="111"/>
        <v/>
      </c>
      <c r="R365" s="9" t="str">
        <f t="shared" ca="1" si="112"/>
        <v/>
      </c>
      <c r="T365" s="6" t="str">
        <f t="shared" si="113"/>
        <v/>
      </c>
      <c r="U365" s="6" t="str">
        <f t="shared" si="114"/>
        <v/>
      </c>
      <c r="V365" s="10" t="str">
        <f t="shared" si="115"/>
        <v/>
      </c>
      <c r="W365" s="8" t="str">
        <f t="shared" si="116"/>
        <v/>
      </c>
      <c r="X365" s="9">
        <f t="shared" si="123"/>
        <v>0</v>
      </c>
      <c r="Y365" s="9">
        <f t="shared" si="124"/>
        <v>0</v>
      </c>
    </row>
    <row r="366" spans="2:25" x14ac:dyDescent="0.3">
      <c r="B366" s="6">
        <v>329</v>
      </c>
      <c r="C366" s="79" t="str">
        <f t="shared" si="125"/>
        <v/>
      </c>
      <c r="D366" s="6" t="str">
        <f t="shared" si="105"/>
        <v/>
      </c>
      <c r="E366" s="79" t="str">
        <f t="shared" si="117"/>
        <v/>
      </c>
      <c r="F366" s="79" t="str">
        <f>IF(B365&gt;$C$18,"",IF(COUNTIF(Feriados!$A$2:$B$17,EDATE($C$38,B365))=0,EDATE($C$38,B365),EDATE($C$38,B365)+VLOOKUP(EDATE($C$38,B365),Feriados!$A$2:$B$17,2,FALSE)))</f>
        <v/>
      </c>
      <c r="G366" s="6" t="str">
        <f t="shared" si="118"/>
        <v/>
      </c>
      <c r="H366" s="6" t="str">
        <f t="shared" si="119"/>
        <v/>
      </c>
      <c r="I366" s="8" t="str">
        <f t="shared" si="120"/>
        <v/>
      </c>
      <c r="J366" s="8" t="str">
        <f t="shared" si="121"/>
        <v/>
      </c>
      <c r="K366" s="9" t="str">
        <f t="shared" si="106"/>
        <v/>
      </c>
      <c r="L366" s="9" t="str">
        <f t="shared" si="122"/>
        <v/>
      </c>
      <c r="M366" s="10" t="str">
        <f t="shared" si="107"/>
        <v/>
      </c>
      <c r="N366" s="6" t="str">
        <f t="shared" si="108"/>
        <v/>
      </c>
      <c r="O366" s="9" t="str">
        <f t="shared" si="109"/>
        <v/>
      </c>
      <c r="P366" s="9" t="str">
        <f t="shared" si="110"/>
        <v/>
      </c>
      <c r="Q366" s="9" t="str">
        <f t="shared" si="111"/>
        <v/>
      </c>
      <c r="R366" s="9" t="str">
        <f t="shared" ca="1" si="112"/>
        <v/>
      </c>
      <c r="T366" s="6" t="str">
        <f t="shared" si="113"/>
        <v/>
      </c>
      <c r="U366" s="6" t="str">
        <f t="shared" si="114"/>
        <v/>
      </c>
      <c r="V366" s="10" t="str">
        <f t="shared" si="115"/>
        <v/>
      </c>
      <c r="W366" s="8" t="str">
        <f t="shared" si="116"/>
        <v/>
      </c>
      <c r="X366" s="9">
        <f t="shared" si="123"/>
        <v>0</v>
      </c>
      <c r="Y366" s="9">
        <f t="shared" si="124"/>
        <v>0</v>
      </c>
    </row>
    <row r="367" spans="2:25" x14ac:dyDescent="0.3">
      <c r="B367" s="6">
        <v>330</v>
      </c>
      <c r="C367" s="79" t="str">
        <f t="shared" si="125"/>
        <v/>
      </c>
      <c r="D367" s="6" t="str">
        <f t="shared" si="105"/>
        <v/>
      </c>
      <c r="E367" s="79" t="str">
        <f t="shared" si="117"/>
        <v/>
      </c>
      <c r="F367" s="79" t="str">
        <f>IF(B366&gt;$C$18,"",IF(COUNTIF(Feriados!$A$2:$B$17,EDATE($C$38,B366))=0,EDATE($C$38,B366),EDATE($C$38,B366)+VLOOKUP(EDATE($C$38,B366),Feriados!$A$2:$B$17,2,FALSE)))</f>
        <v/>
      </c>
      <c r="G367" s="6" t="str">
        <f t="shared" si="118"/>
        <v/>
      </c>
      <c r="H367" s="6" t="str">
        <f t="shared" si="119"/>
        <v/>
      </c>
      <c r="I367" s="8" t="str">
        <f t="shared" si="120"/>
        <v/>
      </c>
      <c r="J367" s="8" t="str">
        <f t="shared" si="121"/>
        <v/>
      </c>
      <c r="K367" s="9" t="str">
        <f t="shared" si="106"/>
        <v/>
      </c>
      <c r="L367" s="9" t="str">
        <f t="shared" si="122"/>
        <v/>
      </c>
      <c r="M367" s="10" t="str">
        <f t="shared" si="107"/>
        <v/>
      </c>
      <c r="N367" s="6" t="str">
        <f t="shared" si="108"/>
        <v/>
      </c>
      <c r="O367" s="9" t="str">
        <f t="shared" si="109"/>
        <v/>
      </c>
      <c r="P367" s="9" t="str">
        <f t="shared" si="110"/>
        <v/>
      </c>
      <c r="Q367" s="9" t="str">
        <f t="shared" si="111"/>
        <v/>
      </c>
      <c r="R367" s="9" t="str">
        <f t="shared" ca="1" si="112"/>
        <v/>
      </c>
      <c r="T367" s="6" t="str">
        <f t="shared" si="113"/>
        <v/>
      </c>
      <c r="U367" s="6" t="str">
        <f t="shared" si="114"/>
        <v/>
      </c>
      <c r="V367" s="10" t="str">
        <f t="shared" si="115"/>
        <v/>
      </c>
      <c r="W367" s="8" t="str">
        <f t="shared" si="116"/>
        <v/>
      </c>
      <c r="X367" s="9">
        <f t="shared" si="123"/>
        <v>0</v>
      </c>
      <c r="Y367" s="9">
        <f t="shared" si="124"/>
        <v>0</v>
      </c>
    </row>
    <row r="368" spans="2:25" x14ac:dyDescent="0.3">
      <c r="B368" s="6">
        <v>331</v>
      </c>
      <c r="C368" s="79" t="str">
        <f t="shared" si="125"/>
        <v/>
      </c>
      <c r="D368" s="6" t="str">
        <f t="shared" si="105"/>
        <v/>
      </c>
      <c r="E368" s="79" t="str">
        <f t="shared" si="117"/>
        <v/>
      </c>
      <c r="F368" s="79" t="str">
        <f>IF(B367&gt;$C$18,"",IF(COUNTIF(Feriados!$A$2:$B$17,EDATE($C$38,B367))=0,EDATE($C$38,B367),EDATE($C$38,B367)+VLOOKUP(EDATE($C$38,B367),Feriados!$A$2:$B$17,2,FALSE)))</f>
        <v/>
      </c>
      <c r="G368" s="6" t="str">
        <f t="shared" si="118"/>
        <v/>
      </c>
      <c r="H368" s="6" t="str">
        <f t="shared" si="119"/>
        <v/>
      </c>
      <c r="I368" s="8" t="str">
        <f t="shared" si="120"/>
        <v/>
      </c>
      <c r="J368" s="8" t="str">
        <f t="shared" si="121"/>
        <v/>
      </c>
      <c r="K368" s="9" t="str">
        <f t="shared" si="106"/>
        <v/>
      </c>
      <c r="L368" s="9" t="str">
        <f t="shared" si="122"/>
        <v/>
      </c>
      <c r="M368" s="10" t="str">
        <f t="shared" si="107"/>
        <v/>
      </c>
      <c r="N368" s="6" t="str">
        <f t="shared" si="108"/>
        <v/>
      </c>
      <c r="O368" s="9" t="str">
        <f t="shared" si="109"/>
        <v/>
      </c>
      <c r="P368" s="9" t="str">
        <f t="shared" si="110"/>
        <v/>
      </c>
      <c r="Q368" s="9" t="str">
        <f t="shared" si="111"/>
        <v/>
      </c>
      <c r="R368" s="9" t="str">
        <f t="shared" ca="1" si="112"/>
        <v/>
      </c>
      <c r="T368" s="6" t="str">
        <f t="shared" si="113"/>
        <v/>
      </c>
      <c r="U368" s="6" t="str">
        <f t="shared" si="114"/>
        <v/>
      </c>
      <c r="V368" s="10" t="str">
        <f t="shared" si="115"/>
        <v/>
      </c>
      <c r="W368" s="8" t="str">
        <f t="shared" si="116"/>
        <v/>
      </c>
      <c r="X368" s="9">
        <f t="shared" si="123"/>
        <v>0</v>
      </c>
      <c r="Y368" s="9">
        <f t="shared" si="124"/>
        <v>0</v>
      </c>
    </row>
    <row r="369" spans="2:25" x14ac:dyDescent="0.3">
      <c r="B369" s="6">
        <v>332</v>
      </c>
      <c r="C369" s="79" t="str">
        <f t="shared" si="125"/>
        <v/>
      </c>
      <c r="D369" s="6" t="str">
        <f t="shared" si="105"/>
        <v/>
      </c>
      <c r="E369" s="79" t="str">
        <f t="shared" si="117"/>
        <v/>
      </c>
      <c r="F369" s="79" t="str">
        <f>IF(B368&gt;$C$18,"",IF(COUNTIF(Feriados!$A$2:$B$17,EDATE($C$38,B368))=0,EDATE($C$38,B368),EDATE($C$38,B368)+VLOOKUP(EDATE($C$38,B368),Feriados!$A$2:$B$17,2,FALSE)))</f>
        <v/>
      </c>
      <c r="G369" s="6" t="str">
        <f t="shared" si="118"/>
        <v/>
      </c>
      <c r="H369" s="6" t="str">
        <f t="shared" si="119"/>
        <v/>
      </c>
      <c r="I369" s="8" t="str">
        <f t="shared" si="120"/>
        <v/>
      </c>
      <c r="J369" s="8" t="str">
        <f t="shared" si="121"/>
        <v/>
      </c>
      <c r="K369" s="9" t="str">
        <f t="shared" si="106"/>
        <v/>
      </c>
      <c r="L369" s="9" t="str">
        <f t="shared" si="122"/>
        <v/>
      </c>
      <c r="M369" s="10" t="str">
        <f t="shared" si="107"/>
        <v/>
      </c>
      <c r="N369" s="6" t="str">
        <f t="shared" si="108"/>
        <v/>
      </c>
      <c r="O369" s="9" t="str">
        <f t="shared" si="109"/>
        <v/>
      </c>
      <c r="P369" s="9" t="str">
        <f t="shared" si="110"/>
        <v/>
      </c>
      <c r="Q369" s="9" t="str">
        <f t="shared" si="111"/>
        <v/>
      </c>
      <c r="R369" s="9" t="str">
        <f t="shared" ca="1" si="112"/>
        <v/>
      </c>
      <c r="T369" s="6" t="str">
        <f t="shared" si="113"/>
        <v/>
      </c>
      <c r="U369" s="6" t="str">
        <f t="shared" si="114"/>
        <v/>
      </c>
      <c r="V369" s="10" t="str">
        <f t="shared" si="115"/>
        <v/>
      </c>
      <c r="W369" s="8" t="str">
        <f t="shared" si="116"/>
        <v/>
      </c>
      <c r="X369" s="9">
        <f t="shared" si="123"/>
        <v>0</v>
      </c>
      <c r="Y369" s="9">
        <f t="shared" si="124"/>
        <v>0</v>
      </c>
    </row>
    <row r="370" spans="2:25" x14ac:dyDescent="0.3">
      <c r="B370" s="6">
        <v>333</v>
      </c>
      <c r="C370" s="79" t="str">
        <f t="shared" si="125"/>
        <v/>
      </c>
      <c r="D370" s="6" t="str">
        <f t="shared" si="105"/>
        <v/>
      </c>
      <c r="E370" s="79" t="str">
        <f t="shared" si="117"/>
        <v/>
      </c>
      <c r="F370" s="79" t="str">
        <f>IF(B369&gt;$C$18,"",IF(COUNTIF(Feriados!$A$2:$B$17,EDATE($C$38,B369))=0,EDATE($C$38,B369),EDATE($C$38,B369)+VLOOKUP(EDATE($C$38,B369),Feriados!$A$2:$B$17,2,FALSE)))</f>
        <v/>
      </c>
      <c r="G370" s="6" t="str">
        <f t="shared" si="118"/>
        <v/>
      </c>
      <c r="H370" s="6" t="str">
        <f t="shared" si="119"/>
        <v/>
      </c>
      <c r="I370" s="8" t="str">
        <f t="shared" si="120"/>
        <v/>
      </c>
      <c r="J370" s="8" t="str">
        <f t="shared" si="121"/>
        <v/>
      </c>
      <c r="K370" s="9" t="str">
        <f t="shared" si="106"/>
        <v/>
      </c>
      <c r="L370" s="9" t="str">
        <f t="shared" si="122"/>
        <v/>
      </c>
      <c r="M370" s="10" t="str">
        <f t="shared" si="107"/>
        <v/>
      </c>
      <c r="N370" s="6" t="str">
        <f t="shared" si="108"/>
        <v/>
      </c>
      <c r="O370" s="9" t="str">
        <f t="shared" si="109"/>
        <v/>
      </c>
      <c r="P370" s="9" t="str">
        <f t="shared" si="110"/>
        <v/>
      </c>
      <c r="Q370" s="9" t="str">
        <f t="shared" si="111"/>
        <v/>
      </c>
      <c r="R370" s="9" t="str">
        <f t="shared" ca="1" si="112"/>
        <v/>
      </c>
      <c r="T370" s="6" t="str">
        <f t="shared" si="113"/>
        <v/>
      </c>
      <c r="U370" s="6" t="str">
        <f t="shared" si="114"/>
        <v/>
      </c>
      <c r="V370" s="10" t="str">
        <f t="shared" si="115"/>
        <v/>
      </c>
      <c r="W370" s="8" t="str">
        <f t="shared" si="116"/>
        <v/>
      </c>
      <c r="X370" s="9">
        <f t="shared" si="123"/>
        <v>0</v>
      </c>
      <c r="Y370" s="9">
        <f t="shared" si="124"/>
        <v>0</v>
      </c>
    </row>
    <row r="371" spans="2:25" x14ac:dyDescent="0.3">
      <c r="B371" s="6">
        <v>334</v>
      </c>
      <c r="C371" s="79" t="str">
        <f t="shared" si="125"/>
        <v/>
      </c>
      <c r="D371" s="6" t="str">
        <f t="shared" si="105"/>
        <v/>
      </c>
      <c r="E371" s="79" t="str">
        <f t="shared" si="117"/>
        <v/>
      </c>
      <c r="F371" s="79" t="str">
        <f>IF(B370&gt;$C$18,"",IF(COUNTIF(Feriados!$A$2:$B$17,EDATE($C$38,B370))=0,EDATE($C$38,B370),EDATE($C$38,B370)+VLOOKUP(EDATE($C$38,B370),Feriados!$A$2:$B$17,2,FALSE)))</f>
        <v/>
      </c>
      <c r="G371" s="6" t="str">
        <f t="shared" si="118"/>
        <v/>
      </c>
      <c r="H371" s="6" t="str">
        <f t="shared" si="119"/>
        <v/>
      </c>
      <c r="I371" s="8" t="str">
        <f t="shared" si="120"/>
        <v/>
      </c>
      <c r="J371" s="8" t="str">
        <f t="shared" si="121"/>
        <v/>
      </c>
      <c r="K371" s="9" t="str">
        <f t="shared" si="106"/>
        <v/>
      </c>
      <c r="L371" s="9" t="str">
        <f t="shared" si="122"/>
        <v/>
      </c>
      <c r="M371" s="10" t="str">
        <f t="shared" si="107"/>
        <v/>
      </c>
      <c r="N371" s="6" t="str">
        <f t="shared" si="108"/>
        <v/>
      </c>
      <c r="O371" s="9" t="str">
        <f t="shared" si="109"/>
        <v/>
      </c>
      <c r="P371" s="9" t="str">
        <f t="shared" si="110"/>
        <v/>
      </c>
      <c r="Q371" s="9" t="str">
        <f t="shared" si="111"/>
        <v/>
      </c>
      <c r="R371" s="9" t="str">
        <f t="shared" ca="1" si="112"/>
        <v/>
      </c>
      <c r="T371" s="6" t="str">
        <f t="shared" si="113"/>
        <v/>
      </c>
      <c r="U371" s="6" t="str">
        <f t="shared" si="114"/>
        <v/>
      </c>
      <c r="V371" s="10" t="str">
        <f t="shared" si="115"/>
        <v/>
      </c>
      <c r="W371" s="8" t="str">
        <f t="shared" si="116"/>
        <v/>
      </c>
      <c r="X371" s="9">
        <f t="shared" si="123"/>
        <v>0</v>
      </c>
      <c r="Y371" s="9">
        <f t="shared" si="124"/>
        <v>0</v>
      </c>
    </row>
    <row r="372" spans="2:25" x14ac:dyDescent="0.3">
      <c r="B372" s="6">
        <v>335</v>
      </c>
      <c r="C372" s="79" t="str">
        <f t="shared" si="125"/>
        <v/>
      </c>
      <c r="D372" s="6" t="str">
        <f t="shared" si="105"/>
        <v/>
      </c>
      <c r="E372" s="79" t="str">
        <f t="shared" si="117"/>
        <v/>
      </c>
      <c r="F372" s="79" t="str">
        <f>IF(B371&gt;$C$18,"",IF(COUNTIF(Feriados!$A$2:$B$17,EDATE($C$38,B371))=0,EDATE($C$38,B371),EDATE($C$38,B371)+VLOOKUP(EDATE($C$38,B371),Feriados!$A$2:$B$17,2,FALSE)))</f>
        <v/>
      </c>
      <c r="G372" s="6" t="str">
        <f t="shared" si="118"/>
        <v/>
      </c>
      <c r="H372" s="6" t="str">
        <f t="shared" si="119"/>
        <v/>
      </c>
      <c r="I372" s="8" t="str">
        <f t="shared" si="120"/>
        <v/>
      </c>
      <c r="J372" s="8" t="str">
        <f t="shared" si="121"/>
        <v/>
      </c>
      <c r="K372" s="9" t="str">
        <f t="shared" si="106"/>
        <v/>
      </c>
      <c r="L372" s="9" t="str">
        <f t="shared" si="122"/>
        <v/>
      </c>
      <c r="M372" s="10" t="str">
        <f t="shared" si="107"/>
        <v/>
      </c>
      <c r="N372" s="6" t="str">
        <f t="shared" si="108"/>
        <v/>
      </c>
      <c r="O372" s="9" t="str">
        <f t="shared" si="109"/>
        <v/>
      </c>
      <c r="P372" s="9" t="str">
        <f t="shared" si="110"/>
        <v/>
      </c>
      <c r="Q372" s="9" t="str">
        <f t="shared" si="111"/>
        <v/>
      </c>
      <c r="R372" s="9" t="str">
        <f t="shared" ca="1" si="112"/>
        <v/>
      </c>
      <c r="T372" s="6" t="str">
        <f t="shared" si="113"/>
        <v/>
      </c>
      <c r="U372" s="6" t="str">
        <f t="shared" si="114"/>
        <v/>
      </c>
      <c r="V372" s="10" t="str">
        <f t="shared" si="115"/>
        <v/>
      </c>
      <c r="W372" s="8" t="str">
        <f t="shared" si="116"/>
        <v/>
      </c>
      <c r="X372" s="9">
        <f t="shared" si="123"/>
        <v>0</v>
      </c>
      <c r="Y372" s="9">
        <f t="shared" si="124"/>
        <v>0</v>
      </c>
    </row>
    <row r="373" spans="2:25" x14ac:dyDescent="0.3">
      <c r="B373" s="6">
        <v>336</v>
      </c>
      <c r="C373" s="79" t="str">
        <f t="shared" si="125"/>
        <v/>
      </c>
      <c r="D373" s="6" t="str">
        <f t="shared" si="105"/>
        <v/>
      </c>
      <c r="E373" s="79" t="str">
        <f t="shared" si="117"/>
        <v/>
      </c>
      <c r="F373" s="79" t="str">
        <f>IF(B372&gt;$C$18,"",IF(COUNTIF(Feriados!$A$2:$B$17,EDATE($C$38,B372))=0,EDATE($C$38,B372),EDATE($C$38,B372)+VLOOKUP(EDATE($C$38,B372),Feriados!$A$2:$B$17,2,FALSE)))</f>
        <v/>
      </c>
      <c r="G373" s="6" t="str">
        <f t="shared" si="118"/>
        <v/>
      </c>
      <c r="H373" s="6" t="str">
        <f t="shared" si="119"/>
        <v/>
      </c>
      <c r="I373" s="8" t="str">
        <f t="shared" si="120"/>
        <v/>
      </c>
      <c r="J373" s="8" t="str">
        <f t="shared" si="121"/>
        <v/>
      </c>
      <c r="K373" s="9" t="str">
        <f t="shared" si="106"/>
        <v/>
      </c>
      <c r="L373" s="9" t="str">
        <f t="shared" si="122"/>
        <v/>
      </c>
      <c r="M373" s="10" t="str">
        <f t="shared" si="107"/>
        <v/>
      </c>
      <c r="N373" s="6" t="str">
        <f t="shared" si="108"/>
        <v/>
      </c>
      <c r="O373" s="9" t="str">
        <f t="shared" si="109"/>
        <v/>
      </c>
      <c r="P373" s="9" t="str">
        <f t="shared" si="110"/>
        <v/>
      </c>
      <c r="Q373" s="9" t="str">
        <f t="shared" si="111"/>
        <v/>
      </c>
      <c r="R373" s="9" t="str">
        <f t="shared" ca="1" si="112"/>
        <v/>
      </c>
      <c r="T373" s="6" t="str">
        <f t="shared" si="113"/>
        <v/>
      </c>
      <c r="U373" s="6" t="str">
        <f t="shared" si="114"/>
        <v/>
      </c>
      <c r="V373" s="10" t="str">
        <f t="shared" si="115"/>
        <v/>
      </c>
      <c r="W373" s="8" t="str">
        <f t="shared" si="116"/>
        <v/>
      </c>
      <c r="X373" s="9">
        <f t="shared" si="123"/>
        <v>0</v>
      </c>
      <c r="Y373" s="9">
        <f t="shared" si="124"/>
        <v>0</v>
      </c>
    </row>
    <row r="374" spans="2:25" x14ac:dyDescent="0.3">
      <c r="B374" s="6">
        <v>337</v>
      </c>
      <c r="C374" s="79" t="str">
        <f t="shared" si="125"/>
        <v/>
      </c>
      <c r="D374" s="6" t="str">
        <f t="shared" si="105"/>
        <v/>
      </c>
      <c r="E374" s="79" t="str">
        <f t="shared" si="117"/>
        <v/>
      </c>
      <c r="F374" s="79" t="str">
        <f>IF(B373&gt;$C$18,"",IF(COUNTIF(Feriados!$A$2:$B$17,EDATE($C$38,B373))=0,EDATE($C$38,B373),EDATE($C$38,B373)+VLOOKUP(EDATE($C$38,B373),Feriados!$A$2:$B$17,2,FALSE)))</f>
        <v/>
      </c>
      <c r="G374" s="6" t="str">
        <f t="shared" si="118"/>
        <v/>
      </c>
      <c r="H374" s="6" t="str">
        <f t="shared" si="119"/>
        <v/>
      </c>
      <c r="I374" s="8" t="str">
        <f t="shared" si="120"/>
        <v/>
      </c>
      <c r="J374" s="8" t="str">
        <f t="shared" si="121"/>
        <v/>
      </c>
      <c r="K374" s="9" t="str">
        <f t="shared" si="106"/>
        <v/>
      </c>
      <c r="L374" s="9" t="str">
        <f t="shared" si="122"/>
        <v/>
      </c>
      <c r="M374" s="10" t="str">
        <f t="shared" si="107"/>
        <v/>
      </c>
      <c r="N374" s="6" t="str">
        <f t="shared" si="108"/>
        <v/>
      </c>
      <c r="O374" s="9" t="str">
        <f t="shared" si="109"/>
        <v/>
      </c>
      <c r="P374" s="9" t="str">
        <f t="shared" si="110"/>
        <v/>
      </c>
      <c r="Q374" s="9" t="str">
        <f t="shared" si="111"/>
        <v/>
      </c>
      <c r="R374" s="9" t="str">
        <f t="shared" ca="1" si="112"/>
        <v/>
      </c>
      <c r="T374" s="6" t="str">
        <f t="shared" si="113"/>
        <v/>
      </c>
      <c r="U374" s="6" t="str">
        <f t="shared" si="114"/>
        <v/>
      </c>
      <c r="V374" s="10" t="str">
        <f t="shared" si="115"/>
        <v/>
      </c>
      <c r="W374" s="8" t="str">
        <f t="shared" si="116"/>
        <v/>
      </c>
      <c r="X374" s="9">
        <f t="shared" si="123"/>
        <v>0</v>
      </c>
      <c r="Y374" s="9">
        <f t="shared" si="124"/>
        <v>0</v>
      </c>
    </row>
    <row r="375" spans="2:25" x14ac:dyDescent="0.3">
      <c r="B375" s="6">
        <v>338</v>
      </c>
      <c r="C375" s="79" t="str">
        <f t="shared" si="125"/>
        <v/>
      </c>
      <c r="D375" s="6" t="str">
        <f t="shared" si="105"/>
        <v/>
      </c>
      <c r="E375" s="79" t="str">
        <f t="shared" si="117"/>
        <v/>
      </c>
      <c r="F375" s="79" t="str">
        <f>IF(B374&gt;$C$18,"",IF(COUNTIF(Feriados!$A$2:$B$17,EDATE($C$38,B374))=0,EDATE($C$38,B374),EDATE($C$38,B374)+VLOOKUP(EDATE($C$38,B374),Feriados!$A$2:$B$17,2,FALSE)))</f>
        <v/>
      </c>
      <c r="G375" s="6" t="str">
        <f t="shared" si="118"/>
        <v/>
      </c>
      <c r="H375" s="6" t="str">
        <f t="shared" si="119"/>
        <v/>
      </c>
      <c r="I375" s="8" t="str">
        <f t="shared" si="120"/>
        <v/>
      </c>
      <c r="J375" s="8" t="str">
        <f t="shared" si="121"/>
        <v/>
      </c>
      <c r="K375" s="9" t="str">
        <f t="shared" si="106"/>
        <v/>
      </c>
      <c r="L375" s="9" t="str">
        <f t="shared" si="122"/>
        <v/>
      </c>
      <c r="M375" s="10" t="str">
        <f t="shared" si="107"/>
        <v/>
      </c>
      <c r="N375" s="6" t="str">
        <f t="shared" si="108"/>
        <v/>
      </c>
      <c r="O375" s="9" t="str">
        <f t="shared" si="109"/>
        <v/>
      </c>
      <c r="P375" s="9" t="str">
        <f t="shared" si="110"/>
        <v/>
      </c>
      <c r="Q375" s="9" t="str">
        <f t="shared" si="111"/>
        <v/>
      </c>
      <c r="R375" s="9" t="str">
        <f t="shared" ca="1" si="112"/>
        <v/>
      </c>
      <c r="T375" s="6" t="str">
        <f t="shared" si="113"/>
        <v/>
      </c>
      <c r="U375" s="6" t="str">
        <f t="shared" si="114"/>
        <v/>
      </c>
      <c r="V375" s="10" t="str">
        <f t="shared" si="115"/>
        <v/>
      </c>
      <c r="W375" s="8" t="str">
        <f t="shared" si="116"/>
        <v/>
      </c>
      <c r="X375" s="9">
        <f t="shared" si="123"/>
        <v>0</v>
      </c>
      <c r="Y375" s="9">
        <f t="shared" si="124"/>
        <v>0</v>
      </c>
    </row>
    <row r="376" spans="2:25" x14ac:dyDescent="0.3">
      <c r="B376" s="6">
        <v>339</v>
      </c>
      <c r="C376" s="79" t="str">
        <f t="shared" si="125"/>
        <v/>
      </c>
      <c r="D376" s="6" t="str">
        <f t="shared" si="105"/>
        <v/>
      </c>
      <c r="E376" s="79" t="str">
        <f t="shared" si="117"/>
        <v/>
      </c>
      <c r="F376" s="79" t="str">
        <f>IF(B375&gt;$C$18,"",IF(COUNTIF(Feriados!$A$2:$B$17,EDATE($C$38,B375))=0,EDATE($C$38,B375),EDATE($C$38,B375)+VLOOKUP(EDATE($C$38,B375),Feriados!$A$2:$B$17,2,FALSE)))</f>
        <v/>
      </c>
      <c r="G376" s="6" t="str">
        <f t="shared" si="118"/>
        <v/>
      </c>
      <c r="H376" s="6" t="str">
        <f t="shared" si="119"/>
        <v/>
      </c>
      <c r="I376" s="8" t="str">
        <f t="shared" si="120"/>
        <v/>
      </c>
      <c r="J376" s="8" t="str">
        <f t="shared" si="121"/>
        <v/>
      </c>
      <c r="K376" s="9" t="str">
        <f t="shared" si="106"/>
        <v/>
      </c>
      <c r="L376" s="9" t="str">
        <f t="shared" si="122"/>
        <v/>
      </c>
      <c r="M376" s="10" t="str">
        <f t="shared" si="107"/>
        <v/>
      </c>
      <c r="N376" s="6" t="str">
        <f t="shared" si="108"/>
        <v/>
      </c>
      <c r="O376" s="9" t="str">
        <f t="shared" si="109"/>
        <v/>
      </c>
      <c r="P376" s="9" t="str">
        <f t="shared" si="110"/>
        <v/>
      </c>
      <c r="Q376" s="9" t="str">
        <f t="shared" si="111"/>
        <v/>
      </c>
      <c r="R376" s="9" t="str">
        <f t="shared" ca="1" si="112"/>
        <v/>
      </c>
      <c r="T376" s="6" t="str">
        <f t="shared" si="113"/>
        <v/>
      </c>
      <c r="U376" s="6" t="str">
        <f t="shared" si="114"/>
        <v/>
      </c>
      <c r="V376" s="10" t="str">
        <f t="shared" si="115"/>
        <v/>
      </c>
      <c r="W376" s="8" t="str">
        <f t="shared" si="116"/>
        <v/>
      </c>
      <c r="X376" s="9">
        <f t="shared" si="123"/>
        <v>0</v>
      </c>
      <c r="Y376" s="9">
        <f t="shared" si="124"/>
        <v>0</v>
      </c>
    </row>
    <row r="377" spans="2:25" x14ac:dyDescent="0.3">
      <c r="B377" s="6">
        <v>340</v>
      </c>
      <c r="C377" s="79" t="str">
        <f t="shared" si="125"/>
        <v/>
      </c>
      <c r="D377" s="6" t="str">
        <f t="shared" si="105"/>
        <v/>
      </c>
      <c r="E377" s="79" t="str">
        <f t="shared" si="117"/>
        <v/>
      </c>
      <c r="F377" s="79" t="str">
        <f>IF(B376&gt;$C$18,"",IF(COUNTIF(Feriados!$A$2:$B$17,EDATE($C$38,B376))=0,EDATE($C$38,B376),EDATE($C$38,B376)+VLOOKUP(EDATE($C$38,B376),Feriados!$A$2:$B$17,2,FALSE)))</f>
        <v/>
      </c>
      <c r="G377" s="6" t="str">
        <f t="shared" si="118"/>
        <v/>
      </c>
      <c r="H377" s="6" t="str">
        <f t="shared" si="119"/>
        <v/>
      </c>
      <c r="I377" s="8" t="str">
        <f t="shared" si="120"/>
        <v/>
      </c>
      <c r="J377" s="8" t="str">
        <f t="shared" si="121"/>
        <v/>
      </c>
      <c r="K377" s="9" t="str">
        <f t="shared" si="106"/>
        <v/>
      </c>
      <c r="L377" s="9" t="str">
        <f t="shared" si="122"/>
        <v/>
      </c>
      <c r="M377" s="10" t="str">
        <f t="shared" si="107"/>
        <v/>
      </c>
      <c r="N377" s="6" t="str">
        <f t="shared" si="108"/>
        <v/>
      </c>
      <c r="O377" s="9" t="str">
        <f t="shared" si="109"/>
        <v/>
      </c>
      <c r="P377" s="9" t="str">
        <f t="shared" si="110"/>
        <v/>
      </c>
      <c r="Q377" s="9" t="str">
        <f t="shared" si="111"/>
        <v/>
      </c>
      <c r="R377" s="9" t="str">
        <f t="shared" ca="1" si="112"/>
        <v/>
      </c>
      <c r="T377" s="6" t="str">
        <f t="shared" si="113"/>
        <v/>
      </c>
      <c r="U377" s="6" t="str">
        <f t="shared" si="114"/>
        <v/>
      </c>
      <c r="V377" s="10" t="str">
        <f t="shared" si="115"/>
        <v/>
      </c>
      <c r="W377" s="8" t="str">
        <f t="shared" si="116"/>
        <v/>
      </c>
      <c r="X377" s="9">
        <f t="shared" si="123"/>
        <v>0</v>
      </c>
      <c r="Y377" s="9">
        <f t="shared" si="124"/>
        <v>0</v>
      </c>
    </row>
    <row r="378" spans="2:25" x14ac:dyDescent="0.3">
      <c r="B378" s="6">
        <v>341</v>
      </c>
      <c r="C378" s="79" t="str">
        <f t="shared" si="125"/>
        <v/>
      </c>
      <c r="D378" s="6" t="str">
        <f t="shared" si="105"/>
        <v/>
      </c>
      <c r="E378" s="79" t="str">
        <f t="shared" si="117"/>
        <v/>
      </c>
      <c r="F378" s="79" t="str">
        <f>IF(B377&gt;$C$18,"",IF(COUNTIF(Feriados!$A$2:$B$17,EDATE($C$38,B377))=0,EDATE($C$38,B377),EDATE($C$38,B377)+VLOOKUP(EDATE($C$38,B377),Feriados!$A$2:$B$17,2,FALSE)))</f>
        <v/>
      </c>
      <c r="G378" s="6" t="str">
        <f t="shared" si="118"/>
        <v/>
      </c>
      <c r="H378" s="6" t="str">
        <f t="shared" si="119"/>
        <v/>
      </c>
      <c r="I378" s="8" t="str">
        <f t="shared" si="120"/>
        <v/>
      </c>
      <c r="J378" s="8" t="str">
        <f t="shared" si="121"/>
        <v/>
      </c>
      <c r="K378" s="9" t="str">
        <f t="shared" si="106"/>
        <v/>
      </c>
      <c r="L378" s="9" t="str">
        <f t="shared" si="122"/>
        <v/>
      </c>
      <c r="M378" s="10" t="str">
        <f t="shared" si="107"/>
        <v/>
      </c>
      <c r="N378" s="6" t="str">
        <f t="shared" si="108"/>
        <v/>
      </c>
      <c r="O378" s="9" t="str">
        <f t="shared" si="109"/>
        <v/>
      </c>
      <c r="P378" s="9" t="str">
        <f t="shared" si="110"/>
        <v/>
      </c>
      <c r="Q378" s="9" t="str">
        <f t="shared" si="111"/>
        <v/>
      </c>
      <c r="R378" s="9" t="str">
        <f t="shared" ca="1" si="112"/>
        <v/>
      </c>
      <c r="T378" s="6" t="str">
        <f t="shared" si="113"/>
        <v/>
      </c>
      <c r="U378" s="6" t="str">
        <f t="shared" si="114"/>
        <v/>
      </c>
      <c r="V378" s="10" t="str">
        <f t="shared" si="115"/>
        <v/>
      </c>
      <c r="W378" s="8" t="str">
        <f t="shared" si="116"/>
        <v/>
      </c>
      <c r="X378" s="9">
        <f t="shared" si="123"/>
        <v>0</v>
      </c>
      <c r="Y378" s="9">
        <f t="shared" si="124"/>
        <v>0</v>
      </c>
    </row>
    <row r="379" spans="2:25" x14ac:dyDescent="0.3">
      <c r="B379" s="6">
        <v>342</v>
      </c>
      <c r="C379" s="79" t="str">
        <f t="shared" si="125"/>
        <v/>
      </c>
      <c r="D379" s="6" t="str">
        <f t="shared" si="105"/>
        <v/>
      </c>
      <c r="E379" s="79" t="str">
        <f t="shared" si="117"/>
        <v/>
      </c>
      <c r="F379" s="79" t="str">
        <f>IF(B378&gt;$C$18,"",IF(COUNTIF(Feriados!$A$2:$B$17,EDATE($C$38,B378))=0,EDATE($C$38,B378),EDATE($C$38,B378)+VLOOKUP(EDATE($C$38,B378),Feriados!$A$2:$B$17,2,FALSE)))</f>
        <v/>
      </c>
      <c r="G379" s="6" t="str">
        <f t="shared" si="118"/>
        <v/>
      </c>
      <c r="H379" s="6" t="str">
        <f t="shared" si="119"/>
        <v/>
      </c>
      <c r="I379" s="8" t="str">
        <f t="shared" si="120"/>
        <v/>
      </c>
      <c r="J379" s="8" t="str">
        <f t="shared" si="121"/>
        <v/>
      </c>
      <c r="K379" s="9" t="str">
        <f t="shared" si="106"/>
        <v/>
      </c>
      <c r="L379" s="9" t="str">
        <f t="shared" si="122"/>
        <v/>
      </c>
      <c r="M379" s="10" t="str">
        <f t="shared" si="107"/>
        <v/>
      </c>
      <c r="N379" s="6" t="str">
        <f t="shared" si="108"/>
        <v/>
      </c>
      <c r="O379" s="9" t="str">
        <f t="shared" si="109"/>
        <v/>
      </c>
      <c r="P379" s="9" t="str">
        <f t="shared" si="110"/>
        <v/>
      </c>
      <c r="Q379" s="9" t="str">
        <f t="shared" si="111"/>
        <v/>
      </c>
      <c r="R379" s="9" t="str">
        <f t="shared" ca="1" si="112"/>
        <v/>
      </c>
      <c r="T379" s="6" t="str">
        <f t="shared" si="113"/>
        <v/>
      </c>
      <c r="U379" s="6" t="str">
        <f t="shared" si="114"/>
        <v/>
      </c>
      <c r="V379" s="10" t="str">
        <f t="shared" si="115"/>
        <v/>
      </c>
      <c r="W379" s="8" t="str">
        <f t="shared" si="116"/>
        <v/>
      </c>
      <c r="X379" s="9">
        <f t="shared" si="123"/>
        <v>0</v>
      </c>
      <c r="Y379" s="9">
        <f t="shared" si="124"/>
        <v>0</v>
      </c>
    </row>
    <row r="380" spans="2:25" x14ac:dyDescent="0.3">
      <c r="B380" s="6">
        <v>343</v>
      </c>
      <c r="C380" s="79" t="str">
        <f t="shared" si="125"/>
        <v/>
      </c>
      <c r="D380" s="6" t="str">
        <f t="shared" si="105"/>
        <v/>
      </c>
      <c r="E380" s="79" t="str">
        <f t="shared" si="117"/>
        <v/>
      </c>
      <c r="F380" s="79" t="str">
        <f>IF(B379&gt;$C$18,"",IF(COUNTIF(Feriados!$A$2:$B$17,EDATE($C$38,B379))=0,EDATE($C$38,B379),EDATE($C$38,B379)+VLOOKUP(EDATE($C$38,B379),Feriados!$A$2:$B$17,2,FALSE)))</f>
        <v/>
      </c>
      <c r="G380" s="6" t="str">
        <f t="shared" si="118"/>
        <v/>
      </c>
      <c r="H380" s="6" t="str">
        <f t="shared" si="119"/>
        <v/>
      </c>
      <c r="I380" s="8" t="str">
        <f t="shared" si="120"/>
        <v/>
      </c>
      <c r="J380" s="8" t="str">
        <f t="shared" si="121"/>
        <v/>
      </c>
      <c r="K380" s="9" t="str">
        <f t="shared" si="106"/>
        <v/>
      </c>
      <c r="L380" s="9" t="str">
        <f t="shared" si="122"/>
        <v/>
      </c>
      <c r="M380" s="10" t="str">
        <f t="shared" si="107"/>
        <v/>
      </c>
      <c r="N380" s="6" t="str">
        <f t="shared" si="108"/>
        <v/>
      </c>
      <c r="O380" s="9" t="str">
        <f t="shared" si="109"/>
        <v/>
      </c>
      <c r="P380" s="9" t="str">
        <f t="shared" si="110"/>
        <v/>
      </c>
      <c r="Q380" s="9" t="str">
        <f t="shared" si="111"/>
        <v/>
      </c>
      <c r="R380" s="9" t="str">
        <f t="shared" ca="1" si="112"/>
        <v/>
      </c>
      <c r="T380" s="6" t="str">
        <f t="shared" si="113"/>
        <v/>
      </c>
      <c r="U380" s="6" t="str">
        <f t="shared" si="114"/>
        <v/>
      </c>
      <c r="V380" s="10" t="str">
        <f t="shared" si="115"/>
        <v/>
      </c>
      <c r="W380" s="8" t="str">
        <f t="shared" si="116"/>
        <v/>
      </c>
      <c r="X380" s="9">
        <f t="shared" si="123"/>
        <v>0</v>
      </c>
      <c r="Y380" s="9">
        <f t="shared" si="124"/>
        <v>0</v>
      </c>
    </row>
    <row r="381" spans="2:25" x14ac:dyDescent="0.3">
      <c r="B381" s="6">
        <v>344</v>
      </c>
      <c r="C381" s="79" t="str">
        <f t="shared" si="125"/>
        <v/>
      </c>
      <c r="D381" s="6" t="str">
        <f t="shared" si="105"/>
        <v/>
      </c>
      <c r="E381" s="79" t="str">
        <f t="shared" si="117"/>
        <v/>
      </c>
      <c r="F381" s="79" t="str">
        <f>IF(B380&gt;$C$18,"",IF(COUNTIF(Feriados!$A$2:$B$17,EDATE($C$38,B380))=0,EDATE($C$38,B380),EDATE($C$38,B380)+VLOOKUP(EDATE($C$38,B380),Feriados!$A$2:$B$17,2,FALSE)))</f>
        <v/>
      </c>
      <c r="G381" s="6" t="str">
        <f t="shared" si="118"/>
        <v/>
      </c>
      <c r="H381" s="6" t="str">
        <f t="shared" si="119"/>
        <v/>
      </c>
      <c r="I381" s="8" t="str">
        <f t="shared" si="120"/>
        <v/>
      </c>
      <c r="J381" s="8" t="str">
        <f t="shared" si="121"/>
        <v/>
      </c>
      <c r="K381" s="9" t="str">
        <f t="shared" si="106"/>
        <v/>
      </c>
      <c r="L381" s="9" t="str">
        <f t="shared" si="122"/>
        <v/>
      </c>
      <c r="M381" s="10" t="str">
        <f t="shared" si="107"/>
        <v/>
      </c>
      <c r="N381" s="6" t="str">
        <f t="shared" si="108"/>
        <v/>
      </c>
      <c r="O381" s="9" t="str">
        <f t="shared" si="109"/>
        <v/>
      </c>
      <c r="P381" s="9" t="str">
        <f t="shared" si="110"/>
        <v/>
      </c>
      <c r="Q381" s="9" t="str">
        <f t="shared" si="111"/>
        <v/>
      </c>
      <c r="R381" s="9" t="str">
        <f t="shared" ca="1" si="112"/>
        <v/>
      </c>
      <c r="T381" s="6" t="str">
        <f t="shared" si="113"/>
        <v/>
      </c>
      <c r="U381" s="6" t="str">
        <f t="shared" si="114"/>
        <v/>
      </c>
      <c r="V381" s="10" t="str">
        <f t="shared" si="115"/>
        <v/>
      </c>
      <c r="W381" s="8" t="str">
        <f t="shared" si="116"/>
        <v/>
      </c>
      <c r="X381" s="9">
        <f t="shared" si="123"/>
        <v>0</v>
      </c>
      <c r="Y381" s="9">
        <f t="shared" si="124"/>
        <v>0</v>
      </c>
    </row>
    <row r="382" spans="2:25" x14ac:dyDescent="0.3">
      <c r="B382" s="6">
        <v>345</v>
      </c>
      <c r="C382" s="79" t="str">
        <f t="shared" si="125"/>
        <v/>
      </c>
      <c r="D382" s="6" t="str">
        <f t="shared" si="105"/>
        <v/>
      </c>
      <c r="E382" s="79" t="str">
        <f t="shared" si="117"/>
        <v/>
      </c>
      <c r="F382" s="79" t="str">
        <f>IF(B381&gt;$C$18,"",IF(COUNTIF(Feriados!$A$2:$B$17,EDATE($C$38,B381))=0,EDATE($C$38,B381),EDATE($C$38,B381)+VLOOKUP(EDATE($C$38,B381),Feriados!$A$2:$B$17,2,FALSE)))</f>
        <v/>
      </c>
      <c r="G382" s="6" t="str">
        <f t="shared" si="118"/>
        <v/>
      </c>
      <c r="H382" s="6" t="str">
        <f t="shared" si="119"/>
        <v/>
      </c>
      <c r="I382" s="8" t="str">
        <f t="shared" si="120"/>
        <v/>
      </c>
      <c r="J382" s="8" t="str">
        <f t="shared" si="121"/>
        <v/>
      </c>
      <c r="K382" s="9" t="str">
        <f t="shared" si="106"/>
        <v/>
      </c>
      <c r="L382" s="9" t="str">
        <f t="shared" si="122"/>
        <v/>
      </c>
      <c r="M382" s="10" t="str">
        <f t="shared" si="107"/>
        <v/>
      </c>
      <c r="N382" s="6" t="str">
        <f t="shared" si="108"/>
        <v/>
      </c>
      <c r="O382" s="9" t="str">
        <f t="shared" si="109"/>
        <v/>
      </c>
      <c r="P382" s="9" t="str">
        <f t="shared" si="110"/>
        <v/>
      </c>
      <c r="Q382" s="9" t="str">
        <f t="shared" si="111"/>
        <v/>
      </c>
      <c r="R382" s="9" t="str">
        <f t="shared" ca="1" si="112"/>
        <v/>
      </c>
      <c r="T382" s="6" t="str">
        <f t="shared" si="113"/>
        <v/>
      </c>
      <c r="U382" s="6" t="str">
        <f t="shared" si="114"/>
        <v/>
      </c>
      <c r="V382" s="10" t="str">
        <f t="shared" si="115"/>
        <v/>
      </c>
      <c r="W382" s="8" t="str">
        <f t="shared" si="116"/>
        <v/>
      </c>
      <c r="X382" s="9">
        <f t="shared" si="123"/>
        <v>0</v>
      </c>
      <c r="Y382" s="9">
        <f t="shared" si="124"/>
        <v>0</v>
      </c>
    </row>
    <row r="383" spans="2:25" x14ac:dyDescent="0.3">
      <c r="B383" s="6">
        <v>346</v>
      </c>
      <c r="C383" s="79" t="str">
        <f t="shared" si="125"/>
        <v/>
      </c>
      <c r="D383" s="6" t="str">
        <f t="shared" si="105"/>
        <v/>
      </c>
      <c r="E383" s="79" t="str">
        <f t="shared" si="117"/>
        <v/>
      </c>
      <c r="F383" s="79" t="str">
        <f>IF(B382&gt;$C$18,"",IF(COUNTIF(Feriados!$A$2:$B$17,EDATE($C$38,B382))=0,EDATE($C$38,B382),EDATE($C$38,B382)+VLOOKUP(EDATE($C$38,B382),Feriados!$A$2:$B$17,2,FALSE)))</f>
        <v/>
      </c>
      <c r="G383" s="6" t="str">
        <f t="shared" si="118"/>
        <v/>
      </c>
      <c r="H383" s="6" t="str">
        <f t="shared" si="119"/>
        <v/>
      </c>
      <c r="I383" s="8" t="str">
        <f t="shared" si="120"/>
        <v/>
      </c>
      <c r="J383" s="8" t="str">
        <f t="shared" si="121"/>
        <v/>
      </c>
      <c r="K383" s="9" t="str">
        <f t="shared" si="106"/>
        <v/>
      </c>
      <c r="L383" s="9" t="str">
        <f t="shared" si="122"/>
        <v/>
      </c>
      <c r="M383" s="10" t="str">
        <f t="shared" si="107"/>
        <v/>
      </c>
      <c r="N383" s="6" t="str">
        <f t="shared" si="108"/>
        <v/>
      </c>
      <c r="O383" s="9" t="str">
        <f t="shared" si="109"/>
        <v/>
      </c>
      <c r="P383" s="9" t="str">
        <f t="shared" si="110"/>
        <v/>
      </c>
      <c r="Q383" s="9" t="str">
        <f t="shared" si="111"/>
        <v/>
      </c>
      <c r="R383" s="9" t="str">
        <f t="shared" ca="1" si="112"/>
        <v/>
      </c>
      <c r="T383" s="6" t="str">
        <f t="shared" si="113"/>
        <v/>
      </c>
      <c r="U383" s="6" t="str">
        <f t="shared" si="114"/>
        <v/>
      </c>
      <c r="V383" s="10" t="str">
        <f t="shared" si="115"/>
        <v/>
      </c>
      <c r="W383" s="8" t="str">
        <f t="shared" si="116"/>
        <v/>
      </c>
      <c r="X383" s="9">
        <f t="shared" si="123"/>
        <v>0</v>
      </c>
      <c r="Y383" s="9">
        <f t="shared" si="124"/>
        <v>0</v>
      </c>
    </row>
    <row r="384" spans="2:25" x14ac:dyDescent="0.3">
      <c r="B384" s="6">
        <v>347</v>
      </c>
      <c r="C384" s="79" t="str">
        <f t="shared" si="125"/>
        <v/>
      </c>
      <c r="D384" s="6" t="str">
        <f t="shared" si="105"/>
        <v/>
      </c>
      <c r="E384" s="79" t="str">
        <f t="shared" si="117"/>
        <v/>
      </c>
      <c r="F384" s="79" t="str">
        <f>IF(B383&gt;$C$18,"",IF(COUNTIF(Feriados!$A$2:$B$17,EDATE($C$38,B383))=0,EDATE($C$38,B383),EDATE($C$38,B383)+VLOOKUP(EDATE($C$38,B383),Feriados!$A$2:$B$17,2,FALSE)))</f>
        <v/>
      </c>
      <c r="G384" s="6" t="str">
        <f t="shared" si="118"/>
        <v/>
      </c>
      <c r="H384" s="6" t="str">
        <f t="shared" si="119"/>
        <v/>
      </c>
      <c r="I384" s="8" t="str">
        <f t="shared" si="120"/>
        <v/>
      </c>
      <c r="J384" s="8" t="str">
        <f t="shared" si="121"/>
        <v/>
      </c>
      <c r="K384" s="9" t="str">
        <f t="shared" si="106"/>
        <v/>
      </c>
      <c r="L384" s="9" t="str">
        <f t="shared" si="122"/>
        <v/>
      </c>
      <c r="M384" s="10" t="str">
        <f t="shared" si="107"/>
        <v/>
      </c>
      <c r="N384" s="6" t="str">
        <f t="shared" si="108"/>
        <v/>
      </c>
      <c r="O384" s="9" t="str">
        <f t="shared" si="109"/>
        <v/>
      </c>
      <c r="P384" s="9" t="str">
        <f t="shared" si="110"/>
        <v/>
      </c>
      <c r="Q384" s="9" t="str">
        <f t="shared" si="111"/>
        <v/>
      </c>
      <c r="R384" s="9" t="str">
        <f t="shared" ca="1" si="112"/>
        <v/>
      </c>
      <c r="T384" s="6" t="str">
        <f t="shared" si="113"/>
        <v/>
      </c>
      <c r="U384" s="6" t="str">
        <f t="shared" si="114"/>
        <v/>
      </c>
      <c r="V384" s="10" t="str">
        <f t="shared" si="115"/>
        <v/>
      </c>
      <c r="W384" s="8" t="str">
        <f t="shared" si="116"/>
        <v/>
      </c>
      <c r="X384" s="9">
        <f t="shared" si="123"/>
        <v>0</v>
      </c>
      <c r="Y384" s="9">
        <f t="shared" si="124"/>
        <v>0</v>
      </c>
    </row>
    <row r="385" spans="2:25" x14ac:dyDescent="0.3">
      <c r="B385" s="6">
        <v>348</v>
      </c>
      <c r="C385" s="79" t="str">
        <f t="shared" si="125"/>
        <v/>
      </c>
      <c r="D385" s="6" t="str">
        <f t="shared" si="105"/>
        <v/>
      </c>
      <c r="E385" s="79" t="str">
        <f t="shared" si="117"/>
        <v/>
      </c>
      <c r="F385" s="79" t="str">
        <f>IF(B384&gt;$C$18,"",IF(COUNTIF(Feriados!$A$2:$B$17,EDATE($C$38,B384))=0,EDATE($C$38,B384),EDATE($C$38,B384)+VLOOKUP(EDATE($C$38,B384),Feriados!$A$2:$B$17,2,FALSE)))</f>
        <v/>
      </c>
      <c r="G385" s="6" t="str">
        <f t="shared" si="118"/>
        <v/>
      </c>
      <c r="H385" s="6" t="str">
        <f t="shared" si="119"/>
        <v/>
      </c>
      <c r="I385" s="8" t="str">
        <f t="shared" si="120"/>
        <v/>
      </c>
      <c r="J385" s="8" t="str">
        <f t="shared" si="121"/>
        <v/>
      </c>
      <c r="K385" s="9" t="str">
        <f t="shared" si="106"/>
        <v/>
      </c>
      <c r="L385" s="9" t="str">
        <f t="shared" si="122"/>
        <v/>
      </c>
      <c r="M385" s="10" t="str">
        <f t="shared" si="107"/>
        <v/>
      </c>
      <c r="N385" s="6" t="str">
        <f t="shared" si="108"/>
        <v/>
      </c>
      <c r="O385" s="9" t="str">
        <f t="shared" si="109"/>
        <v/>
      </c>
      <c r="P385" s="9" t="str">
        <f t="shared" si="110"/>
        <v/>
      </c>
      <c r="Q385" s="9" t="str">
        <f t="shared" si="111"/>
        <v/>
      </c>
      <c r="R385" s="9" t="str">
        <f t="shared" ca="1" si="112"/>
        <v/>
      </c>
      <c r="T385" s="6" t="str">
        <f t="shared" si="113"/>
        <v/>
      </c>
      <c r="U385" s="6" t="str">
        <f t="shared" si="114"/>
        <v/>
      </c>
      <c r="V385" s="10" t="str">
        <f t="shared" si="115"/>
        <v/>
      </c>
      <c r="W385" s="8" t="str">
        <f t="shared" si="116"/>
        <v/>
      </c>
      <c r="X385" s="9">
        <f t="shared" si="123"/>
        <v>0</v>
      </c>
      <c r="Y385" s="9">
        <f t="shared" si="124"/>
        <v>0</v>
      </c>
    </row>
    <row r="386" spans="2:25" x14ac:dyDescent="0.3">
      <c r="B386" s="6">
        <v>349</v>
      </c>
      <c r="C386" s="79" t="str">
        <f t="shared" si="125"/>
        <v/>
      </c>
      <c r="D386" s="6" t="str">
        <f t="shared" si="105"/>
        <v/>
      </c>
      <c r="E386" s="79" t="str">
        <f t="shared" si="117"/>
        <v/>
      </c>
      <c r="F386" s="79" t="str">
        <f>IF(B385&gt;$C$18,"",IF(COUNTIF(Feriados!$A$2:$B$17,EDATE($C$38,B385))=0,EDATE($C$38,B385),EDATE($C$38,B385)+VLOOKUP(EDATE($C$38,B385),Feriados!$A$2:$B$17,2,FALSE)))</f>
        <v/>
      </c>
      <c r="G386" s="6" t="str">
        <f t="shared" si="118"/>
        <v/>
      </c>
      <c r="H386" s="6" t="str">
        <f t="shared" si="119"/>
        <v/>
      </c>
      <c r="I386" s="8" t="str">
        <f t="shared" si="120"/>
        <v/>
      </c>
      <c r="J386" s="8" t="str">
        <f t="shared" si="121"/>
        <v/>
      </c>
      <c r="K386" s="9" t="str">
        <f t="shared" si="106"/>
        <v/>
      </c>
      <c r="L386" s="9" t="str">
        <f t="shared" si="122"/>
        <v/>
      </c>
      <c r="M386" s="10" t="str">
        <f t="shared" si="107"/>
        <v/>
      </c>
      <c r="N386" s="6" t="str">
        <f t="shared" si="108"/>
        <v/>
      </c>
      <c r="O386" s="9" t="str">
        <f t="shared" si="109"/>
        <v/>
      </c>
      <c r="P386" s="9" t="str">
        <f t="shared" si="110"/>
        <v/>
      </c>
      <c r="Q386" s="9" t="str">
        <f t="shared" si="111"/>
        <v/>
      </c>
      <c r="R386" s="9" t="str">
        <f t="shared" ca="1" si="112"/>
        <v/>
      </c>
      <c r="T386" s="6" t="str">
        <f t="shared" si="113"/>
        <v/>
      </c>
      <c r="U386" s="6" t="str">
        <f t="shared" si="114"/>
        <v/>
      </c>
      <c r="V386" s="10" t="str">
        <f t="shared" si="115"/>
        <v/>
      </c>
      <c r="W386" s="8" t="str">
        <f t="shared" si="116"/>
        <v/>
      </c>
      <c r="X386" s="9">
        <f t="shared" si="123"/>
        <v>0</v>
      </c>
      <c r="Y386" s="9">
        <f t="shared" si="124"/>
        <v>0</v>
      </c>
    </row>
    <row r="387" spans="2:25" x14ac:dyDescent="0.3">
      <c r="B387" s="6">
        <v>350</v>
      </c>
      <c r="C387" s="79" t="str">
        <f t="shared" si="125"/>
        <v/>
      </c>
      <c r="D387" s="6" t="str">
        <f t="shared" si="105"/>
        <v/>
      </c>
      <c r="E387" s="79" t="str">
        <f t="shared" si="117"/>
        <v/>
      </c>
      <c r="F387" s="79" t="str">
        <f>IF(B386&gt;$C$18,"",IF(COUNTIF(Feriados!$A$2:$B$17,EDATE($C$38,B386))=0,EDATE($C$38,B386),EDATE($C$38,B386)+VLOOKUP(EDATE($C$38,B386),Feriados!$A$2:$B$17,2,FALSE)))</f>
        <v/>
      </c>
      <c r="G387" s="6" t="str">
        <f t="shared" si="118"/>
        <v/>
      </c>
      <c r="H387" s="6" t="str">
        <f t="shared" si="119"/>
        <v/>
      </c>
      <c r="I387" s="8" t="str">
        <f t="shared" si="120"/>
        <v/>
      </c>
      <c r="J387" s="8" t="str">
        <f t="shared" si="121"/>
        <v/>
      </c>
      <c r="K387" s="9" t="str">
        <f t="shared" si="106"/>
        <v/>
      </c>
      <c r="L387" s="9" t="str">
        <f t="shared" si="122"/>
        <v/>
      </c>
      <c r="M387" s="10" t="str">
        <f t="shared" si="107"/>
        <v/>
      </c>
      <c r="N387" s="6" t="str">
        <f t="shared" si="108"/>
        <v/>
      </c>
      <c r="O387" s="9" t="str">
        <f t="shared" si="109"/>
        <v/>
      </c>
      <c r="P387" s="9" t="str">
        <f t="shared" si="110"/>
        <v/>
      </c>
      <c r="Q387" s="9" t="str">
        <f t="shared" si="111"/>
        <v/>
      </c>
      <c r="R387" s="9" t="str">
        <f t="shared" ca="1" si="112"/>
        <v/>
      </c>
      <c r="T387" s="6" t="str">
        <f t="shared" si="113"/>
        <v/>
      </c>
      <c r="U387" s="6" t="str">
        <f t="shared" si="114"/>
        <v/>
      </c>
      <c r="V387" s="10" t="str">
        <f t="shared" si="115"/>
        <v/>
      </c>
      <c r="W387" s="8" t="str">
        <f t="shared" si="116"/>
        <v/>
      </c>
      <c r="X387" s="9">
        <f t="shared" si="123"/>
        <v>0</v>
      </c>
      <c r="Y387" s="9">
        <f t="shared" si="124"/>
        <v>0</v>
      </c>
    </row>
    <row r="388" spans="2:25" x14ac:dyDescent="0.3">
      <c r="B388" s="6">
        <v>351</v>
      </c>
      <c r="C388" s="79" t="str">
        <f t="shared" si="125"/>
        <v/>
      </c>
      <c r="D388" s="6" t="str">
        <f t="shared" si="105"/>
        <v/>
      </c>
      <c r="E388" s="79" t="str">
        <f t="shared" si="117"/>
        <v/>
      </c>
      <c r="F388" s="79" t="str">
        <f>IF(B387&gt;$C$18,"",IF(COUNTIF(Feriados!$A$2:$B$17,EDATE($C$38,B387))=0,EDATE($C$38,B387),EDATE($C$38,B387)+VLOOKUP(EDATE($C$38,B387),Feriados!$A$2:$B$17,2,FALSE)))</f>
        <v/>
      </c>
      <c r="G388" s="6" t="str">
        <f t="shared" si="118"/>
        <v/>
      </c>
      <c r="H388" s="6" t="str">
        <f t="shared" si="119"/>
        <v/>
      </c>
      <c r="I388" s="8" t="str">
        <f t="shared" si="120"/>
        <v/>
      </c>
      <c r="J388" s="8" t="str">
        <f t="shared" si="121"/>
        <v/>
      </c>
      <c r="K388" s="9" t="str">
        <f t="shared" si="106"/>
        <v/>
      </c>
      <c r="L388" s="9" t="str">
        <f t="shared" si="122"/>
        <v/>
      </c>
      <c r="M388" s="10" t="str">
        <f t="shared" si="107"/>
        <v/>
      </c>
      <c r="N388" s="6" t="str">
        <f t="shared" si="108"/>
        <v/>
      </c>
      <c r="O388" s="9" t="str">
        <f t="shared" si="109"/>
        <v/>
      </c>
      <c r="P388" s="9" t="str">
        <f t="shared" si="110"/>
        <v/>
      </c>
      <c r="Q388" s="9" t="str">
        <f t="shared" si="111"/>
        <v/>
      </c>
      <c r="R388" s="9" t="str">
        <f t="shared" ca="1" si="112"/>
        <v/>
      </c>
      <c r="T388" s="6" t="str">
        <f t="shared" si="113"/>
        <v/>
      </c>
      <c r="U388" s="6" t="str">
        <f t="shared" si="114"/>
        <v/>
      </c>
      <c r="V388" s="10" t="str">
        <f t="shared" si="115"/>
        <v/>
      </c>
      <c r="W388" s="8" t="str">
        <f t="shared" si="116"/>
        <v/>
      </c>
      <c r="X388" s="9">
        <f t="shared" si="123"/>
        <v>0</v>
      </c>
      <c r="Y388" s="9">
        <f t="shared" si="124"/>
        <v>0</v>
      </c>
    </row>
    <row r="389" spans="2:25" x14ac:dyDescent="0.3">
      <c r="B389" s="6">
        <v>352</v>
      </c>
      <c r="C389" s="79" t="str">
        <f t="shared" si="125"/>
        <v/>
      </c>
      <c r="D389" s="6" t="str">
        <f t="shared" si="105"/>
        <v/>
      </c>
      <c r="E389" s="79" t="str">
        <f t="shared" si="117"/>
        <v/>
      </c>
      <c r="F389" s="79" t="str">
        <f>IF(B388&gt;$C$18,"",IF(COUNTIF(Feriados!$A$2:$B$17,EDATE($C$38,B388))=0,EDATE($C$38,B388),EDATE($C$38,B388)+VLOOKUP(EDATE($C$38,B388),Feriados!$A$2:$B$17,2,FALSE)))</f>
        <v/>
      </c>
      <c r="G389" s="6" t="str">
        <f t="shared" si="118"/>
        <v/>
      </c>
      <c r="H389" s="6" t="str">
        <f t="shared" si="119"/>
        <v/>
      </c>
      <c r="I389" s="8" t="str">
        <f t="shared" si="120"/>
        <v/>
      </c>
      <c r="J389" s="8" t="str">
        <f t="shared" si="121"/>
        <v/>
      </c>
      <c r="K389" s="9" t="str">
        <f t="shared" si="106"/>
        <v/>
      </c>
      <c r="L389" s="9" t="str">
        <f t="shared" si="122"/>
        <v/>
      </c>
      <c r="M389" s="10" t="str">
        <f t="shared" si="107"/>
        <v/>
      </c>
      <c r="N389" s="6" t="str">
        <f t="shared" si="108"/>
        <v/>
      </c>
      <c r="O389" s="9" t="str">
        <f t="shared" si="109"/>
        <v/>
      </c>
      <c r="P389" s="9" t="str">
        <f t="shared" si="110"/>
        <v/>
      </c>
      <c r="Q389" s="9" t="str">
        <f t="shared" si="111"/>
        <v/>
      </c>
      <c r="R389" s="9" t="str">
        <f t="shared" ca="1" si="112"/>
        <v/>
      </c>
      <c r="T389" s="6" t="str">
        <f t="shared" si="113"/>
        <v/>
      </c>
      <c r="U389" s="6" t="str">
        <f t="shared" si="114"/>
        <v/>
      </c>
      <c r="V389" s="10" t="str">
        <f t="shared" si="115"/>
        <v/>
      </c>
      <c r="W389" s="8" t="str">
        <f t="shared" si="116"/>
        <v/>
      </c>
      <c r="X389" s="9">
        <f t="shared" si="123"/>
        <v>0</v>
      </c>
      <c r="Y389" s="9">
        <f t="shared" si="124"/>
        <v>0</v>
      </c>
    </row>
    <row r="390" spans="2:25" x14ac:dyDescent="0.3">
      <c r="B390" s="6">
        <v>353</v>
      </c>
      <c r="C390" s="79" t="str">
        <f t="shared" si="125"/>
        <v/>
      </c>
      <c r="D390" s="6" t="str">
        <f t="shared" si="105"/>
        <v/>
      </c>
      <c r="E390" s="79" t="str">
        <f t="shared" si="117"/>
        <v/>
      </c>
      <c r="F390" s="79" t="str">
        <f>IF(B389&gt;$C$18,"",IF(COUNTIF(Feriados!$A$2:$B$17,EDATE($C$38,B389))=0,EDATE($C$38,B389),EDATE($C$38,B389)+VLOOKUP(EDATE($C$38,B389),Feriados!$A$2:$B$17,2,FALSE)))</f>
        <v/>
      </c>
      <c r="G390" s="6" t="str">
        <f t="shared" si="118"/>
        <v/>
      </c>
      <c r="H390" s="6" t="str">
        <f t="shared" si="119"/>
        <v/>
      </c>
      <c r="I390" s="8" t="str">
        <f t="shared" si="120"/>
        <v/>
      </c>
      <c r="J390" s="8" t="str">
        <f t="shared" si="121"/>
        <v/>
      </c>
      <c r="K390" s="9" t="str">
        <f t="shared" si="106"/>
        <v/>
      </c>
      <c r="L390" s="9" t="str">
        <f t="shared" si="122"/>
        <v/>
      </c>
      <c r="M390" s="10" t="str">
        <f t="shared" si="107"/>
        <v/>
      </c>
      <c r="N390" s="6" t="str">
        <f t="shared" si="108"/>
        <v/>
      </c>
      <c r="O390" s="9" t="str">
        <f t="shared" si="109"/>
        <v/>
      </c>
      <c r="P390" s="9" t="str">
        <f t="shared" si="110"/>
        <v/>
      </c>
      <c r="Q390" s="9" t="str">
        <f t="shared" si="111"/>
        <v/>
      </c>
      <c r="R390" s="9" t="str">
        <f t="shared" ca="1" si="112"/>
        <v/>
      </c>
      <c r="T390" s="6" t="str">
        <f t="shared" si="113"/>
        <v/>
      </c>
      <c r="U390" s="6" t="str">
        <f t="shared" si="114"/>
        <v/>
      </c>
      <c r="V390" s="10" t="str">
        <f t="shared" si="115"/>
        <v/>
      </c>
      <c r="W390" s="8" t="str">
        <f t="shared" si="116"/>
        <v/>
      </c>
      <c r="X390" s="9">
        <f t="shared" si="123"/>
        <v>0</v>
      </c>
      <c r="Y390" s="9">
        <f t="shared" si="124"/>
        <v>0</v>
      </c>
    </row>
    <row r="391" spans="2:25" x14ac:dyDescent="0.3">
      <c r="B391" s="6">
        <v>354</v>
      </c>
      <c r="C391" s="79" t="str">
        <f t="shared" si="125"/>
        <v/>
      </c>
      <c r="D391" s="6" t="str">
        <f t="shared" si="105"/>
        <v/>
      </c>
      <c r="E391" s="79" t="str">
        <f t="shared" si="117"/>
        <v/>
      </c>
      <c r="F391" s="79" t="str">
        <f>IF(B390&gt;$C$18,"",IF(COUNTIF(Feriados!$A$2:$B$17,EDATE($C$38,B390))=0,EDATE($C$38,B390),EDATE($C$38,B390)+VLOOKUP(EDATE($C$38,B390),Feriados!$A$2:$B$17,2,FALSE)))</f>
        <v/>
      </c>
      <c r="G391" s="6" t="str">
        <f t="shared" si="118"/>
        <v/>
      </c>
      <c r="H391" s="6" t="str">
        <f t="shared" si="119"/>
        <v/>
      </c>
      <c r="I391" s="8" t="str">
        <f t="shared" si="120"/>
        <v/>
      </c>
      <c r="J391" s="8" t="str">
        <f t="shared" si="121"/>
        <v/>
      </c>
      <c r="K391" s="9" t="str">
        <f t="shared" si="106"/>
        <v/>
      </c>
      <c r="L391" s="9" t="str">
        <f t="shared" si="122"/>
        <v/>
      </c>
      <c r="M391" s="10" t="str">
        <f t="shared" si="107"/>
        <v/>
      </c>
      <c r="N391" s="6" t="str">
        <f t="shared" si="108"/>
        <v/>
      </c>
      <c r="O391" s="9" t="str">
        <f t="shared" si="109"/>
        <v/>
      </c>
      <c r="P391" s="9" t="str">
        <f t="shared" si="110"/>
        <v/>
      </c>
      <c r="Q391" s="9" t="str">
        <f t="shared" si="111"/>
        <v/>
      </c>
      <c r="R391" s="9" t="str">
        <f t="shared" ca="1" si="112"/>
        <v/>
      </c>
      <c r="T391" s="6" t="str">
        <f t="shared" si="113"/>
        <v/>
      </c>
      <c r="U391" s="6" t="str">
        <f t="shared" si="114"/>
        <v/>
      </c>
      <c r="V391" s="10" t="str">
        <f t="shared" si="115"/>
        <v/>
      </c>
      <c r="W391" s="8" t="str">
        <f t="shared" si="116"/>
        <v/>
      </c>
      <c r="X391" s="9">
        <f t="shared" si="123"/>
        <v>0</v>
      </c>
      <c r="Y391" s="9">
        <f t="shared" si="124"/>
        <v>0</v>
      </c>
    </row>
    <row r="392" spans="2:25" x14ac:dyDescent="0.3">
      <c r="B392" s="6">
        <v>355</v>
      </c>
      <c r="C392" s="79" t="str">
        <f t="shared" si="125"/>
        <v/>
      </c>
      <c r="D392" s="6" t="str">
        <f t="shared" si="105"/>
        <v/>
      </c>
      <c r="E392" s="79" t="str">
        <f t="shared" si="117"/>
        <v/>
      </c>
      <c r="F392" s="79" t="str">
        <f>IF(B391&gt;$C$18,"",IF(COUNTIF(Feriados!$A$2:$B$17,EDATE($C$38,B391))=0,EDATE($C$38,B391),EDATE($C$38,B391)+VLOOKUP(EDATE($C$38,B391),Feriados!$A$2:$B$17,2,FALSE)))</f>
        <v/>
      </c>
      <c r="G392" s="6" t="str">
        <f t="shared" si="118"/>
        <v/>
      </c>
      <c r="H392" s="6" t="str">
        <f t="shared" si="119"/>
        <v/>
      </c>
      <c r="I392" s="8" t="str">
        <f t="shared" si="120"/>
        <v/>
      </c>
      <c r="J392" s="8" t="str">
        <f t="shared" si="121"/>
        <v/>
      </c>
      <c r="K392" s="9" t="str">
        <f t="shared" si="106"/>
        <v/>
      </c>
      <c r="L392" s="9" t="str">
        <f t="shared" si="122"/>
        <v/>
      </c>
      <c r="M392" s="10" t="str">
        <f t="shared" si="107"/>
        <v/>
      </c>
      <c r="N392" s="6" t="str">
        <f t="shared" si="108"/>
        <v/>
      </c>
      <c r="O392" s="9" t="str">
        <f t="shared" si="109"/>
        <v/>
      </c>
      <c r="P392" s="9" t="str">
        <f t="shared" si="110"/>
        <v/>
      </c>
      <c r="Q392" s="9" t="str">
        <f t="shared" si="111"/>
        <v/>
      </c>
      <c r="R392" s="9" t="str">
        <f t="shared" ca="1" si="112"/>
        <v/>
      </c>
      <c r="T392" s="6" t="str">
        <f t="shared" si="113"/>
        <v/>
      </c>
      <c r="U392" s="6" t="str">
        <f t="shared" si="114"/>
        <v/>
      </c>
      <c r="V392" s="10" t="str">
        <f t="shared" si="115"/>
        <v/>
      </c>
      <c r="W392" s="8" t="str">
        <f t="shared" si="116"/>
        <v/>
      </c>
      <c r="X392" s="9">
        <f t="shared" si="123"/>
        <v>0</v>
      </c>
      <c r="Y392" s="9">
        <f t="shared" si="124"/>
        <v>0</v>
      </c>
    </row>
    <row r="393" spans="2:25" x14ac:dyDescent="0.3">
      <c r="B393" s="6">
        <v>356</v>
      </c>
      <c r="C393" s="79" t="str">
        <f t="shared" si="125"/>
        <v/>
      </c>
      <c r="D393" s="6" t="str">
        <f t="shared" si="105"/>
        <v/>
      </c>
      <c r="E393" s="79" t="str">
        <f t="shared" si="117"/>
        <v/>
      </c>
      <c r="F393" s="79" t="str">
        <f>IF(B392&gt;$C$18,"",IF(COUNTIF(Feriados!$A$2:$B$17,EDATE($C$38,B392))=0,EDATE($C$38,B392),EDATE($C$38,B392)+VLOOKUP(EDATE($C$38,B392),Feriados!$A$2:$B$17,2,FALSE)))</f>
        <v/>
      </c>
      <c r="G393" s="6" t="str">
        <f t="shared" si="118"/>
        <v/>
      </c>
      <c r="H393" s="6" t="str">
        <f t="shared" si="119"/>
        <v/>
      </c>
      <c r="I393" s="8" t="str">
        <f t="shared" si="120"/>
        <v/>
      </c>
      <c r="J393" s="8" t="str">
        <f t="shared" si="121"/>
        <v/>
      </c>
      <c r="K393" s="9" t="str">
        <f t="shared" si="106"/>
        <v/>
      </c>
      <c r="L393" s="9" t="str">
        <f t="shared" si="122"/>
        <v/>
      </c>
      <c r="M393" s="10" t="str">
        <f t="shared" si="107"/>
        <v/>
      </c>
      <c r="N393" s="6" t="str">
        <f t="shared" si="108"/>
        <v/>
      </c>
      <c r="O393" s="9" t="str">
        <f t="shared" si="109"/>
        <v/>
      </c>
      <c r="P393" s="9" t="str">
        <f t="shared" si="110"/>
        <v/>
      </c>
      <c r="Q393" s="9" t="str">
        <f t="shared" si="111"/>
        <v/>
      </c>
      <c r="R393" s="9" t="str">
        <f t="shared" ca="1" si="112"/>
        <v/>
      </c>
      <c r="T393" s="6" t="str">
        <f t="shared" si="113"/>
        <v/>
      </c>
      <c r="U393" s="6" t="str">
        <f t="shared" si="114"/>
        <v/>
      </c>
      <c r="V393" s="10" t="str">
        <f t="shared" si="115"/>
        <v/>
      </c>
      <c r="W393" s="8" t="str">
        <f t="shared" si="116"/>
        <v/>
      </c>
      <c r="X393" s="9">
        <f t="shared" si="123"/>
        <v>0</v>
      </c>
      <c r="Y393" s="9">
        <f t="shared" si="124"/>
        <v>0</v>
      </c>
    </row>
    <row r="394" spans="2:25" x14ac:dyDescent="0.3">
      <c r="B394" s="6">
        <v>357</v>
      </c>
      <c r="C394" s="79" t="str">
        <f t="shared" si="125"/>
        <v/>
      </c>
      <c r="D394" s="6" t="str">
        <f t="shared" si="105"/>
        <v/>
      </c>
      <c r="E394" s="79" t="str">
        <f t="shared" si="117"/>
        <v/>
      </c>
      <c r="F394" s="79" t="str">
        <f>IF(B393&gt;$C$18,"",IF(COUNTIF(Feriados!$A$2:$B$17,EDATE($C$38,B393))=0,EDATE($C$38,B393),EDATE($C$38,B393)+VLOOKUP(EDATE($C$38,B393),Feriados!$A$2:$B$17,2,FALSE)))</f>
        <v/>
      </c>
      <c r="G394" s="6" t="str">
        <f t="shared" si="118"/>
        <v/>
      </c>
      <c r="H394" s="6" t="str">
        <f t="shared" si="119"/>
        <v/>
      </c>
      <c r="I394" s="8" t="str">
        <f t="shared" si="120"/>
        <v/>
      </c>
      <c r="J394" s="8" t="str">
        <f t="shared" si="121"/>
        <v/>
      </c>
      <c r="K394" s="9" t="str">
        <f t="shared" si="106"/>
        <v/>
      </c>
      <c r="L394" s="9" t="str">
        <f t="shared" si="122"/>
        <v/>
      </c>
      <c r="M394" s="10" t="str">
        <f t="shared" si="107"/>
        <v/>
      </c>
      <c r="N394" s="6" t="str">
        <f t="shared" si="108"/>
        <v/>
      </c>
      <c r="O394" s="9" t="str">
        <f t="shared" si="109"/>
        <v/>
      </c>
      <c r="P394" s="9" t="str">
        <f t="shared" si="110"/>
        <v/>
      </c>
      <c r="Q394" s="9" t="str">
        <f t="shared" si="111"/>
        <v/>
      </c>
      <c r="R394" s="9" t="str">
        <f t="shared" ca="1" si="112"/>
        <v/>
      </c>
      <c r="T394" s="6" t="str">
        <f t="shared" si="113"/>
        <v/>
      </c>
      <c r="U394" s="6" t="str">
        <f t="shared" si="114"/>
        <v/>
      </c>
      <c r="V394" s="10" t="str">
        <f t="shared" si="115"/>
        <v/>
      </c>
      <c r="W394" s="8" t="str">
        <f t="shared" si="116"/>
        <v/>
      </c>
      <c r="X394" s="9">
        <f t="shared" si="123"/>
        <v>0</v>
      </c>
      <c r="Y394" s="9">
        <f t="shared" si="124"/>
        <v>0</v>
      </c>
    </row>
    <row r="395" spans="2:25" x14ac:dyDescent="0.3">
      <c r="B395" s="6">
        <v>358</v>
      </c>
      <c r="C395" s="79" t="str">
        <f t="shared" si="125"/>
        <v/>
      </c>
      <c r="D395" s="6" t="str">
        <f t="shared" si="105"/>
        <v/>
      </c>
      <c r="E395" s="79" t="str">
        <f t="shared" si="117"/>
        <v/>
      </c>
      <c r="F395" s="79" t="str">
        <f>IF(B394&gt;$C$18,"",IF(COUNTIF(Feriados!$A$2:$B$17,EDATE($C$38,B394))=0,EDATE($C$38,B394),EDATE($C$38,B394)+VLOOKUP(EDATE($C$38,B394),Feriados!$A$2:$B$17,2,FALSE)))</f>
        <v/>
      </c>
      <c r="G395" s="6" t="str">
        <f t="shared" si="118"/>
        <v/>
      </c>
      <c r="H395" s="6" t="str">
        <f t="shared" si="119"/>
        <v/>
      </c>
      <c r="I395" s="8" t="str">
        <f t="shared" si="120"/>
        <v/>
      </c>
      <c r="J395" s="8" t="str">
        <f t="shared" si="121"/>
        <v/>
      </c>
      <c r="K395" s="9" t="str">
        <f t="shared" si="106"/>
        <v/>
      </c>
      <c r="L395" s="9" t="str">
        <f t="shared" si="122"/>
        <v/>
      </c>
      <c r="M395" s="10" t="str">
        <f t="shared" si="107"/>
        <v/>
      </c>
      <c r="N395" s="6" t="str">
        <f t="shared" si="108"/>
        <v/>
      </c>
      <c r="O395" s="9" t="str">
        <f t="shared" si="109"/>
        <v/>
      </c>
      <c r="P395" s="9" t="str">
        <f t="shared" si="110"/>
        <v/>
      </c>
      <c r="Q395" s="9" t="str">
        <f t="shared" si="111"/>
        <v/>
      </c>
      <c r="R395" s="9" t="str">
        <f t="shared" ca="1" si="112"/>
        <v/>
      </c>
      <c r="T395" s="6" t="str">
        <f t="shared" si="113"/>
        <v/>
      </c>
      <c r="U395" s="6" t="str">
        <f t="shared" si="114"/>
        <v/>
      </c>
      <c r="V395" s="10" t="str">
        <f t="shared" si="115"/>
        <v/>
      </c>
      <c r="W395" s="8" t="str">
        <f t="shared" si="116"/>
        <v/>
      </c>
      <c r="X395" s="9">
        <f t="shared" si="123"/>
        <v>0</v>
      </c>
      <c r="Y395" s="9">
        <f t="shared" si="124"/>
        <v>0</v>
      </c>
    </row>
    <row r="396" spans="2:25" x14ac:dyDescent="0.3">
      <c r="B396" s="6">
        <v>359</v>
      </c>
      <c r="C396" s="79" t="str">
        <f t="shared" si="125"/>
        <v/>
      </c>
      <c r="D396" s="6" t="str">
        <f t="shared" si="105"/>
        <v/>
      </c>
      <c r="E396" s="79" t="str">
        <f t="shared" si="117"/>
        <v/>
      </c>
      <c r="F396" s="79" t="str">
        <f>IF(B395&gt;$C$18,"",IF(COUNTIF(Feriados!$A$2:$B$17,EDATE($C$38,B395))=0,EDATE($C$38,B395),EDATE($C$38,B395)+VLOOKUP(EDATE($C$38,B395),Feriados!$A$2:$B$17,2,FALSE)))</f>
        <v/>
      </c>
      <c r="G396" s="6" t="str">
        <f t="shared" si="118"/>
        <v/>
      </c>
      <c r="H396" s="6" t="str">
        <f t="shared" si="119"/>
        <v/>
      </c>
      <c r="I396" s="8" t="str">
        <f t="shared" si="120"/>
        <v/>
      </c>
      <c r="J396" s="8" t="str">
        <f t="shared" si="121"/>
        <v/>
      </c>
      <c r="K396" s="9" t="str">
        <f t="shared" si="106"/>
        <v/>
      </c>
      <c r="L396" s="9" t="str">
        <f t="shared" si="122"/>
        <v/>
      </c>
      <c r="M396" s="10" t="str">
        <f t="shared" si="107"/>
        <v/>
      </c>
      <c r="N396" s="6" t="str">
        <f t="shared" si="108"/>
        <v/>
      </c>
      <c r="O396" s="9" t="str">
        <f t="shared" si="109"/>
        <v/>
      </c>
      <c r="P396" s="9" t="str">
        <f t="shared" si="110"/>
        <v/>
      </c>
      <c r="Q396" s="9" t="str">
        <f t="shared" si="111"/>
        <v/>
      </c>
      <c r="R396" s="9" t="str">
        <f t="shared" ca="1" si="112"/>
        <v/>
      </c>
      <c r="T396" s="6" t="str">
        <f t="shared" si="113"/>
        <v/>
      </c>
      <c r="U396" s="6" t="str">
        <f t="shared" si="114"/>
        <v/>
      </c>
      <c r="V396" s="10" t="str">
        <f t="shared" si="115"/>
        <v/>
      </c>
      <c r="W396" s="8" t="str">
        <f t="shared" si="116"/>
        <v/>
      </c>
      <c r="X396" s="9">
        <f t="shared" si="123"/>
        <v>0</v>
      </c>
      <c r="Y396" s="9">
        <f t="shared" si="124"/>
        <v>0</v>
      </c>
    </row>
    <row r="397" spans="2:25" x14ac:dyDescent="0.3">
      <c r="B397" s="6">
        <v>360</v>
      </c>
      <c r="C397" s="79" t="str">
        <f t="shared" si="125"/>
        <v/>
      </c>
      <c r="D397" s="6" t="str">
        <f t="shared" si="105"/>
        <v/>
      </c>
      <c r="E397" s="79" t="str">
        <f t="shared" si="117"/>
        <v/>
      </c>
      <c r="F397" s="79" t="str">
        <f>IF(B396&gt;$C$18,"",IF(COUNTIF(Feriados!$A$2:$B$17,EDATE($C$38,B396))=0,EDATE($C$38,B396),EDATE($C$38,B396)+VLOOKUP(EDATE($C$38,B396),Feriados!$A$2:$B$17,2,FALSE)))</f>
        <v/>
      </c>
      <c r="G397" s="6" t="str">
        <f t="shared" si="118"/>
        <v/>
      </c>
      <c r="H397" s="6" t="str">
        <f t="shared" si="119"/>
        <v/>
      </c>
      <c r="I397" s="8" t="str">
        <f t="shared" si="120"/>
        <v/>
      </c>
      <c r="J397" s="8" t="str">
        <f t="shared" si="121"/>
        <v/>
      </c>
      <c r="K397" s="9" t="str">
        <f t="shared" si="106"/>
        <v/>
      </c>
      <c r="L397" s="9" t="str">
        <f t="shared" si="122"/>
        <v/>
      </c>
      <c r="M397" s="10" t="str">
        <f t="shared" si="107"/>
        <v/>
      </c>
      <c r="N397" s="6" t="str">
        <f t="shared" si="108"/>
        <v/>
      </c>
      <c r="O397" s="9" t="str">
        <f t="shared" si="109"/>
        <v/>
      </c>
      <c r="P397" s="9" t="str">
        <f t="shared" si="110"/>
        <v/>
      </c>
      <c r="Q397" s="9" t="str">
        <f t="shared" si="111"/>
        <v/>
      </c>
      <c r="R397" s="9" t="str">
        <f t="shared" ca="1" si="112"/>
        <v/>
      </c>
      <c r="T397" s="6" t="str">
        <f t="shared" si="113"/>
        <v/>
      </c>
      <c r="U397" s="6" t="str">
        <f t="shared" si="114"/>
        <v/>
      </c>
      <c r="V397" s="10" t="str">
        <f t="shared" si="115"/>
        <v/>
      </c>
      <c r="W397" s="8" t="str">
        <f t="shared" si="116"/>
        <v/>
      </c>
      <c r="X397" s="9">
        <f t="shared" si="123"/>
        <v>0</v>
      </c>
      <c r="Y397" s="9">
        <f t="shared" si="124"/>
        <v>0</v>
      </c>
    </row>
  </sheetData>
  <dataConsolidate/>
  <mergeCells count="1">
    <mergeCell ref="C2:J4"/>
  </mergeCells>
  <pageMargins left="0.7" right="0.7" top="0.75" bottom="0.75" header="0.3" footer="0.3"/>
  <pageSetup paperSize="9" orientation="portrait" verticalDpi="599"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940D6327-A9C7-417D-A2D2-FC604100CC02}">
          <x14:formula1>
            <xm:f>TarifarioBD!$H$2</xm:f>
          </x14:formula1>
          <xm:sqref>C9</xm:sqref>
        </x14:dataValidation>
        <x14:dataValidation type="list" allowBlank="1" showInputMessage="1" showErrorMessage="1" xr:uid="{76BCDE35-1ECB-4638-896D-86B01EB30C5D}">
          <x14:formula1>
            <xm:f>TarifarioBD!$G$2</xm:f>
          </x14:formula1>
          <xm:sqref>C11</xm:sqref>
        </x14:dataValidation>
        <x14:dataValidation type="list" allowBlank="1" showInputMessage="1" showErrorMessage="1" xr:uid="{6E194671-F9E3-4FA8-9FB4-8904836BBA90}">
          <x14:formula1>
            <xm:f>TarifarioBD!$I$2:$I$5</xm:f>
          </x14:formula1>
          <xm:sqref>C10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451D4-2D6B-4824-88C0-ADDF4F3A7D1D}">
  <sheetPr codeName="Hoja1">
    <tabColor theme="9" tint="0.59999389629810485"/>
  </sheetPr>
  <dimension ref="A1:D18"/>
  <sheetViews>
    <sheetView workbookViewId="0"/>
  </sheetViews>
  <sheetFormatPr baseColWidth="10" defaultRowHeight="14.5" x14ac:dyDescent="0.35"/>
  <cols>
    <col min="1" max="1" width="31" customWidth="1"/>
    <col min="2" max="2" width="12.1796875" bestFit="1" customWidth="1"/>
    <col min="5" max="5" width="11.26953125" bestFit="1" customWidth="1"/>
  </cols>
  <sheetData>
    <row r="1" spans="1:4" ht="15" thickBot="1" x14ac:dyDescent="0.4">
      <c r="A1" s="60" t="s">
        <v>84</v>
      </c>
      <c r="B1" t="s">
        <v>80</v>
      </c>
    </row>
    <row r="2" spans="1:4" x14ac:dyDescent="0.35">
      <c r="A2" s="61">
        <v>45292</v>
      </c>
      <c r="B2">
        <v>1</v>
      </c>
      <c r="D2" s="61"/>
    </row>
    <row r="3" spans="1:4" x14ac:dyDescent="0.35">
      <c r="A3" s="61">
        <v>45379</v>
      </c>
      <c r="B3">
        <v>2</v>
      </c>
      <c r="D3" s="61"/>
    </row>
    <row r="4" spans="1:4" x14ac:dyDescent="0.35">
      <c r="A4" s="61">
        <v>45380</v>
      </c>
      <c r="B4">
        <v>1</v>
      </c>
      <c r="D4" s="61"/>
    </row>
    <row r="5" spans="1:4" x14ac:dyDescent="0.35">
      <c r="A5" s="61">
        <v>45413</v>
      </c>
      <c r="B5">
        <v>1</v>
      </c>
      <c r="D5" s="61"/>
    </row>
    <row r="6" spans="1:4" x14ac:dyDescent="0.35">
      <c r="A6" s="61">
        <v>45450</v>
      </c>
      <c r="B6">
        <v>1</v>
      </c>
      <c r="D6" s="61"/>
    </row>
    <row r="7" spans="1:4" x14ac:dyDescent="0.35">
      <c r="A7" s="61">
        <v>45472</v>
      </c>
      <c r="B7">
        <v>1</v>
      </c>
      <c r="D7" s="61"/>
    </row>
    <row r="8" spans="1:4" x14ac:dyDescent="0.35">
      <c r="A8" s="61">
        <v>45496</v>
      </c>
      <c r="B8">
        <v>1</v>
      </c>
      <c r="D8" s="61"/>
    </row>
    <row r="9" spans="1:4" x14ac:dyDescent="0.35">
      <c r="A9" s="61">
        <v>45501</v>
      </c>
      <c r="B9">
        <v>1</v>
      </c>
      <c r="D9" s="61"/>
    </row>
    <row r="10" spans="1:4" x14ac:dyDescent="0.35">
      <c r="A10" s="61">
        <v>45502</v>
      </c>
      <c r="B10">
        <v>2</v>
      </c>
      <c r="D10" s="61"/>
    </row>
    <row r="11" spans="1:4" x14ac:dyDescent="0.35">
      <c r="A11" s="61">
        <v>45510</v>
      </c>
      <c r="B11">
        <v>1</v>
      </c>
      <c r="D11" s="61"/>
    </row>
    <row r="12" spans="1:4" x14ac:dyDescent="0.35">
      <c r="A12" s="61">
        <v>45534</v>
      </c>
      <c r="B12">
        <v>1</v>
      </c>
      <c r="D12" s="61"/>
    </row>
    <row r="13" spans="1:4" x14ac:dyDescent="0.35">
      <c r="A13" s="61">
        <v>45573</v>
      </c>
      <c r="B13">
        <v>1</v>
      </c>
      <c r="D13" s="61"/>
    </row>
    <row r="14" spans="1:4" x14ac:dyDescent="0.35">
      <c r="A14" s="61">
        <v>45597</v>
      </c>
      <c r="B14">
        <v>1</v>
      </c>
      <c r="D14" s="61"/>
    </row>
    <row r="15" spans="1:4" x14ac:dyDescent="0.35">
      <c r="A15" s="61">
        <v>45634</v>
      </c>
      <c r="B15">
        <v>3</v>
      </c>
      <c r="D15" s="61"/>
    </row>
    <row r="16" spans="1:4" x14ac:dyDescent="0.35">
      <c r="A16" s="61">
        <v>45635</v>
      </c>
      <c r="B16">
        <v>2</v>
      </c>
      <c r="D16" s="61"/>
    </row>
    <row r="17" spans="1:4" x14ac:dyDescent="0.35">
      <c r="A17" s="61">
        <v>45651</v>
      </c>
      <c r="B17">
        <v>1</v>
      </c>
      <c r="D17" s="61"/>
    </row>
    <row r="18" spans="1:4" x14ac:dyDescent="0.35">
      <c r="A18" s="61">
        <v>45658</v>
      </c>
      <c r="B18">
        <v>1</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3BED-A8EB-4737-86A9-87D07D4A15D5}">
  <sheetPr codeName="Hoja5">
    <tabColor theme="9" tint="0.59999389629810485"/>
  </sheetPr>
  <dimension ref="A1:B30"/>
  <sheetViews>
    <sheetView workbookViewId="0">
      <selection activeCell="E29" sqref="E29"/>
    </sheetView>
  </sheetViews>
  <sheetFormatPr baseColWidth="10" defaultColWidth="10.81640625" defaultRowHeight="14.5" x14ac:dyDescent="0.35"/>
  <cols>
    <col min="1" max="1" width="25.26953125" style="39" bestFit="1" customWidth="1"/>
    <col min="2" max="2" width="14.7265625" style="41" customWidth="1"/>
    <col min="3" max="16384" width="10.81640625" style="41"/>
  </cols>
  <sheetData>
    <row r="1" spans="1:2" x14ac:dyDescent="0.35">
      <c r="A1" s="37" t="s">
        <v>46</v>
      </c>
      <c r="B1" s="37" t="s">
        <v>49</v>
      </c>
    </row>
    <row r="2" spans="1:2" x14ac:dyDescent="0.35">
      <c r="A2" s="40" t="s">
        <v>40</v>
      </c>
      <c r="B2" s="42">
        <v>2.8709999999999999E-3</v>
      </c>
    </row>
    <row r="3" spans="1:2" x14ac:dyDescent="0.35">
      <c r="A3" s="41"/>
    </row>
    <row r="4" spans="1:2" x14ac:dyDescent="0.35">
      <c r="A4" s="41"/>
    </row>
    <row r="5" spans="1:2" x14ac:dyDescent="0.35">
      <c r="A5" s="41"/>
    </row>
    <row r="6" spans="1:2" x14ac:dyDescent="0.35">
      <c r="A6" s="41"/>
    </row>
    <row r="7" spans="1:2" x14ac:dyDescent="0.35">
      <c r="A7" s="41"/>
    </row>
    <row r="8" spans="1:2" x14ac:dyDescent="0.35">
      <c r="A8" s="41"/>
    </row>
    <row r="9" spans="1:2" x14ac:dyDescent="0.35">
      <c r="A9" s="41"/>
    </row>
    <row r="10" spans="1:2" x14ac:dyDescent="0.35">
      <c r="A10" s="41"/>
    </row>
    <row r="11" spans="1:2" x14ac:dyDescent="0.35">
      <c r="A11" s="41"/>
    </row>
    <row r="12" spans="1:2" x14ac:dyDescent="0.35">
      <c r="A12" s="41"/>
    </row>
    <row r="13" spans="1:2" x14ac:dyDescent="0.35">
      <c r="A13" s="41"/>
    </row>
    <row r="14" spans="1:2" x14ac:dyDescent="0.35">
      <c r="A14" s="41"/>
    </row>
    <row r="15" spans="1:2" x14ac:dyDescent="0.35">
      <c r="A15" s="41"/>
    </row>
    <row r="16" spans="1:2" x14ac:dyDescent="0.35">
      <c r="A16" s="41"/>
    </row>
    <row r="17" s="41" customFormat="1" x14ac:dyDescent="0.35"/>
    <row r="18" s="41" customFormat="1" x14ac:dyDescent="0.35"/>
    <row r="19" s="41" customFormat="1" x14ac:dyDescent="0.35"/>
    <row r="20" s="41" customFormat="1" x14ac:dyDescent="0.35"/>
    <row r="21" s="41" customFormat="1" x14ac:dyDescent="0.35"/>
    <row r="22" s="41" customFormat="1" x14ac:dyDescent="0.35"/>
    <row r="23" s="41" customFormat="1" x14ac:dyDescent="0.35"/>
    <row r="24" s="41" customFormat="1" x14ac:dyDescent="0.35"/>
    <row r="25" s="41" customFormat="1" x14ac:dyDescent="0.35"/>
    <row r="26" s="41" customFormat="1" x14ac:dyDescent="0.35"/>
    <row r="27" s="41" customFormat="1" x14ac:dyDescent="0.35"/>
    <row r="28" s="41" customFormat="1" x14ac:dyDescent="0.35"/>
    <row r="29" s="41" customFormat="1" x14ac:dyDescent="0.35"/>
    <row r="30" s="41" customFormat="1" x14ac:dyDescent="0.35"/>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10e6fa89-063b-43b7-bf69-bbc47cc95afb">
      <Terms xmlns="http://schemas.microsoft.com/office/infopath/2007/PartnerControls"/>
    </lcf76f155ced4ddcb4097134ff3c332f>
    <TaxCatchAll xmlns="99846d54-ffda-422f-842d-ad2d33cd9ee5"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A1B9D604E832349B7707FC6F71AC6F9" ma:contentTypeVersion="11" ma:contentTypeDescription="Create a new document." ma:contentTypeScope="" ma:versionID="37d6ebe2bece85259e3069ce664cc0c5">
  <xsd:schema xmlns:xsd="http://www.w3.org/2001/XMLSchema" xmlns:xs="http://www.w3.org/2001/XMLSchema" xmlns:p="http://schemas.microsoft.com/office/2006/metadata/properties" xmlns:ns2="10e6fa89-063b-43b7-bf69-bbc47cc95afb" xmlns:ns3="99846d54-ffda-422f-842d-ad2d33cd9ee5" targetNamespace="http://schemas.microsoft.com/office/2006/metadata/properties" ma:root="true" ma:fieldsID="d3730cd6fbd1408857ef5f8bfb55038a" ns2:_="" ns3:_="">
    <xsd:import namespace="10e6fa89-063b-43b7-bf69-bbc47cc95afb"/>
    <xsd:import namespace="99846d54-ffda-422f-842d-ad2d33cd9ee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e6fa89-063b-43b7-bf69-bbc47cc95af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d1ae396a-c076-4d2d-8527-41749cbd11f8"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9846d54-ffda-422f-842d-ad2d33cd9ee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664da176-cd1c-42f0-9591-85d32d29ecaf}" ma:internalName="TaxCatchAll" ma:showField="CatchAllData" ma:web="99846d54-ffda-422f-842d-ad2d33cd9e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BF0816C-4886-41BE-9D1C-4A2C8DA6F62F}">
  <ds:schemaRefs>
    <ds:schemaRef ds:uri="http://schemas.microsoft.com/office/2006/metadata/properties"/>
    <ds:schemaRef ds:uri="http://schemas.microsoft.com/office/infopath/2007/PartnerControls"/>
    <ds:schemaRef ds:uri="10e6fa89-063b-43b7-bf69-bbc47cc95afb"/>
    <ds:schemaRef ds:uri="99846d54-ffda-422f-842d-ad2d33cd9ee5"/>
  </ds:schemaRefs>
</ds:datastoreItem>
</file>

<file path=customXml/itemProps2.xml><?xml version="1.0" encoding="utf-8"?>
<ds:datastoreItem xmlns:ds="http://schemas.openxmlformats.org/officeDocument/2006/customXml" ds:itemID="{C3954DFA-DC26-47C1-9A59-05F376255F0F}">
  <ds:schemaRefs>
    <ds:schemaRef ds:uri="http://schemas.microsoft.com/sharepoint/v3/contenttype/forms"/>
  </ds:schemaRefs>
</ds:datastoreItem>
</file>

<file path=customXml/itemProps3.xml><?xml version="1.0" encoding="utf-8"?>
<ds:datastoreItem xmlns:ds="http://schemas.openxmlformats.org/officeDocument/2006/customXml" ds:itemID="{1A317777-2637-44CA-813C-74DF90F8E48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0e6fa89-063b-43b7-bf69-bbc47cc95afb"/>
    <ds:schemaRef ds:uri="99846d54-ffda-422f-842d-ad2d33cd9ee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8ff33436-4701-4dad-b7d3-3462e99c6889}" enabled="0" method="" siteId="{8ff33436-4701-4dad-b7d3-3462e99c6889}"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RESUMEN</vt:lpstr>
      <vt:lpstr>TarifarioBD</vt:lpstr>
      <vt:lpstr>Prima_Des</vt:lpstr>
      <vt:lpstr>Prima_Des_Dev</vt:lpstr>
      <vt:lpstr>Feriados</vt:lpstr>
      <vt:lpstr>CostoCapBD</vt:lpstr>
      <vt:lpstr>RESUMEN!COD_EMPLEADO</vt:lpstr>
      <vt:lpstr>Prima_Des!seguro</vt:lpstr>
      <vt:lpstr>Prima_Des_Dev!seguro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 Mauricio Pellegrin Cisneros</dc:creator>
  <cp:lastModifiedBy>Villar, Francisco Jose</cp:lastModifiedBy>
  <cp:lastPrinted>2024-08-14T15:37:00Z</cp:lastPrinted>
  <dcterms:created xsi:type="dcterms:W3CDTF">2018-11-14T17:43:46Z</dcterms:created>
  <dcterms:modified xsi:type="dcterms:W3CDTF">2026-05-05T22:38:53Z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0x0101000A1B9D604E832349B7707FC6F71AC6F9</vt:lpwstr>
  </property>
  <property fmtid="{D5CDD505-2E9C-101B-9397-08002B2CF9AE}" pid="3" name="MediaServiceImageTags">
    <vt:lpwstr/>
  </property>
</Properties>
</file>